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xl/queryTables/queryTable4.xml" ContentType="application/vnd.openxmlformats-officedocument.spreadsheetml.queryTable+xml"/>
  <Override PartName="/xl/queryTables/queryTable5.xml" ContentType="application/vnd.openxmlformats-officedocument.spreadsheetml.query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mc:AlternateContent xmlns:mc="http://schemas.openxmlformats.org/markup-compatibility/2006">
    <mc:Choice Requires="x15">
      <x15ac:absPath xmlns:x15ac="http://schemas.microsoft.com/office/spreadsheetml/2010/11/ac" url="/Users/dtadmin/Library/Containers/com.microsoft.Excel/Data/Documents/"/>
    </mc:Choice>
  </mc:AlternateContent>
  <xr:revisionPtr revIDLastSave="0" documentId="13_ncr:1_{F09D79F4-F939-4246-A569-0776DC07C54C}" xr6:coauthVersionLast="47" xr6:coauthVersionMax="47" xr10:uidLastSave="{00000000-0000-0000-0000-000000000000}"/>
  <bookViews>
    <workbookView xWindow="4360" yWindow="660" windowWidth="30200" windowHeight="20140" xr2:uid="{00000000-000D-0000-FFFF-FFFF00000000}"/>
  </bookViews>
  <sheets>
    <sheet name="Query" sheetId="1" r:id="rId1"/>
    <sheet name="Lookup" sheetId="2" r:id="rId2"/>
    <sheet name="Invoices" sheetId="3" r:id="rId3"/>
    <sheet name="Charges" sheetId="4" r:id="rId4"/>
    <sheet name="Details" sheetId="5" r:id="rId5"/>
    <sheet name="More fields" sheetId="6" r:id="rId6"/>
    <sheet name="LookupData" sheetId="7" r:id="rId7"/>
  </sheets>
  <definedNames>
    <definedName name="ExternalData_1" localSheetId="3">Charges!$A$1:$F$2</definedName>
    <definedName name="ExternalData_1" localSheetId="4">Details!$A$1:$H$2</definedName>
    <definedName name="ExternalData_1" localSheetId="2">Invoices!$B$1:$AJ$2</definedName>
    <definedName name="ExternalData_1" localSheetId="6">LookupData!$A$1:$AI$2</definedName>
    <definedName name="ExternalData_1" localSheetId="5">'More fields'!$A$1:$BC$2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001" i="3" l="1"/>
  <c r="A5000" i="3"/>
  <c r="A4999" i="3"/>
  <c r="A4998" i="3"/>
  <c r="A4997" i="3"/>
  <c r="A4996" i="3"/>
  <c r="A4995" i="3"/>
  <c r="A4994" i="3"/>
  <c r="A4993" i="3"/>
  <c r="A4992" i="3"/>
  <c r="A4991" i="3"/>
  <c r="A4990" i="3"/>
  <c r="A4989" i="3"/>
  <c r="A4988" i="3"/>
  <c r="A4987" i="3"/>
  <c r="A4986" i="3"/>
  <c r="A4985" i="3"/>
  <c r="A4984" i="3"/>
  <c r="A4983" i="3"/>
  <c r="A4982" i="3"/>
  <c r="A4981" i="3"/>
  <c r="A4980" i="3"/>
  <c r="A4979" i="3"/>
  <c r="A4978" i="3"/>
  <c r="A4977" i="3"/>
  <c r="A4976" i="3"/>
  <c r="A4975" i="3"/>
  <c r="A4974" i="3"/>
  <c r="A4973" i="3"/>
  <c r="A4972" i="3"/>
  <c r="A4971" i="3"/>
  <c r="A4970" i="3"/>
  <c r="A4969" i="3"/>
  <c r="A4968" i="3"/>
  <c r="A4967" i="3"/>
  <c r="A4966" i="3"/>
  <c r="A4965" i="3"/>
  <c r="A4964" i="3"/>
  <c r="A4963" i="3"/>
  <c r="A4962" i="3"/>
  <c r="A4961" i="3"/>
  <c r="A4960" i="3"/>
  <c r="A4959" i="3"/>
  <c r="A4958" i="3"/>
  <c r="A4957" i="3"/>
  <c r="A4956" i="3"/>
  <c r="A4955" i="3"/>
  <c r="A4954" i="3"/>
  <c r="A4953" i="3"/>
  <c r="A4952" i="3"/>
  <c r="A4951" i="3"/>
  <c r="A4950" i="3"/>
  <c r="A4949" i="3"/>
  <c r="A4948" i="3"/>
  <c r="A4947" i="3"/>
  <c r="A4946" i="3"/>
  <c r="A4945" i="3"/>
  <c r="A4944" i="3"/>
  <c r="A4943" i="3"/>
  <c r="A4942" i="3"/>
  <c r="A4941" i="3"/>
  <c r="A4940" i="3"/>
  <c r="A4939" i="3"/>
  <c r="A4938" i="3"/>
  <c r="A4937" i="3"/>
  <c r="A4936" i="3"/>
  <c r="A4935" i="3"/>
  <c r="A4934" i="3"/>
  <c r="A4933" i="3"/>
  <c r="A4932" i="3"/>
  <c r="A4931" i="3"/>
  <c r="A4930" i="3"/>
  <c r="A4929" i="3"/>
  <c r="A4928" i="3"/>
  <c r="A4927" i="3"/>
  <c r="A4926" i="3"/>
  <c r="A4925" i="3"/>
  <c r="A4924" i="3"/>
  <c r="A4923" i="3"/>
  <c r="A4922" i="3"/>
  <c r="A4921" i="3"/>
  <c r="A4920" i="3"/>
  <c r="A4919" i="3"/>
  <c r="A4918" i="3"/>
  <c r="A4917" i="3"/>
  <c r="A4916" i="3"/>
  <c r="A4915" i="3"/>
  <c r="A4914" i="3"/>
  <c r="A4913" i="3"/>
  <c r="A4912" i="3"/>
  <c r="A4911" i="3"/>
  <c r="A4910" i="3"/>
  <c r="A4909" i="3"/>
  <c r="A4908" i="3"/>
  <c r="A4907" i="3"/>
  <c r="A4906" i="3"/>
  <c r="A4905" i="3"/>
  <c r="A4904" i="3"/>
  <c r="A4903" i="3"/>
  <c r="A4902" i="3"/>
  <c r="A4901" i="3"/>
  <c r="A4900" i="3"/>
  <c r="A4899" i="3"/>
  <c r="A4898" i="3"/>
  <c r="A4897" i="3"/>
  <c r="A4896" i="3"/>
  <c r="A4895" i="3"/>
  <c r="A4894" i="3"/>
  <c r="A4893" i="3"/>
  <c r="A4892" i="3"/>
  <c r="A4891" i="3"/>
  <c r="A4890" i="3"/>
  <c r="A4889" i="3"/>
  <c r="A4888" i="3"/>
  <c r="A4887" i="3"/>
  <c r="A4886" i="3"/>
  <c r="A4885" i="3"/>
  <c r="A4884" i="3"/>
  <c r="A4883" i="3"/>
  <c r="A4882" i="3"/>
  <c r="A4881" i="3"/>
  <c r="A4880" i="3"/>
  <c r="A4879" i="3"/>
  <c r="A4878" i="3"/>
  <c r="A4877" i="3"/>
  <c r="A4876" i="3"/>
  <c r="A4875" i="3"/>
  <c r="A4874" i="3"/>
  <c r="A4873" i="3"/>
  <c r="A4872" i="3"/>
  <c r="A4871" i="3"/>
  <c r="A4870" i="3"/>
  <c r="A4869" i="3"/>
  <c r="A4868" i="3"/>
  <c r="A4867" i="3"/>
  <c r="A4866" i="3"/>
  <c r="A4865" i="3"/>
  <c r="A4864" i="3"/>
  <c r="A4863" i="3"/>
  <c r="A4862" i="3"/>
  <c r="A4861" i="3"/>
  <c r="A4860" i="3"/>
  <c r="A4859" i="3"/>
  <c r="A4858" i="3"/>
  <c r="A4857" i="3"/>
  <c r="A4856" i="3"/>
  <c r="A4855" i="3"/>
  <c r="A4854" i="3"/>
  <c r="A4853" i="3"/>
  <c r="A4852" i="3"/>
  <c r="A4851" i="3"/>
  <c r="A4850" i="3"/>
  <c r="A4849" i="3"/>
  <c r="A4848" i="3"/>
  <c r="A4847" i="3"/>
  <c r="A4846" i="3"/>
  <c r="A4845" i="3"/>
  <c r="A4844" i="3"/>
  <c r="A4843" i="3"/>
  <c r="A4842" i="3"/>
  <c r="A4841" i="3"/>
  <c r="A4840" i="3"/>
  <c r="A4839" i="3"/>
  <c r="A4838" i="3"/>
  <c r="A4837" i="3"/>
  <c r="A4836" i="3"/>
  <c r="A4835" i="3"/>
  <c r="A4834" i="3"/>
  <c r="A4833" i="3"/>
  <c r="A4832" i="3"/>
  <c r="A4831" i="3"/>
  <c r="A4830" i="3"/>
  <c r="A4829" i="3"/>
  <c r="A4828" i="3"/>
  <c r="A4827" i="3"/>
  <c r="A4826" i="3"/>
  <c r="A4825" i="3"/>
  <c r="A4824" i="3"/>
  <c r="A4823" i="3"/>
  <c r="A4822" i="3"/>
  <c r="A4821" i="3"/>
  <c r="A4820" i="3"/>
  <c r="A4819" i="3"/>
  <c r="A4818" i="3"/>
  <c r="A4817" i="3"/>
  <c r="A4816" i="3"/>
  <c r="A4815" i="3"/>
  <c r="A4814" i="3"/>
  <c r="A4813" i="3"/>
  <c r="A4812" i="3"/>
  <c r="A4811" i="3"/>
  <c r="A4810" i="3"/>
  <c r="A4809" i="3"/>
  <c r="A4808" i="3"/>
  <c r="A4807" i="3"/>
  <c r="A4806" i="3"/>
  <c r="A4805" i="3"/>
  <c r="A4804" i="3"/>
  <c r="A4803" i="3"/>
  <c r="A4802" i="3"/>
  <c r="A4801" i="3"/>
  <c r="A4800" i="3"/>
  <c r="A4799" i="3"/>
  <c r="A4798" i="3"/>
  <c r="A4797" i="3"/>
  <c r="A4796" i="3"/>
  <c r="A4795" i="3"/>
  <c r="A4794" i="3"/>
  <c r="A4793" i="3"/>
  <c r="A4792" i="3"/>
  <c r="A4791" i="3"/>
  <c r="A4790" i="3"/>
  <c r="A4789" i="3"/>
  <c r="A4788" i="3"/>
  <c r="A4787" i="3"/>
  <c r="A4786" i="3"/>
  <c r="A4785" i="3"/>
  <c r="A4784" i="3"/>
  <c r="A4783" i="3"/>
  <c r="A4782" i="3"/>
  <c r="A4781" i="3"/>
  <c r="A4780" i="3"/>
  <c r="A4779" i="3"/>
  <c r="A4778" i="3"/>
  <c r="A4777" i="3"/>
  <c r="A4776" i="3"/>
  <c r="A4775" i="3"/>
  <c r="A4774" i="3"/>
  <c r="A4773" i="3"/>
  <c r="A4772" i="3"/>
  <c r="A4771" i="3"/>
  <c r="A4770" i="3"/>
  <c r="A4769" i="3"/>
  <c r="A4768" i="3"/>
  <c r="A4767" i="3"/>
  <c r="A4766" i="3"/>
  <c r="A4765" i="3"/>
  <c r="A4764" i="3"/>
  <c r="A4763" i="3"/>
  <c r="A4762" i="3"/>
  <c r="A4761" i="3"/>
  <c r="A4760" i="3"/>
  <c r="A4759" i="3"/>
  <c r="A4758" i="3"/>
  <c r="A4757" i="3"/>
  <c r="A4756" i="3"/>
  <c r="A4755" i="3"/>
  <c r="A4754" i="3"/>
  <c r="A4753" i="3"/>
  <c r="A4752" i="3"/>
  <c r="A4751" i="3"/>
  <c r="A4750" i="3"/>
  <c r="A4749" i="3"/>
  <c r="A4748" i="3"/>
  <c r="A4747" i="3"/>
  <c r="A4746" i="3"/>
  <c r="A4745" i="3"/>
  <c r="A4744" i="3"/>
  <c r="A4743" i="3"/>
  <c r="A4742" i="3"/>
  <c r="A4741" i="3"/>
  <c r="A4740" i="3"/>
  <c r="A4739" i="3"/>
  <c r="A4738" i="3"/>
  <c r="A4737" i="3"/>
  <c r="A4736" i="3"/>
  <c r="A4735" i="3"/>
  <c r="A4734" i="3"/>
  <c r="A4733" i="3"/>
  <c r="A4732" i="3"/>
  <c r="A4731" i="3"/>
  <c r="A4730" i="3"/>
  <c r="A4729" i="3"/>
  <c r="A4728" i="3"/>
  <c r="A4727" i="3"/>
  <c r="A4726" i="3"/>
  <c r="A4725" i="3"/>
  <c r="A4724" i="3"/>
  <c r="A4723" i="3"/>
  <c r="A4722" i="3"/>
  <c r="A4721" i="3"/>
  <c r="A4720" i="3"/>
  <c r="A4719" i="3"/>
  <c r="A4718" i="3"/>
  <c r="A4717" i="3"/>
  <c r="A4716" i="3"/>
  <c r="A4715" i="3"/>
  <c r="A4714" i="3"/>
  <c r="A4713" i="3"/>
  <c r="A4712" i="3"/>
  <c r="A4711" i="3"/>
  <c r="A4710" i="3"/>
  <c r="A4709" i="3"/>
  <c r="A4708" i="3"/>
  <c r="A4707" i="3"/>
  <c r="A4706" i="3"/>
  <c r="A4705" i="3"/>
  <c r="A4704" i="3"/>
  <c r="A4703" i="3"/>
  <c r="A4702" i="3"/>
  <c r="A4701" i="3"/>
  <c r="A4700" i="3"/>
  <c r="A4699" i="3"/>
  <c r="A4698" i="3"/>
  <c r="A4697" i="3"/>
  <c r="A4696" i="3"/>
  <c r="A4695" i="3"/>
  <c r="A4694" i="3"/>
  <c r="A4693" i="3"/>
  <c r="A4692" i="3"/>
  <c r="A4691" i="3"/>
  <c r="A4690" i="3"/>
  <c r="A4689" i="3"/>
  <c r="A4688" i="3"/>
  <c r="A4687" i="3"/>
  <c r="A4686" i="3"/>
  <c r="A4685" i="3"/>
  <c r="A4684" i="3"/>
  <c r="A4683" i="3"/>
  <c r="A4682" i="3"/>
  <c r="A4681" i="3"/>
  <c r="A4680" i="3"/>
  <c r="A4679" i="3"/>
  <c r="A4678" i="3"/>
  <c r="A4677" i="3"/>
  <c r="A4676" i="3"/>
  <c r="A4675" i="3"/>
  <c r="A4674" i="3"/>
  <c r="A4673" i="3"/>
  <c r="A4672" i="3"/>
  <c r="A4671" i="3"/>
  <c r="A4670" i="3"/>
  <c r="A4669" i="3"/>
  <c r="A4668" i="3"/>
  <c r="A4667" i="3"/>
  <c r="A4666" i="3"/>
  <c r="A4665" i="3"/>
  <c r="A4664" i="3"/>
  <c r="A4663" i="3"/>
  <c r="A4662" i="3"/>
  <c r="A4661" i="3"/>
  <c r="A4660" i="3"/>
  <c r="A4659" i="3"/>
  <c r="A4658" i="3"/>
  <c r="A4657" i="3"/>
  <c r="A4656" i="3"/>
  <c r="A4655" i="3"/>
  <c r="A4654" i="3"/>
  <c r="A4653" i="3"/>
  <c r="A4652" i="3"/>
  <c r="A4651" i="3"/>
  <c r="A4650" i="3"/>
  <c r="A4649" i="3"/>
  <c r="A4648" i="3"/>
  <c r="A4647" i="3"/>
  <c r="A4646" i="3"/>
  <c r="A4645" i="3"/>
  <c r="A4644" i="3"/>
  <c r="A4643" i="3"/>
  <c r="A4642" i="3"/>
  <c r="A4641" i="3"/>
  <c r="A4640" i="3"/>
  <c r="A4639" i="3"/>
  <c r="A4638" i="3"/>
  <c r="A4637" i="3"/>
  <c r="A4636" i="3"/>
  <c r="A4635" i="3"/>
  <c r="A4634" i="3"/>
  <c r="A4633" i="3"/>
  <c r="A4632" i="3"/>
  <c r="A4631" i="3"/>
  <c r="A4630" i="3"/>
  <c r="A4629" i="3"/>
  <c r="A4628" i="3"/>
  <c r="A4627" i="3"/>
  <c r="A4626" i="3"/>
  <c r="A4625" i="3"/>
  <c r="A4624" i="3"/>
  <c r="A4623" i="3"/>
  <c r="A4622" i="3"/>
  <c r="A4621" i="3"/>
  <c r="A4620" i="3"/>
  <c r="A4619" i="3"/>
  <c r="A4618" i="3"/>
  <c r="A4617" i="3"/>
  <c r="A4616" i="3"/>
  <c r="A4615" i="3"/>
  <c r="A4614" i="3"/>
  <c r="A4613" i="3"/>
  <c r="A4612" i="3"/>
  <c r="A4611" i="3"/>
  <c r="A4610" i="3"/>
  <c r="A4609" i="3"/>
  <c r="A4608" i="3"/>
  <c r="A4607" i="3"/>
  <c r="A4606" i="3"/>
  <c r="A4605" i="3"/>
  <c r="A4604" i="3"/>
  <c r="A4603" i="3"/>
  <c r="A4602" i="3"/>
  <c r="A4601" i="3"/>
  <c r="A4600" i="3"/>
  <c r="A4599" i="3"/>
  <c r="A4598" i="3"/>
  <c r="A4597" i="3"/>
  <c r="A4596" i="3"/>
  <c r="A4595" i="3"/>
  <c r="A4594" i="3"/>
  <c r="A4593" i="3"/>
  <c r="A4592" i="3"/>
  <c r="A4591" i="3"/>
  <c r="A4590" i="3"/>
  <c r="A4589" i="3"/>
  <c r="A4588" i="3"/>
  <c r="A4587" i="3"/>
  <c r="A4586" i="3"/>
  <c r="A4585" i="3"/>
  <c r="A4584" i="3"/>
  <c r="A4583" i="3"/>
  <c r="A4582" i="3"/>
  <c r="A4581" i="3"/>
  <c r="A4580" i="3"/>
  <c r="A4579" i="3"/>
  <c r="A4578" i="3"/>
  <c r="A4577" i="3"/>
  <c r="A4576" i="3"/>
  <c r="A4575" i="3"/>
  <c r="A4574" i="3"/>
  <c r="A4573" i="3"/>
  <c r="A4572" i="3"/>
  <c r="A4571" i="3"/>
  <c r="A4570" i="3"/>
  <c r="A4569" i="3"/>
  <c r="A4568" i="3"/>
  <c r="A4567" i="3"/>
  <c r="A4566" i="3"/>
  <c r="A4565" i="3"/>
  <c r="A4564" i="3"/>
  <c r="A4563" i="3"/>
  <c r="A4562" i="3"/>
  <c r="A4561" i="3"/>
  <c r="A4560" i="3"/>
  <c r="A4559" i="3"/>
  <c r="A4558" i="3"/>
  <c r="A4557" i="3"/>
  <c r="A4556" i="3"/>
  <c r="A4555" i="3"/>
  <c r="A4554" i="3"/>
  <c r="A4553" i="3"/>
  <c r="A4552" i="3"/>
  <c r="A4551" i="3"/>
  <c r="A4550" i="3"/>
  <c r="A4549" i="3"/>
  <c r="A4548" i="3"/>
  <c r="A4547" i="3"/>
  <c r="A4546" i="3"/>
  <c r="A4545" i="3"/>
  <c r="A4544" i="3"/>
  <c r="A4543" i="3"/>
  <c r="A4542" i="3"/>
  <c r="A4541" i="3"/>
  <c r="A4540" i="3"/>
  <c r="A4539" i="3"/>
  <c r="A4538" i="3"/>
  <c r="A4537" i="3"/>
  <c r="A4536" i="3"/>
  <c r="A4535" i="3"/>
  <c r="A4534" i="3"/>
  <c r="A4533" i="3"/>
  <c r="A4532" i="3"/>
  <c r="A4531" i="3"/>
  <c r="A4530" i="3"/>
  <c r="A4529" i="3"/>
  <c r="A4528" i="3"/>
  <c r="A4527" i="3"/>
  <c r="A4526" i="3"/>
  <c r="A4525" i="3"/>
  <c r="A4524" i="3"/>
  <c r="A4523" i="3"/>
  <c r="A4522" i="3"/>
  <c r="A4521" i="3"/>
  <c r="A4520" i="3"/>
  <c r="A4519" i="3"/>
  <c r="A4518" i="3"/>
  <c r="A4517" i="3"/>
  <c r="A4516" i="3"/>
  <c r="A4515" i="3"/>
  <c r="A4514" i="3"/>
  <c r="A4513" i="3"/>
  <c r="A4512" i="3"/>
  <c r="A4511" i="3"/>
  <c r="A4510" i="3"/>
  <c r="A4509" i="3"/>
  <c r="A4508" i="3"/>
  <c r="A4507" i="3"/>
  <c r="A4506" i="3"/>
  <c r="A4505" i="3"/>
  <c r="A4504" i="3"/>
  <c r="A4503" i="3"/>
  <c r="A4502" i="3"/>
  <c r="A4501" i="3"/>
  <c r="A4500" i="3"/>
  <c r="A4499" i="3"/>
  <c r="A4498" i="3"/>
  <c r="A4497" i="3"/>
  <c r="A4496" i="3"/>
  <c r="A4495" i="3"/>
  <c r="A4494" i="3"/>
  <c r="A4493" i="3"/>
  <c r="A4492" i="3"/>
  <c r="A4491" i="3"/>
  <c r="A4490" i="3"/>
  <c r="A4489" i="3"/>
  <c r="A4488" i="3"/>
  <c r="A4487" i="3"/>
  <c r="A4486" i="3"/>
  <c r="A4485" i="3"/>
  <c r="A4484" i="3"/>
  <c r="A4483" i="3"/>
  <c r="A4482" i="3"/>
  <c r="A4481" i="3"/>
  <c r="A4480" i="3"/>
  <c r="A4479" i="3"/>
  <c r="A4478" i="3"/>
  <c r="A4477" i="3"/>
  <c r="A4476" i="3"/>
  <c r="A4475" i="3"/>
  <c r="A4474" i="3"/>
  <c r="A4473" i="3"/>
  <c r="A4472" i="3"/>
  <c r="A4471" i="3"/>
  <c r="A4470" i="3"/>
  <c r="A4469" i="3"/>
  <c r="A4468" i="3"/>
  <c r="A4467" i="3"/>
  <c r="A4466" i="3"/>
  <c r="A4465" i="3"/>
  <c r="A4464" i="3"/>
  <c r="A4463" i="3"/>
  <c r="A4462" i="3"/>
  <c r="A4461" i="3"/>
  <c r="A4460" i="3"/>
  <c r="A4459" i="3"/>
  <c r="A4458" i="3"/>
  <c r="A4457" i="3"/>
  <c r="A4456" i="3"/>
  <c r="A4455" i="3"/>
  <c r="A4454" i="3"/>
  <c r="A4453" i="3"/>
  <c r="A4452" i="3"/>
  <c r="A4451" i="3"/>
  <c r="A4450" i="3"/>
  <c r="A4449" i="3"/>
  <c r="A4448" i="3"/>
  <c r="A4447" i="3"/>
  <c r="A4446" i="3"/>
  <c r="A4445" i="3"/>
  <c r="A4444" i="3"/>
  <c r="A4443" i="3"/>
  <c r="A4442" i="3"/>
  <c r="A4441" i="3"/>
  <c r="A4440" i="3"/>
  <c r="A4439" i="3"/>
  <c r="A4438" i="3"/>
  <c r="A4437" i="3"/>
  <c r="A4436" i="3"/>
  <c r="A4435" i="3"/>
  <c r="A4434" i="3"/>
  <c r="A4433" i="3"/>
  <c r="A4432" i="3"/>
  <c r="A4431" i="3"/>
  <c r="A4430" i="3"/>
  <c r="A4429" i="3"/>
  <c r="A4428" i="3"/>
  <c r="A4427" i="3"/>
  <c r="A4426" i="3"/>
  <c r="A4425" i="3"/>
  <c r="A4424" i="3"/>
  <c r="A4423" i="3"/>
  <c r="A4422" i="3"/>
  <c r="A4421" i="3"/>
  <c r="A4420" i="3"/>
  <c r="A4419" i="3"/>
  <c r="A4418" i="3"/>
  <c r="A4417" i="3"/>
  <c r="A4416" i="3"/>
  <c r="A4415" i="3"/>
  <c r="A4414" i="3"/>
  <c r="A4413" i="3"/>
  <c r="A4412" i="3"/>
  <c r="A4411" i="3"/>
  <c r="A4410" i="3"/>
  <c r="A4409" i="3"/>
  <c r="A4408" i="3"/>
  <c r="A4407" i="3"/>
  <c r="A4406" i="3"/>
  <c r="A4405" i="3"/>
  <c r="A4404" i="3"/>
  <c r="A4403" i="3"/>
  <c r="A4402" i="3"/>
  <c r="A4401" i="3"/>
  <c r="A4400" i="3"/>
  <c r="A4399" i="3"/>
  <c r="A4398" i="3"/>
  <c r="A4397" i="3"/>
  <c r="A4396" i="3"/>
  <c r="A4395" i="3"/>
  <c r="A4394" i="3"/>
  <c r="A4393" i="3"/>
  <c r="A4392" i="3"/>
  <c r="A4391" i="3"/>
  <c r="A4390" i="3"/>
  <c r="A4389" i="3"/>
  <c r="A4388" i="3"/>
  <c r="A4387" i="3"/>
  <c r="A4386" i="3"/>
  <c r="A4385" i="3"/>
  <c r="A4384" i="3"/>
  <c r="A4383" i="3"/>
  <c r="A4382" i="3"/>
  <c r="A4381" i="3"/>
  <c r="A4380" i="3"/>
  <c r="A4379" i="3"/>
  <c r="A4378" i="3"/>
  <c r="A4377" i="3"/>
  <c r="A4376" i="3"/>
  <c r="A4375" i="3"/>
  <c r="A4374" i="3"/>
  <c r="A4373" i="3"/>
  <c r="A4372" i="3"/>
  <c r="A4371" i="3"/>
  <c r="A4370" i="3"/>
  <c r="A4369" i="3"/>
  <c r="A4368" i="3"/>
  <c r="A4367" i="3"/>
  <c r="A4366" i="3"/>
  <c r="A4365" i="3"/>
  <c r="A4364" i="3"/>
  <c r="A4363" i="3"/>
  <c r="A4362" i="3"/>
  <c r="A4361" i="3"/>
  <c r="A4360" i="3"/>
  <c r="A4359" i="3"/>
  <c r="A4358" i="3"/>
  <c r="A4357" i="3"/>
  <c r="A4356" i="3"/>
  <c r="A4355" i="3"/>
  <c r="A4354" i="3"/>
  <c r="A4353" i="3"/>
  <c r="A4352" i="3"/>
  <c r="A4351" i="3"/>
  <c r="A4350" i="3"/>
  <c r="A4349" i="3"/>
  <c r="A4348" i="3"/>
  <c r="A4347" i="3"/>
  <c r="A4346" i="3"/>
  <c r="A4345" i="3"/>
  <c r="A4344" i="3"/>
  <c r="A4343" i="3"/>
  <c r="A4342" i="3"/>
  <c r="A4341" i="3"/>
  <c r="A4340" i="3"/>
  <c r="A4339" i="3"/>
  <c r="A4338" i="3"/>
  <c r="A4337" i="3"/>
  <c r="A4336" i="3"/>
  <c r="A4335" i="3"/>
  <c r="A4334" i="3"/>
  <c r="A4333" i="3"/>
  <c r="A4332" i="3"/>
  <c r="A4331" i="3"/>
  <c r="A4330" i="3"/>
  <c r="A4329" i="3"/>
  <c r="A4328" i="3"/>
  <c r="A4327" i="3"/>
  <c r="A4326" i="3"/>
  <c r="A4325" i="3"/>
  <c r="A4324" i="3"/>
  <c r="A4323" i="3"/>
  <c r="A4322" i="3"/>
  <c r="A4321" i="3"/>
  <c r="A4320" i="3"/>
  <c r="A4319" i="3"/>
  <c r="A4318" i="3"/>
  <c r="A4317" i="3"/>
  <c r="A4316" i="3"/>
  <c r="A4315" i="3"/>
  <c r="A4314" i="3"/>
  <c r="A4313" i="3"/>
  <c r="A4312" i="3"/>
  <c r="A4311" i="3"/>
  <c r="A4310" i="3"/>
  <c r="A4309" i="3"/>
  <c r="A4308" i="3"/>
  <c r="A4307" i="3"/>
  <c r="A4306" i="3"/>
  <c r="A4305" i="3"/>
  <c r="A4304" i="3"/>
  <c r="A4303" i="3"/>
  <c r="A4302" i="3"/>
  <c r="A4301" i="3"/>
  <c r="A4300" i="3"/>
  <c r="A4299" i="3"/>
  <c r="A4298" i="3"/>
  <c r="A4297" i="3"/>
  <c r="A4296" i="3"/>
  <c r="A4295" i="3"/>
  <c r="A4294" i="3"/>
  <c r="A4293" i="3"/>
  <c r="A4292" i="3"/>
  <c r="A4291" i="3"/>
  <c r="A4290" i="3"/>
  <c r="A4289" i="3"/>
  <c r="A4288" i="3"/>
  <c r="A4287" i="3"/>
  <c r="A4286" i="3"/>
  <c r="A4285" i="3"/>
  <c r="A4284" i="3"/>
  <c r="A4283" i="3"/>
  <c r="A4282" i="3"/>
  <c r="A4281" i="3"/>
  <c r="A4280" i="3"/>
  <c r="A4279" i="3"/>
  <c r="A4278" i="3"/>
  <c r="A4277" i="3"/>
  <c r="A4276" i="3"/>
  <c r="A4275" i="3"/>
  <c r="A4274" i="3"/>
  <c r="A4273" i="3"/>
  <c r="A4272" i="3"/>
  <c r="A4271" i="3"/>
  <c r="A4270" i="3"/>
  <c r="A4269" i="3"/>
  <c r="A4268" i="3"/>
  <c r="A4267" i="3"/>
  <c r="A4266" i="3"/>
  <c r="A4265" i="3"/>
  <c r="A4264" i="3"/>
  <c r="A4263" i="3"/>
  <c r="A4262" i="3"/>
  <c r="A4261" i="3"/>
  <c r="A4260" i="3"/>
  <c r="A4259" i="3"/>
  <c r="A4258" i="3"/>
  <c r="A4257" i="3"/>
  <c r="A4256" i="3"/>
  <c r="A4255" i="3"/>
  <c r="A4254" i="3"/>
  <c r="A4253" i="3"/>
  <c r="A4252" i="3"/>
  <c r="A4251" i="3"/>
  <c r="A4250" i="3"/>
  <c r="A4249" i="3"/>
  <c r="A4248" i="3"/>
  <c r="A4247" i="3"/>
  <c r="A4246" i="3"/>
  <c r="A4245" i="3"/>
  <c r="A4244" i="3"/>
  <c r="A4243" i="3"/>
  <c r="A4242" i="3"/>
  <c r="A4241" i="3"/>
  <c r="A4240" i="3"/>
  <c r="A4239" i="3"/>
  <c r="A4238" i="3"/>
  <c r="A4237" i="3"/>
  <c r="A4236" i="3"/>
  <c r="A4235" i="3"/>
  <c r="A4234" i="3"/>
  <c r="A4233" i="3"/>
  <c r="A4232" i="3"/>
  <c r="A4231" i="3"/>
  <c r="A4230" i="3"/>
  <c r="A4229" i="3"/>
  <c r="A4228" i="3"/>
  <c r="A4227" i="3"/>
  <c r="A4226" i="3"/>
  <c r="A4225" i="3"/>
  <c r="A4224" i="3"/>
  <c r="A4223" i="3"/>
  <c r="A4222" i="3"/>
  <c r="A4221" i="3"/>
  <c r="A4220" i="3"/>
  <c r="A4219" i="3"/>
  <c r="A4218" i="3"/>
  <c r="A4217" i="3"/>
  <c r="A4216" i="3"/>
  <c r="A4215" i="3"/>
  <c r="A4214" i="3"/>
  <c r="A4213" i="3"/>
  <c r="A4212" i="3"/>
  <c r="A4211" i="3"/>
  <c r="A4210" i="3"/>
  <c r="A4209" i="3"/>
  <c r="A4208" i="3"/>
  <c r="A4207" i="3"/>
  <c r="A4206" i="3"/>
  <c r="A4205" i="3"/>
  <c r="A4204" i="3"/>
  <c r="A4203" i="3"/>
  <c r="A4202" i="3"/>
  <c r="A4201" i="3"/>
  <c r="A4200" i="3"/>
  <c r="A4199" i="3"/>
  <c r="A4198" i="3"/>
  <c r="A4197" i="3"/>
  <c r="A4196" i="3"/>
  <c r="A4195" i="3"/>
  <c r="A4194" i="3"/>
  <c r="A4193" i="3"/>
  <c r="A4192" i="3"/>
  <c r="A4191" i="3"/>
  <c r="A4190" i="3"/>
  <c r="A4189" i="3"/>
  <c r="A4188" i="3"/>
  <c r="A4187" i="3"/>
  <c r="A4186" i="3"/>
  <c r="A4185" i="3"/>
  <c r="A4184" i="3"/>
  <c r="A4183" i="3"/>
  <c r="A4182" i="3"/>
  <c r="A4181" i="3"/>
  <c r="A4180" i="3"/>
  <c r="A4179" i="3"/>
  <c r="A4178" i="3"/>
  <c r="A4177" i="3"/>
  <c r="A4176" i="3"/>
  <c r="A4175" i="3"/>
  <c r="A4174" i="3"/>
  <c r="A4173" i="3"/>
  <c r="A4172" i="3"/>
  <c r="A4171" i="3"/>
  <c r="A4170" i="3"/>
  <c r="A4169" i="3"/>
  <c r="A4168" i="3"/>
  <c r="A4167" i="3"/>
  <c r="A4166" i="3"/>
  <c r="A4165" i="3"/>
  <c r="A4164" i="3"/>
  <c r="A4163" i="3"/>
  <c r="A4162" i="3"/>
  <c r="A4161" i="3"/>
  <c r="A4160" i="3"/>
  <c r="A4159" i="3"/>
  <c r="A4158" i="3"/>
  <c r="A4157" i="3"/>
  <c r="A4156" i="3"/>
  <c r="A4155" i="3"/>
  <c r="A4154" i="3"/>
  <c r="A4153" i="3"/>
  <c r="A4152" i="3"/>
  <c r="A4151" i="3"/>
  <c r="A4150" i="3"/>
  <c r="A4149" i="3"/>
  <c r="A4148" i="3"/>
  <c r="A4147" i="3"/>
  <c r="A4146" i="3"/>
  <c r="A4145" i="3"/>
  <c r="A4144" i="3"/>
  <c r="A4143" i="3"/>
  <c r="A4142" i="3"/>
  <c r="A4141" i="3"/>
  <c r="A4140" i="3"/>
  <c r="A4139" i="3"/>
  <c r="A4138" i="3"/>
  <c r="A4137" i="3"/>
  <c r="A4136" i="3"/>
  <c r="A4135" i="3"/>
  <c r="A4134" i="3"/>
  <c r="A4133" i="3"/>
  <c r="A4132" i="3"/>
  <c r="A4131" i="3"/>
  <c r="A4130" i="3"/>
  <c r="A4129" i="3"/>
  <c r="A4128" i="3"/>
  <c r="A4127" i="3"/>
  <c r="A4126" i="3"/>
  <c r="A4125" i="3"/>
  <c r="A4124" i="3"/>
  <c r="A4123" i="3"/>
  <c r="A4122" i="3"/>
  <c r="A4121" i="3"/>
  <c r="A4120" i="3"/>
  <c r="A4119" i="3"/>
  <c r="A4118" i="3"/>
  <c r="A4117" i="3"/>
  <c r="A4116" i="3"/>
  <c r="A4115" i="3"/>
  <c r="A4114" i="3"/>
  <c r="A4113" i="3"/>
  <c r="A4112" i="3"/>
  <c r="A4111" i="3"/>
  <c r="A4110" i="3"/>
  <c r="A4109" i="3"/>
  <c r="A4108" i="3"/>
  <c r="A4107" i="3"/>
  <c r="A4106" i="3"/>
  <c r="A4105" i="3"/>
  <c r="A4104" i="3"/>
  <c r="A4103" i="3"/>
  <c r="A4102" i="3"/>
  <c r="A4101" i="3"/>
  <c r="A4100" i="3"/>
  <c r="A4099" i="3"/>
  <c r="A4098" i="3"/>
  <c r="A4097" i="3"/>
  <c r="A4096" i="3"/>
  <c r="A4095" i="3"/>
  <c r="A4094" i="3"/>
  <c r="A4093" i="3"/>
  <c r="A4092" i="3"/>
  <c r="A4091" i="3"/>
  <c r="A4090" i="3"/>
  <c r="A4089" i="3"/>
  <c r="A4088" i="3"/>
  <c r="A4087" i="3"/>
  <c r="A4086" i="3"/>
  <c r="A4085" i="3"/>
  <c r="A4084" i="3"/>
  <c r="A4083" i="3"/>
  <c r="A4082" i="3"/>
  <c r="A4081" i="3"/>
  <c r="A4080" i="3"/>
  <c r="A4079" i="3"/>
  <c r="A4078" i="3"/>
  <c r="A4077" i="3"/>
  <c r="A4076" i="3"/>
  <c r="A4075" i="3"/>
  <c r="A4074" i="3"/>
  <c r="A4073" i="3"/>
  <c r="A4072" i="3"/>
  <c r="A4071" i="3"/>
  <c r="A4070" i="3"/>
  <c r="A4069" i="3"/>
  <c r="A4068" i="3"/>
  <c r="A4067" i="3"/>
  <c r="A4066" i="3"/>
  <c r="A4065" i="3"/>
  <c r="A4064" i="3"/>
  <c r="A4063" i="3"/>
  <c r="A4062" i="3"/>
  <c r="A4061" i="3"/>
  <c r="A4060" i="3"/>
  <c r="A4059" i="3"/>
  <c r="A4058" i="3"/>
  <c r="A4057" i="3"/>
  <c r="A4056" i="3"/>
  <c r="A4055" i="3"/>
  <c r="A4054" i="3"/>
  <c r="A4053" i="3"/>
  <c r="A4052" i="3"/>
  <c r="A4051" i="3"/>
  <c r="A4050" i="3"/>
  <c r="A4049" i="3"/>
  <c r="A4048" i="3"/>
  <c r="A4047" i="3"/>
  <c r="A4046" i="3"/>
  <c r="A4045" i="3"/>
  <c r="A4044" i="3"/>
  <c r="A4043" i="3"/>
  <c r="A4042" i="3"/>
  <c r="A4041" i="3"/>
  <c r="A4040" i="3"/>
  <c r="A4039" i="3"/>
  <c r="A4038" i="3"/>
  <c r="A4037" i="3"/>
  <c r="A4036" i="3"/>
  <c r="A4035" i="3"/>
  <c r="A4034" i="3"/>
  <c r="A4033" i="3"/>
  <c r="A4032" i="3"/>
  <c r="A4031" i="3"/>
  <c r="A4030" i="3"/>
  <c r="A4029" i="3"/>
  <c r="A4028" i="3"/>
  <c r="A4027" i="3"/>
  <c r="A4026" i="3"/>
  <c r="A4025" i="3"/>
  <c r="A4024" i="3"/>
  <c r="A4023" i="3"/>
  <c r="A4022" i="3"/>
  <c r="A4021" i="3"/>
  <c r="A4020" i="3"/>
  <c r="A4019" i="3"/>
  <c r="A4018" i="3"/>
  <c r="A4017" i="3"/>
  <c r="A4016" i="3"/>
  <c r="A4015" i="3"/>
  <c r="A4014" i="3"/>
  <c r="A4013" i="3"/>
  <c r="A4012" i="3"/>
  <c r="A4011" i="3"/>
  <c r="A4010" i="3"/>
  <c r="A4009" i="3"/>
  <c r="A4008" i="3"/>
  <c r="A4007" i="3"/>
  <c r="A4006" i="3"/>
  <c r="A4005" i="3"/>
  <c r="A4004" i="3"/>
  <c r="A4003" i="3"/>
  <c r="A4002" i="3"/>
  <c r="A4001" i="3"/>
  <c r="A4000" i="3"/>
  <c r="A3999" i="3"/>
  <c r="A3998" i="3"/>
  <c r="A3997" i="3"/>
  <c r="A3996" i="3"/>
  <c r="A3995" i="3"/>
  <c r="A3994" i="3"/>
  <c r="A3993" i="3"/>
  <c r="A3992" i="3"/>
  <c r="A3991" i="3"/>
  <c r="A3990" i="3"/>
  <c r="A3989" i="3"/>
  <c r="A3988" i="3"/>
  <c r="A3987" i="3"/>
  <c r="A3986" i="3"/>
  <c r="A3985" i="3"/>
  <c r="A3984" i="3"/>
  <c r="A3983" i="3"/>
  <c r="A3982" i="3"/>
  <c r="A3981" i="3"/>
  <c r="A3980" i="3"/>
  <c r="A3979" i="3"/>
  <c r="A3978" i="3"/>
  <c r="A3977" i="3"/>
  <c r="A3976" i="3"/>
  <c r="A3975" i="3"/>
  <c r="A3974" i="3"/>
  <c r="A3973" i="3"/>
  <c r="A3972" i="3"/>
  <c r="A3971" i="3"/>
  <c r="A3970" i="3"/>
  <c r="A3969" i="3"/>
  <c r="A3968" i="3"/>
  <c r="A3967" i="3"/>
  <c r="A3966" i="3"/>
  <c r="A3965" i="3"/>
  <c r="A3964" i="3"/>
  <c r="A3963" i="3"/>
  <c r="A3962" i="3"/>
  <c r="A3961" i="3"/>
  <c r="A3960" i="3"/>
  <c r="A3959" i="3"/>
  <c r="A3958" i="3"/>
  <c r="A3957" i="3"/>
  <c r="A3956" i="3"/>
  <c r="A3955" i="3"/>
  <c r="A3954" i="3"/>
  <c r="A3953" i="3"/>
  <c r="A3952" i="3"/>
  <c r="A3951" i="3"/>
  <c r="A3950" i="3"/>
  <c r="A3949" i="3"/>
  <c r="A3948" i="3"/>
  <c r="A3947" i="3"/>
  <c r="A3946" i="3"/>
  <c r="A3945" i="3"/>
  <c r="A3944" i="3"/>
  <c r="A3943" i="3"/>
  <c r="A3942" i="3"/>
  <c r="A3941" i="3"/>
  <c r="A3940" i="3"/>
  <c r="A3939" i="3"/>
  <c r="A3938" i="3"/>
  <c r="A3937" i="3"/>
  <c r="A3936" i="3"/>
  <c r="A3935" i="3"/>
  <c r="A3934" i="3"/>
  <c r="A3933" i="3"/>
  <c r="A3932" i="3"/>
  <c r="A3931" i="3"/>
  <c r="A3930" i="3"/>
  <c r="A3929" i="3"/>
  <c r="A3928" i="3"/>
  <c r="A3927" i="3"/>
  <c r="A3926" i="3"/>
  <c r="A3925" i="3"/>
  <c r="A3924" i="3"/>
  <c r="A3923" i="3"/>
  <c r="A3922" i="3"/>
  <c r="A3921" i="3"/>
  <c r="A3920" i="3"/>
  <c r="A3919" i="3"/>
  <c r="A3918" i="3"/>
  <c r="A3917" i="3"/>
  <c r="A3916" i="3"/>
  <c r="A3915" i="3"/>
  <c r="A3914" i="3"/>
  <c r="A3913" i="3"/>
  <c r="A3912" i="3"/>
  <c r="A3911" i="3"/>
  <c r="A3910" i="3"/>
  <c r="A3909" i="3"/>
  <c r="A3908" i="3"/>
  <c r="A3907" i="3"/>
  <c r="A3906" i="3"/>
  <c r="A3905" i="3"/>
  <c r="A3904" i="3"/>
  <c r="A3903" i="3"/>
  <c r="A3902" i="3"/>
  <c r="A3901" i="3"/>
  <c r="A3900" i="3"/>
  <c r="A3899" i="3"/>
  <c r="A3898" i="3"/>
  <c r="A3897" i="3"/>
  <c r="A3896" i="3"/>
  <c r="A3895" i="3"/>
  <c r="A3894" i="3"/>
  <c r="A3893" i="3"/>
  <c r="A3892" i="3"/>
  <c r="A3891" i="3"/>
  <c r="A3890" i="3"/>
  <c r="A3889" i="3"/>
  <c r="A3888" i="3"/>
  <c r="A3887" i="3"/>
  <c r="A3886" i="3"/>
  <c r="A3885" i="3"/>
  <c r="A3884" i="3"/>
  <c r="A3883" i="3"/>
  <c r="A3882" i="3"/>
  <c r="A3881" i="3"/>
  <c r="A3880" i="3"/>
  <c r="A3879" i="3"/>
  <c r="A3878" i="3"/>
  <c r="A3877" i="3"/>
  <c r="A3876" i="3"/>
  <c r="A3875" i="3"/>
  <c r="A3874" i="3"/>
  <c r="A3873" i="3"/>
  <c r="A3872" i="3"/>
  <c r="A3871" i="3"/>
  <c r="A3870" i="3"/>
  <c r="A3869" i="3"/>
  <c r="A3868" i="3"/>
  <c r="A3867" i="3"/>
  <c r="A3866" i="3"/>
  <c r="A3865" i="3"/>
  <c r="A3864" i="3"/>
  <c r="A3863" i="3"/>
  <c r="A3862" i="3"/>
  <c r="A3861" i="3"/>
  <c r="A3860" i="3"/>
  <c r="A3859" i="3"/>
  <c r="A3858" i="3"/>
  <c r="A3857" i="3"/>
  <c r="A3856" i="3"/>
  <c r="A3855" i="3"/>
  <c r="A3854" i="3"/>
  <c r="A3853" i="3"/>
  <c r="A3852" i="3"/>
  <c r="A3851" i="3"/>
  <c r="A3850" i="3"/>
  <c r="A3849" i="3"/>
  <c r="A3848" i="3"/>
  <c r="A3847" i="3"/>
  <c r="A3846" i="3"/>
  <c r="A3845" i="3"/>
  <c r="A3844" i="3"/>
  <c r="A3843" i="3"/>
  <c r="A3842" i="3"/>
  <c r="A3841" i="3"/>
  <c r="A3840" i="3"/>
  <c r="A3839" i="3"/>
  <c r="A3838" i="3"/>
  <c r="A3837" i="3"/>
  <c r="A3836" i="3"/>
  <c r="A3835" i="3"/>
  <c r="A3834" i="3"/>
  <c r="A3833" i="3"/>
  <c r="A3832" i="3"/>
  <c r="A3831" i="3"/>
  <c r="A3830" i="3"/>
  <c r="A3829" i="3"/>
  <c r="A3828" i="3"/>
  <c r="A3827" i="3"/>
  <c r="A3826" i="3"/>
  <c r="A3825" i="3"/>
  <c r="A3824" i="3"/>
  <c r="A3823" i="3"/>
  <c r="A3822" i="3"/>
  <c r="A3821" i="3"/>
  <c r="A3820" i="3"/>
  <c r="A3819" i="3"/>
  <c r="A3818" i="3"/>
  <c r="A3817" i="3"/>
  <c r="A3816" i="3"/>
  <c r="A3815" i="3"/>
  <c r="A3814" i="3"/>
  <c r="A3813" i="3"/>
  <c r="A3812" i="3"/>
  <c r="A3811" i="3"/>
  <c r="A3810" i="3"/>
  <c r="A3809" i="3"/>
  <c r="A3808" i="3"/>
  <c r="A3807" i="3"/>
  <c r="A3806" i="3"/>
  <c r="A3805" i="3"/>
  <c r="A3804" i="3"/>
  <c r="A3803" i="3"/>
  <c r="A3802" i="3"/>
  <c r="A3801" i="3"/>
  <c r="A3800" i="3"/>
  <c r="A3799" i="3"/>
  <c r="A3798" i="3"/>
  <c r="A3797" i="3"/>
  <c r="A3796" i="3"/>
  <c r="A3795" i="3"/>
  <c r="A3794" i="3"/>
  <c r="A3793" i="3"/>
  <c r="A3792" i="3"/>
  <c r="A3791" i="3"/>
  <c r="A3790" i="3"/>
  <c r="A3789" i="3"/>
  <c r="A3788" i="3"/>
  <c r="A3787" i="3"/>
  <c r="A3786" i="3"/>
  <c r="A3785" i="3"/>
  <c r="A3784" i="3"/>
  <c r="A3783" i="3"/>
  <c r="A3782" i="3"/>
  <c r="A3781" i="3"/>
  <c r="A3780" i="3"/>
  <c r="A3779" i="3"/>
  <c r="A3778" i="3"/>
  <c r="A3777" i="3"/>
  <c r="A3776" i="3"/>
  <c r="A3775" i="3"/>
  <c r="A3774" i="3"/>
  <c r="A3773" i="3"/>
  <c r="A3772" i="3"/>
  <c r="A3771" i="3"/>
  <c r="A3770" i="3"/>
  <c r="A3769" i="3"/>
  <c r="A3768" i="3"/>
  <c r="A3767" i="3"/>
  <c r="A3766" i="3"/>
  <c r="A3765" i="3"/>
  <c r="A3764" i="3"/>
  <c r="A3763" i="3"/>
  <c r="A3762" i="3"/>
  <c r="A3761" i="3"/>
  <c r="A3760" i="3"/>
  <c r="A3759" i="3"/>
  <c r="A3758" i="3"/>
  <c r="A3757" i="3"/>
  <c r="A3756" i="3"/>
  <c r="A3755" i="3"/>
  <c r="A3754" i="3"/>
  <c r="A3753" i="3"/>
  <c r="A3752" i="3"/>
  <c r="A3751" i="3"/>
  <c r="A3750" i="3"/>
  <c r="A3749" i="3"/>
  <c r="A3748" i="3"/>
  <c r="A3747" i="3"/>
  <c r="A3746" i="3"/>
  <c r="A3745" i="3"/>
  <c r="A3744" i="3"/>
  <c r="A3743" i="3"/>
  <c r="A3742" i="3"/>
  <c r="A3741" i="3"/>
  <c r="A3740" i="3"/>
  <c r="A3739" i="3"/>
  <c r="A3738" i="3"/>
  <c r="A3737" i="3"/>
  <c r="A3736" i="3"/>
  <c r="A3735" i="3"/>
  <c r="A3734" i="3"/>
  <c r="A3733" i="3"/>
  <c r="A3732" i="3"/>
  <c r="A3731" i="3"/>
  <c r="A3730" i="3"/>
  <c r="A3729" i="3"/>
  <c r="A3728" i="3"/>
  <c r="A3727" i="3"/>
  <c r="A3726" i="3"/>
  <c r="A3725" i="3"/>
  <c r="A3724" i="3"/>
  <c r="A3723" i="3"/>
  <c r="A3722" i="3"/>
  <c r="A3721" i="3"/>
  <c r="A3720" i="3"/>
  <c r="A3719" i="3"/>
  <c r="A3718" i="3"/>
  <c r="A3717" i="3"/>
  <c r="A3716" i="3"/>
  <c r="A3715" i="3"/>
  <c r="A3714" i="3"/>
  <c r="A3713" i="3"/>
  <c r="A3712" i="3"/>
  <c r="A3711" i="3"/>
  <c r="A3710" i="3"/>
  <c r="A3709" i="3"/>
  <c r="A3708" i="3"/>
  <c r="A3707" i="3"/>
  <c r="A3706" i="3"/>
  <c r="A3705" i="3"/>
  <c r="A3704" i="3"/>
  <c r="A3703" i="3"/>
  <c r="A3702" i="3"/>
  <c r="A3701" i="3"/>
  <c r="A3700" i="3"/>
  <c r="A3699" i="3"/>
  <c r="A3698" i="3"/>
  <c r="A3697" i="3"/>
  <c r="A3696" i="3"/>
  <c r="A3695" i="3"/>
  <c r="A3694" i="3"/>
  <c r="A3693" i="3"/>
  <c r="A3692" i="3"/>
  <c r="A3691" i="3"/>
  <c r="A3690" i="3"/>
  <c r="A3689" i="3"/>
  <c r="A3688" i="3"/>
  <c r="A3687" i="3"/>
  <c r="A3686" i="3"/>
  <c r="A3685" i="3"/>
  <c r="A3684" i="3"/>
  <c r="A3683" i="3"/>
  <c r="A3682" i="3"/>
  <c r="A3681" i="3"/>
  <c r="A3680" i="3"/>
  <c r="A3679" i="3"/>
  <c r="A3678" i="3"/>
  <c r="A3677" i="3"/>
  <c r="A3676" i="3"/>
  <c r="A3675" i="3"/>
  <c r="A3674" i="3"/>
  <c r="A3673" i="3"/>
  <c r="A3672" i="3"/>
  <c r="A3671" i="3"/>
  <c r="A3670" i="3"/>
  <c r="A3669" i="3"/>
  <c r="A3668" i="3"/>
  <c r="A3667" i="3"/>
  <c r="A3666" i="3"/>
  <c r="A3665" i="3"/>
  <c r="A3664" i="3"/>
  <c r="A3663" i="3"/>
  <c r="A3662" i="3"/>
  <c r="A3661" i="3"/>
  <c r="A3660" i="3"/>
  <c r="A3659" i="3"/>
  <c r="A3658" i="3"/>
  <c r="A3657" i="3"/>
  <c r="A3656" i="3"/>
  <c r="A3655" i="3"/>
  <c r="A3654" i="3"/>
  <c r="A3653" i="3"/>
  <c r="A3652" i="3"/>
  <c r="A3651" i="3"/>
  <c r="A3650" i="3"/>
  <c r="A3649" i="3"/>
  <c r="A3648" i="3"/>
  <c r="A3647" i="3"/>
  <c r="A3646" i="3"/>
  <c r="A3645" i="3"/>
  <c r="A3644" i="3"/>
  <c r="A3643" i="3"/>
  <c r="A3642" i="3"/>
  <c r="A3641" i="3"/>
  <c r="A3640" i="3"/>
  <c r="A3639" i="3"/>
  <c r="A3638" i="3"/>
  <c r="A3637" i="3"/>
  <c r="A3636" i="3"/>
  <c r="A3635" i="3"/>
  <c r="A3634" i="3"/>
  <c r="A3633" i="3"/>
  <c r="A3632" i="3"/>
  <c r="A3631" i="3"/>
  <c r="A3630" i="3"/>
  <c r="A3629" i="3"/>
  <c r="A3628" i="3"/>
  <c r="A3627" i="3"/>
  <c r="A3626" i="3"/>
  <c r="A3625" i="3"/>
  <c r="A3624" i="3"/>
  <c r="A3623" i="3"/>
  <c r="A3622" i="3"/>
  <c r="A3621" i="3"/>
  <c r="A3620" i="3"/>
  <c r="A3619" i="3"/>
  <c r="A3618" i="3"/>
  <c r="A3617" i="3"/>
  <c r="A3616" i="3"/>
  <c r="A3615" i="3"/>
  <c r="A3614" i="3"/>
  <c r="A3613" i="3"/>
  <c r="A3612" i="3"/>
  <c r="A3611" i="3"/>
  <c r="A3610" i="3"/>
  <c r="A3609" i="3"/>
  <c r="A3608" i="3"/>
  <c r="A3607" i="3"/>
  <c r="A3606" i="3"/>
  <c r="A3605" i="3"/>
  <c r="A3604" i="3"/>
  <c r="A3603" i="3"/>
  <c r="A3602" i="3"/>
  <c r="A3601" i="3"/>
  <c r="A3600" i="3"/>
  <c r="A3599" i="3"/>
  <c r="A3598" i="3"/>
  <c r="A3597" i="3"/>
  <c r="A3596" i="3"/>
  <c r="A3595" i="3"/>
  <c r="A3594" i="3"/>
  <c r="A3593" i="3"/>
  <c r="A3592" i="3"/>
  <c r="A3591" i="3"/>
  <c r="A3590" i="3"/>
  <c r="A3589" i="3"/>
  <c r="A3588" i="3"/>
  <c r="A3587" i="3"/>
  <c r="A3586" i="3"/>
  <c r="A3585" i="3"/>
  <c r="A3584" i="3"/>
  <c r="A3583" i="3"/>
  <c r="A3582" i="3"/>
  <c r="A3581" i="3"/>
  <c r="A3580" i="3"/>
  <c r="A3579" i="3"/>
  <c r="A3578" i="3"/>
  <c r="A3577" i="3"/>
  <c r="A3576" i="3"/>
  <c r="A3575" i="3"/>
  <c r="A3574" i="3"/>
  <c r="A3573" i="3"/>
  <c r="A3572" i="3"/>
  <c r="A3571" i="3"/>
  <c r="A3570" i="3"/>
  <c r="A3569" i="3"/>
  <c r="A3568" i="3"/>
  <c r="A3567" i="3"/>
  <c r="A3566" i="3"/>
  <c r="A3565" i="3"/>
  <c r="A3564" i="3"/>
  <c r="A3563" i="3"/>
  <c r="A3562" i="3"/>
  <c r="A3561" i="3"/>
  <c r="A3560" i="3"/>
  <c r="A3559" i="3"/>
  <c r="A3558" i="3"/>
  <c r="A3557" i="3"/>
  <c r="A3556" i="3"/>
  <c r="A3555" i="3"/>
  <c r="A3554" i="3"/>
  <c r="A3553" i="3"/>
  <c r="A3552" i="3"/>
  <c r="A3551" i="3"/>
  <c r="A3550" i="3"/>
  <c r="A3549" i="3"/>
  <c r="A3548" i="3"/>
  <c r="A3547" i="3"/>
  <c r="A3546" i="3"/>
  <c r="A3545" i="3"/>
  <c r="A3544" i="3"/>
  <c r="A3543" i="3"/>
  <c r="A3542" i="3"/>
  <c r="A3541" i="3"/>
  <c r="A3540" i="3"/>
  <c r="A3539" i="3"/>
  <c r="A3538" i="3"/>
  <c r="A3537" i="3"/>
  <c r="A3536" i="3"/>
  <c r="A3535" i="3"/>
  <c r="A3534" i="3"/>
  <c r="A3533" i="3"/>
  <c r="A3532" i="3"/>
  <c r="A3531" i="3"/>
  <c r="A3530" i="3"/>
  <c r="A3529" i="3"/>
  <c r="A3528" i="3"/>
  <c r="A3527" i="3"/>
  <c r="A3526" i="3"/>
  <c r="A3525" i="3"/>
  <c r="A3524" i="3"/>
  <c r="A3523" i="3"/>
  <c r="A3522" i="3"/>
  <c r="A3521" i="3"/>
  <c r="A3520" i="3"/>
  <c r="A3519" i="3"/>
  <c r="A3518" i="3"/>
  <c r="A3517" i="3"/>
  <c r="A3516" i="3"/>
  <c r="A3515" i="3"/>
  <c r="A3514" i="3"/>
  <c r="A3513" i="3"/>
  <c r="A3512" i="3"/>
  <c r="A3511" i="3"/>
  <c r="A3510" i="3"/>
  <c r="A3509" i="3"/>
  <c r="A3508" i="3"/>
  <c r="A3507" i="3"/>
  <c r="A3506" i="3"/>
  <c r="A3505" i="3"/>
  <c r="A3504" i="3"/>
  <c r="A3503" i="3"/>
  <c r="A3502" i="3"/>
  <c r="A3501" i="3"/>
  <c r="A3500" i="3"/>
  <c r="A3499" i="3"/>
  <c r="A3498" i="3"/>
  <c r="A3497" i="3"/>
  <c r="A3496" i="3"/>
  <c r="A3495" i="3"/>
  <c r="A3494" i="3"/>
  <c r="A3493" i="3"/>
  <c r="A3492" i="3"/>
  <c r="A3491" i="3"/>
  <c r="A3490" i="3"/>
  <c r="A3489" i="3"/>
  <c r="A3488" i="3"/>
  <c r="A3487" i="3"/>
  <c r="A3486" i="3"/>
  <c r="A3485" i="3"/>
  <c r="A3484" i="3"/>
  <c r="A3483" i="3"/>
  <c r="A3482" i="3"/>
  <c r="A3481" i="3"/>
  <c r="A3480" i="3"/>
  <c r="A3479" i="3"/>
  <c r="A3478" i="3"/>
  <c r="A3477" i="3"/>
  <c r="A3476" i="3"/>
  <c r="A3475" i="3"/>
  <c r="A3474" i="3"/>
  <c r="A3473" i="3"/>
  <c r="A3472" i="3"/>
  <c r="A3471" i="3"/>
  <c r="A3470" i="3"/>
  <c r="A3469" i="3"/>
  <c r="A3468" i="3"/>
  <c r="A3467" i="3"/>
  <c r="A3466" i="3"/>
  <c r="A3465" i="3"/>
  <c r="A3464" i="3"/>
  <c r="A3463" i="3"/>
  <c r="A3462" i="3"/>
  <c r="A3461" i="3"/>
  <c r="A3460" i="3"/>
  <c r="A3459" i="3"/>
  <c r="A3458" i="3"/>
  <c r="A3457" i="3"/>
  <c r="A3456" i="3"/>
  <c r="A3455" i="3"/>
  <c r="A3454" i="3"/>
  <c r="A3453" i="3"/>
  <c r="A3452" i="3"/>
  <c r="A3451" i="3"/>
  <c r="A3450" i="3"/>
  <c r="A3449" i="3"/>
  <c r="A3448" i="3"/>
  <c r="A3447" i="3"/>
  <c r="A3446" i="3"/>
  <c r="A3445" i="3"/>
  <c r="A3444" i="3"/>
  <c r="A3443" i="3"/>
  <c r="A3442" i="3"/>
  <c r="A3441" i="3"/>
  <c r="A3440" i="3"/>
  <c r="A3439" i="3"/>
  <c r="A3438" i="3"/>
  <c r="A3437" i="3"/>
  <c r="A3436" i="3"/>
  <c r="A3435" i="3"/>
  <c r="A3434" i="3"/>
  <c r="A3433" i="3"/>
  <c r="A3432" i="3"/>
  <c r="A3431" i="3"/>
  <c r="A3430" i="3"/>
  <c r="A3429" i="3"/>
  <c r="A3428" i="3"/>
  <c r="A3427" i="3"/>
  <c r="A3426" i="3"/>
  <c r="A3425" i="3"/>
  <c r="A3424" i="3"/>
  <c r="A3423" i="3"/>
  <c r="A3422" i="3"/>
  <c r="A3421" i="3"/>
  <c r="A3420" i="3"/>
  <c r="A3419" i="3"/>
  <c r="A3418" i="3"/>
  <c r="A3417" i="3"/>
  <c r="A3416" i="3"/>
  <c r="A3415" i="3"/>
  <c r="A3414" i="3"/>
  <c r="A3413" i="3"/>
  <c r="A3412" i="3"/>
  <c r="A3411" i="3"/>
  <c r="A3410" i="3"/>
  <c r="A3409" i="3"/>
  <c r="A3408" i="3"/>
  <c r="A3407" i="3"/>
  <c r="A3406" i="3"/>
  <c r="A3405" i="3"/>
  <c r="A3404" i="3"/>
  <c r="A3403" i="3"/>
  <c r="A3402" i="3"/>
  <c r="A3401" i="3"/>
  <c r="A3400" i="3"/>
  <c r="A3399" i="3"/>
  <c r="A3398" i="3"/>
  <c r="A3397" i="3"/>
  <c r="A3396" i="3"/>
  <c r="A3395" i="3"/>
  <c r="A3394" i="3"/>
  <c r="A3393" i="3"/>
  <c r="A3392" i="3"/>
  <c r="A3391" i="3"/>
  <c r="A3390" i="3"/>
  <c r="A3389" i="3"/>
  <c r="A3388" i="3"/>
  <c r="A3387" i="3"/>
  <c r="A3386" i="3"/>
  <c r="A3385" i="3"/>
  <c r="A3384" i="3"/>
  <c r="A3383" i="3"/>
  <c r="A3382" i="3"/>
  <c r="A3381" i="3"/>
  <c r="A3380" i="3"/>
  <c r="A3379" i="3"/>
  <c r="A3378" i="3"/>
  <c r="A3377" i="3"/>
  <c r="A3376" i="3"/>
  <c r="A3375" i="3"/>
  <c r="A3374" i="3"/>
  <c r="A3373" i="3"/>
  <c r="A3372" i="3"/>
  <c r="A3371" i="3"/>
  <c r="A3370" i="3"/>
  <c r="A3369" i="3"/>
  <c r="A3368" i="3"/>
  <c r="A3367" i="3"/>
  <c r="A3366" i="3"/>
  <c r="A3365" i="3"/>
  <c r="A3364" i="3"/>
  <c r="A3363" i="3"/>
  <c r="A3362" i="3"/>
  <c r="A3361" i="3"/>
  <c r="A3360" i="3"/>
  <c r="A3359" i="3"/>
  <c r="A3358" i="3"/>
  <c r="A3357" i="3"/>
  <c r="A3356" i="3"/>
  <c r="A3355" i="3"/>
  <c r="A3354" i="3"/>
  <c r="A3353" i="3"/>
  <c r="A3352" i="3"/>
  <c r="A3351" i="3"/>
  <c r="A3350" i="3"/>
  <c r="A3349" i="3"/>
  <c r="A3348" i="3"/>
  <c r="A3347" i="3"/>
  <c r="A3346" i="3"/>
  <c r="A3345" i="3"/>
  <c r="A3344" i="3"/>
  <c r="A3343" i="3"/>
  <c r="A3342" i="3"/>
  <c r="A3341" i="3"/>
  <c r="A3340" i="3"/>
  <c r="A3339" i="3"/>
  <c r="A3338" i="3"/>
  <c r="A3337" i="3"/>
  <c r="A3336" i="3"/>
  <c r="A3335" i="3"/>
  <c r="A3334" i="3"/>
  <c r="A3333" i="3"/>
  <c r="A3332" i="3"/>
  <c r="A3331" i="3"/>
  <c r="A3330" i="3"/>
  <c r="A3329" i="3"/>
  <c r="A3328" i="3"/>
  <c r="A3327" i="3"/>
  <c r="A3326" i="3"/>
  <c r="A3325" i="3"/>
  <c r="A3324" i="3"/>
  <c r="A3323" i="3"/>
  <c r="A3322" i="3"/>
  <c r="A3321" i="3"/>
  <c r="A3320" i="3"/>
  <c r="A3319" i="3"/>
  <c r="A3318" i="3"/>
  <c r="A3317" i="3"/>
  <c r="A3316" i="3"/>
  <c r="A3315" i="3"/>
  <c r="A3314" i="3"/>
  <c r="A3313" i="3"/>
  <c r="A3312" i="3"/>
  <c r="A3311" i="3"/>
  <c r="A3310" i="3"/>
  <c r="A3309" i="3"/>
  <c r="A3308" i="3"/>
  <c r="A3307" i="3"/>
  <c r="A3306" i="3"/>
  <c r="A3305" i="3"/>
  <c r="A3304" i="3"/>
  <c r="A3303" i="3"/>
  <c r="A3302" i="3"/>
  <c r="A3301" i="3"/>
  <c r="A3300" i="3"/>
  <c r="A3299" i="3"/>
  <c r="A3298" i="3"/>
  <c r="A3297" i="3"/>
  <c r="A3296" i="3"/>
  <c r="A3295" i="3"/>
  <c r="A3294" i="3"/>
  <c r="A3293" i="3"/>
  <c r="A3292" i="3"/>
  <c r="A3291" i="3"/>
  <c r="A3290" i="3"/>
  <c r="A3289" i="3"/>
  <c r="A3288" i="3"/>
  <c r="A3287" i="3"/>
  <c r="A3286" i="3"/>
  <c r="A3285" i="3"/>
  <c r="A3284" i="3"/>
  <c r="A3283" i="3"/>
  <c r="A3282" i="3"/>
  <c r="A3281" i="3"/>
  <c r="A3280" i="3"/>
  <c r="A3279" i="3"/>
  <c r="A3278" i="3"/>
  <c r="A3277" i="3"/>
  <c r="A3276" i="3"/>
  <c r="A3275" i="3"/>
  <c r="A3274" i="3"/>
  <c r="A3273" i="3"/>
  <c r="A3272" i="3"/>
  <c r="A3271" i="3"/>
  <c r="A3270" i="3"/>
  <c r="A3269" i="3"/>
  <c r="A3268" i="3"/>
  <c r="A3267" i="3"/>
  <c r="A3266" i="3"/>
  <c r="A3265" i="3"/>
  <c r="A3264" i="3"/>
  <c r="A3263" i="3"/>
  <c r="A3262" i="3"/>
  <c r="A3261" i="3"/>
  <c r="A3260" i="3"/>
  <c r="A3259" i="3"/>
  <c r="A3258" i="3"/>
  <c r="A3257" i="3"/>
  <c r="A3256" i="3"/>
  <c r="A3255" i="3"/>
  <c r="A3254" i="3"/>
  <c r="A3253" i="3"/>
  <c r="A3252" i="3"/>
  <c r="A3251" i="3"/>
  <c r="A3250" i="3"/>
  <c r="A3249" i="3"/>
  <c r="A3248" i="3"/>
  <c r="A3247" i="3"/>
  <c r="A3246" i="3"/>
  <c r="A3245" i="3"/>
  <c r="A3244" i="3"/>
  <c r="A3243" i="3"/>
  <c r="A3242" i="3"/>
  <c r="A3241" i="3"/>
  <c r="A3240" i="3"/>
  <c r="A3239" i="3"/>
  <c r="A3238" i="3"/>
  <c r="A3237" i="3"/>
  <c r="A3236" i="3"/>
  <c r="A3235" i="3"/>
  <c r="A3234" i="3"/>
  <c r="A3233" i="3"/>
  <c r="A3232" i="3"/>
  <c r="A3231" i="3"/>
  <c r="A3230" i="3"/>
  <c r="A3229" i="3"/>
  <c r="A3228" i="3"/>
  <c r="A3227" i="3"/>
  <c r="A3226" i="3"/>
  <c r="A3225" i="3"/>
  <c r="A3224" i="3"/>
  <c r="A3223" i="3"/>
  <c r="A3222" i="3"/>
  <c r="A3221" i="3"/>
  <c r="A3220" i="3"/>
  <c r="A3219" i="3"/>
  <c r="A3218" i="3"/>
  <c r="A3217" i="3"/>
  <c r="A3216" i="3"/>
  <c r="A3215" i="3"/>
  <c r="A3214" i="3"/>
  <c r="A3213" i="3"/>
  <c r="A3212" i="3"/>
  <c r="A3211" i="3"/>
  <c r="A3210" i="3"/>
  <c r="A3209" i="3"/>
  <c r="A3208" i="3"/>
  <c r="A3207" i="3"/>
  <c r="A3206" i="3"/>
  <c r="A3205" i="3"/>
  <c r="A3204" i="3"/>
  <c r="A3203" i="3"/>
  <c r="A3202" i="3"/>
  <c r="A3201" i="3"/>
  <c r="A3200" i="3"/>
  <c r="A3199" i="3"/>
  <c r="A3198" i="3"/>
  <c r="A3197" i="3"/>
  <c r="A3196" i="3"/>
  <c r="A3195" i="3"/>
  <c r="A3194" i="3"/>
  <c r="A3193" i="3"/>
  <c r="A3192" i="3"/>
  <c r="A3191" i="3"/>
  <c r="A3190" i="3"/>
  <c r="A3189" i="3"/>
  <c r="A3188" i="3"/>
  <c r="A3187" i="3"/>
  <c r="A3186" i="3"/>
  <c r="A3185" i="3"/>
  <c r="A3184" i="3"/>
  <c r="A3183" i="3"/>
  <c r="A3182" i="3"/>
  <c r="A3181" i="3"/>
  <c r="A3180" i="3"/>
  <c r="A3179" i="3"/>
  <c r="A3178" i="3"/>
  <c r="A3177" i="3"/>
  <c r="A3176" i="3"/>
  <c r="A3175" i="3"/>
  <c r="A3174" i="3"/>
  <c r="A3173" i="3"/>
  <c r="A3172" i="3"/>
  <c r="A3171" i="3"/>
  <c r="A3170" i="3"/>
  <c r="A3169" i="3"/>
  <c r="A3168" i="3"/>
  <c r="A3167" i="3"/>
  <c r="A3166" i="3"/>
  <c r="A3165" i="3"/>
  <c r="A3164" i="3"/>
  <c r="A3163" i="3"/>
  <c r="A3162" i="3"/>
  <c r="A3161" i="3"/>
  <c r="A3160" i="3"/>
  <c r="A3159" i="3"/>
  <c r="A3158" i="3"/>
  <c r="A3157" i="3"/>
  <c r="A3156" i="3"/>
  <c r="A3155" i="3"/>
  <c r="A3154" i="3"/>
  <c r="A3153" i="3"/>
  <c r="A3152" i="3"/>
  <c r="A3151" i="3"/>
  <c r="A3150" i="3"/>
  <c r="A3149" i="3"/>
  <c r="A3148" i="3"/>
  <c r="A3147" i="3"/>
  <c r="A3146" i="3"/>
  <c r="A3145" i="3"/>
  <c r="A3144" i="3"/>
  <c r="A3143" i="3"/>
  <c r="A3142" i="3"/>
  <c r="A3141" i="3"/>
  <c r="A3140" i="3"/>
  <c r="A3139" i="3"/>
  <c r="A3138" i="3"/>
  <c r="A3137" i="3"/>
  <c r="A3136" i="3"/>
  <c r="A3135" i="3"/>
  <c r="A3134" i="3"/>
  <c r="A3133" i="3"/>
  <c r="A3132" i="3"/>
  <c r="A3131" i="3"/>
  <c r="A3130" i="3"/>
  <c r="A3129" i="3"/>
  <c r="A3128" i="3"/>
  <c r="A3127" i="3"/>
  <c r="A3126" i="3"/>
  <c r="A3125" i="3"/>
  <c r="A3124" i="3"/>
  <c r="A3123" i="3"/>
  <c r="A3122" i="3"/>
  <c r="A3121" i="3"/>
  <c r="A3120" i="3"/>
  <c r="A3119" i="3"/>
  <c r="A3118" i="3"/>
  <c r="A3117" i="3"/>
  <c r="A3116" i="3"/>
  <c r="A3115" i="3"/>
  <c r="A3114" i="3"/>
  <c r="A3113" i="3"/>
  <c r="A3112" i="3"/>
  <c r="A3111" i="3"/>
  <c r="A3110" i="3"/>
  <c r="A3109" i="3"/>
  <c r="A3108" i="3"/>
  <c r="A3107" i="3"/>
  <c r="A3106" i="3"/>
  <c r="A3105" i="3"/>
  <c r="A3104" i="3"/>
  <c r="A3103" i="3"/>
  <c r="A3102" i="3"/>
  <c r="A3101" i="3"/>
  <c r="A3100" i="3"/>
  <c r="A3099" i="3"/>
  <c r="A3098" i="3"/>
  <c r="A3097" i="3"/>
  <c r="A3096" i="3"/>
  <c r="A3095" i="3"/>
  <c r="A3094" i="3"/>
  <c r="A3093" i="3"/>
  <c r="A3092" i="3"/>
  <c r="A3091" i="3"/>
  <c r="A3090" i="3"/>
  <c r="A3089" i="3"/>
  <c r="A3088" i="3"/>
  <c r="A3087" i="3"/>
  <c r="A3086" i="3"/>
  <c r="A3085" i="3"/>
  <c r="A3084" i="3"/>
  <c r="A3083" i="3"/>
  <c r="A3082" i="3"/>
  <c r="A3081" i="3"/>
  <c r="A3080" i="3"/>
  <c r="A3079" i="3"/>
  <c r="A3078" i="3"/>
  <c r="A3077" i="3"/>
  <c r="A3076" i="3"/>
  <c r="A3075" i="3"/>
  <c r="A3074" i="3"/>
  <c r="A3073" i="3"/>
  <c r="A3072" i="3"/>
  <c r="A3071" i="3"/>
  <c r="A3070" i="3"/>
  <c r="A3069" i="3"/>
  <c r="A3068" i="3"/>
  <c r="A3067" i="3"/>
  <c r="A3066" i="3"/>
  <c r="A3065" i="3"/>
  <c r="A3064" i="3"/>
  <c r="A3063" i="3"/>
  <c r="A3062" i="3"/>
  <c r="A3061" i="3"/>
  <c r="A3060" i="3"/>
  <c r="A3059" i="3"/>
  <c r="A3058" i="3"/>
  <c r="A3057" i="3"/>
  <c r="A3056" i="3"/>
  <c r="A3055" i="3"/>
  <c r="A3054" i="3"/>
  <c r="A3053" i="3"/>
  <c r="A3052" i="3"/>
  <c r="A3051" i="3"/>
  <c r="A3050" i="3"/>
  <c r="A3049" i="3"/>
  <c r="A3048" i="3"/>
  <c r="A3047" i="3"/>
  <c r="A3046" i="3"/>
  <c r="A3045" i="3"/>
  <c r="A3044" i="3"/>
  <c r="A3043" i="3"/>
  <c r="A3042" i="3"/>
  <c r="A3041" i="3"/>
  <c r="A3040" i="3"/>
  <c r="A3039" i="3"/>
  <c r="A3038" i="3"/>
  <c r="A3037" i="3"/>
  <c r="A3036" i="3"/>
  <c r="A3035" i="3"/>
  <c r="A3034" i="3"/>
  <c r="A3033" i="3"/>
  <c r="A3032" i="3"/>
  <c r="A3031" i="3"/>
  <c r="A3030" i="3"/>
  <c r="A3029" i="3"/>
  <c r="A3028" i="3"/>
  <c r="A3027" i="3"/>
  <c r="A3026" i="3"/>
  <c r="A3025" i="3"/>
  <c r="A3024" i="3"/>
  <c r="A3023" i="3"/>
  <c r="A3022" i="3"/>
  <c r="A3021" i="3"/>
  <c r="A3020" i="3"/>
  <c r="A3019" i="3"/>
  <c r="A3018" i="3"/>
  <c r="A3017" i="3"/>
  <c r="A3016" i="3"/>
  <c r="A3015" i="3"/>
  <c r="A3014" i="3"/>
  <c r="A3013" i="3"/>
  <c r="A3012" i="3"/>
  <c r="A3011" i="3"/>
  <c r="A3010" i="3"/>
  <c r="A3009" i="3"/>
  <c r="A3008" i="3"/>
  <c r="A3007" i="3"/>
  <c r="A3006" i="3"/>
  <c r="A3005" i="3"/>
  <c r="A3004" i="3"/>
  <c r="A3003" i="3"/>
  <c r="A3002" i="3"/>
  <c r="A3001" i="3"/>
  <c r="A3000" i="3"/>
  <c r="A2999" i="3"/>
  <c r="A2998" i="3"/>
  <c r="A2997" i="3"/>
  <c r="A2996" i="3"/>
  <c r="A2995" i="3"/>
  <c r="A2994" i="3"/>
  <c r="A2993" i="3"/>
  <c r="A2992" i="3"/>
  <c r="A2991" i="3"/>
  <c r="A2990" i="3"/>
  <c r="A2989" i="3"/>
  <c r="A2988" i="3"/>
  <c r="A2987" i="3"/>
  <c r="A2986" i="3"/>
  <c r="A2985" i="3"/>
  <c r="A2984" i="3"/>
  <c r="A2983" i="3"/>
  <c r="A2982" i="3"/>
  <c r="A2981" i="3"/>
  <c r="A2980" i="3"/>
  <c r="A2979" i="3"/>
  <c r="A2978" i="3"/>
  <c r="A2977" i="3"/>
  <c r="A2976" i="3"/>
  <c r="A2975" i="3"/>
  <c r="A2974" i="3"/>
  <c r="A2973" i="3"/>
  <c r="A2972" i="3"/>
  <c r="A2971" i="3"/>
  <c r="A2970" i="3"/>
  <c r="A2969" i="3"/>
  <c r="A2968" i="3"/>
  <c r="A2967" i="3"/>
  <c r="A2966" i="3"/>
  <c r="A2965" i="3"/>
  <c r="A2964" i="3"/>
  <c r="A2963" i="3"/>
  <c r="A2962" i="3"/>
  <c r="A2961" i="3"/>
  <c r="A2960" i="3"/>
  <c r="A2959" i="3"/>
  <c r="A2958" i="3"/>
  <c r="A2957" i="3"/>
  <c r="A2956" i="3"/>
  <c r="A2955" i="3"/>
  <c r="A2954" i="3"/>
  <c r="A2953" i="3"/>
  <c r="A2952" i="3"/>
  <c r="A2951" i="3"/>
  <c r="A2950" i="3"/>
  <c r="A2949" i="3"/>
  <c r="A2948" i="3"/>
  <c r="A2947" i="3"/>
  <c r="A2946" i="3"/>
  <c r="A2945" i="3"/>
  <c r="A2944" i="3"/>
  <c r="A2943" i="3"/>
  <c r="A2942" i="3"/>
  <c r="A2941" i="3"/>
  <c r="A2940" i="3"/>
  <c r="A2939" i="3"/>
  <c r="A2938" i="3"/>
  <c r="A2937" i="3"/>
  <c r="A2936" i="3"/>
  <c r="A2935" i="3"/>
  <c r="A2934" i="3"/>
  <c r="A2933" i="3"/>
  <c r="A2932" i="3"/>
  <c r="A2931" i="3"/>
  <c r="A2930" i="3"/>
  <c r="A2929" i="3"/>
  <c r="A2928" i="3"/>
  <c r="A2927" i="3"/>
  <c r="A2926" i="3"/>
  <c r="A2925" i="3"/>
  <c r="A2924" i="3"/>
  <c r="A2923" i="3"/>
  <c r="A2922" i="3"/>
  <c r="A2921" i="3"/>
  <c r="A2920" i="3"/>
  <c r="A2919" i="3"/>
  <c r="A2918" i="3"/>
  <c r="A2917" i="3"/>
  <c r="A2916" i="3"/>
  <c r="A2915" i="3"/>
  <c r="A2914" i="3"/>
  <c r="A2913" i="3"/>
  <c r="A2912" i="3"/>
  <c r="A2911" i="3"/>
  <c r="A2910" i="3"/>
  <c r="A2909" i="3"/>
  <c r="A2908" i="3"/>
  <c r="A2907" i="3"/>
  <c r="A2906" i="3"/>
  <c r="A2905" i="3"/>
  <c r="A2904" i="3"/>
  <c r="A2903" i="3"/>
  <c r="A2902" i="3"/>
  <c r="A2901" i="3"/>
  <c r="A2900" i="3"/>
  <c r="A2899" i="3"/>
  <c r="A2898" i="3"/>
  <c r="A2897" i="3"/>
  <c r="A2896" i="3"/>
  <c r="A2895" i="3"/>
  <c r="A2894" i="3"/>
  <c r="A2893" i="3"/>
  <c r="A2892" i="3"/>
  <c r="A2891" i="3"/>
  <c r="A2890" i="3"/>
  <c r="A2889" i="3"/>
  <c r="A2888" i="3"/>
  <c r="A2887" i="3"/>
  <c r="A2886" i="3"/>
  <c r="A2885" i="3"/>
  <c r="A2884" i="3"/>
  <c r="A2883" i="3"/>
  <c r="A2882" i="3"/>
  <c r="A2881" i="3"/>
  <c r="A2880" i="3"/>
  <c r="A2879" i="3"/>
  <c r="A2878" i="3"/>
  <c r="A2877" i="3"/>
  <c r="A2876" i="3"/>
  <c r="A2875" i="3"/>
  <c r="A2874" i="3"/>
  <c r="A2873" i="3"/>
  <c r="A2872" i="3"/>
  <c r="A2871" i="3"/>
  <c r="A2870" i="3"/>
  <c r="A2869" i="3"/>
  <c r="A2868" i="3"/>
  <c r="A2867" i="3"/>
  <c r="A2866" i="3"/>
  <c r="A2865" i="3"/>
  <c r="A2864" i="3"/>
  <c r="A2863" i="3"/>
  <c r="A2862" i="3"/>
  <c r="A2861" i="3"/>
  <c r="A2860" i="3"/>
  <c r="A2859" i="3"/>
  <c r="A2858" i="3"/>
  <c r="A2857" i="3"/>
  <c r="A2856" i="3"/>
  <c r="A2855" i="3"/>
  <c r="A2854" i="3"/>
  <c r="A2853" i="3"/>
  <c r="A2852" i="3"/>
  <c r="A2851" i="3"/>
  <c r="A2850" i="3"/>
  <c r="A2849" i="3"/>
  <c r="A2848" i="3"/>
  <c r="A2847" i="3"/>
  <c r="A2846" i="3"/>
  <c r="A2845" i="3"/>
  <c r="A2844" i="3"/>
  <c r="A2843" i="3"/>
  <c r="A2842" i="3"/>
  <c r="A2841" i="3"/>
  <c r="A2840" i="3"/>
  <c r="A2839" i="3"/>
  <c r="A2838" i="3"/>
  <c r="A2837" i="3"/>
  <c r="A2836" i="3"/>
  <c r="A2835" i="3"/>
  <c r="A2834" i="3"/>
  <c r="A2833" i="3"/>
  <c r="A2832" i="3"/>
  <c r="A2831" i="3"/>
  <c r="A2830" i="3"/>
  <c r="A2829" i="3"/>
  <c r="A2828" i="3"/>
  <c r="A2827" i="3"/>
  <c r="A2826" i="3"/>
  <c r="A2825" i="3"/>
  <c r="A2824" i="3"/>
  <c r="A2823" i="3"/>
  <c r="A2822" i="3"/>
  <c r="A2821" i="3"/>
  <c r="A2820" i="3"/>
  <c r="A2819" i="3"/>
  <c r="A2818" i="3"/>
  <c r="A2817" i="3"/>
  <c r="A2816" i="3"/>
  <c r="A2815" i="3"/>
  <c r="A2814" i="3"/>
  <c r="A2813" i="3"/>
  <c r="A2812" i="3"/>
  <c r="A2811" i="3"/>
  <c r="A2810" i="3"/>
  <c r="A2809" i="3"/>
  <c r="A2808" i="3"/>
  <c r="A2807" i="3"/>
  <c r="A2806" i="3"/>
  <c r="A2805" i="3"/>
  <c r="A2804" i="3"/>
  <c r="A2803" i="3"/>
  <c r="A2802" i="3"/>
  <c r="A2801" i="3"/>
  <c r="A2800" i="3"/>
  <c r="A2799" i="3"/>
  <c r="A2798" i="3"/>
  <c r="A2797" i="3"/>
  <c r="A2796" i="3"/>
  <c r="A2795" i="3"/>
  <c r="A2794" i="3"/>
  <c r="A2793" i="3"/>
  <c r="A2792" i="3"/>
  <c r="A2791" i="3"/>
  <c r="A2790" i="3"/>
  <c r="A2789" i="3"/>
  <c r="A2788" i="3"/>
  <c r="A2787" i="3"/>
  <c r="A2786" i="3"/>
  <c r="A2785" i="3"/>
  <c r="A2784" i="3"/>
  <c r="A2783" i="3"/>
  <c r="A2782" i="3"/>
  <c r="A2781" i="3"/>
  <c r="A2780" i="3"/>
  <c r="A2779" i="3"/>
  <c r="A2778" i="3"/>
  <c r="A2777" i="3"/>
  <c r="A2776" i="3"/>
  <c r="A2775" i="3"/>
  <c r="A2774" i="3"/>
  <c r="A2773" i="3"/>
  <c r="A2772" i="3"/>
  <c r="A2771" i="3"/>
  <c r="A2770" i="3"/>
  <c r="A2769" i="3"/>
  <c r="A2768" i="3"/>
  <c r="A2767" i="3"/>
  <c r="A2766" i="3"/>
  <c r="A2765" i="3"/>
  <c r="A2764" i="3"/>
  <c r="A2763" i="3"/>
  <c r="A2762" i="3"/>
  <c r="A2761" i="3"/>
  <c r="A2760" i="3"/>
  <c r="A2759" i="3"/>
  <c r="A2758" i="3"/>
  <c r="A2757" i="3"/>
  <c r="A2756" i="3"/>
  <c r="A2755" i="3"/>
  <c r="A2754" i="3"/>
  <c r="A2753" i="3"/>
  <c r="A2752" i="3"/>
  <c r="A2751" i="3"/>
  <c r="A2750" i="3"/>
  <c r="A2749" i="3"/>
  <c r="A2748" i="3"/>
  <c r="A2747" i="3"/>
  <c r="A2746" i="3"/>
  <c r="A2745" i="3"/>
  <c r="A2744" i="3"/>
  <c r="A2743" i="3"/>
  <c r="A2742" i="3"/>
  <c r="A2741" i="3"/>
  <c r="A2740" i="3"/>
  <c r="A2739" i="3"/>
  <c r="A2738" i="3"/>
  <c r="A2737" i="3"/>
  <c r="A2736" i="3"/>
  <c r="A2735" i="3"/>
  <c r="A2734" i="3"/>
  <c r="A2733" i="3"/>
  <c r="A2732" i="3"/>
  <c r="A2731" i="3"/>
  <c r="A2730" i="3"/>
  <c r="A2729" i="3"/>
  <c r="A2728" i="3"/>
  <c r="A2727" i="3"/>
  <c r="A2726" i="3"/>
  <c r="A2725" i="3"/>
  <c r="A2724" i="3"/>
  <c r="A2723" i="3"/>
  <c r="A2722" i="3"/>
  <c r="A2721" i="3"/>
  <c r="A2720" i="3"/>
  <c r="A2719" i="3"/>
  <c r="A2718" i="3"/>
  <c r="A2717" i="3"/>
  <c r="A2716" i="3"/>
  <c r="A2715" i="3"/>
  <c r="A2714" i="3"/>
  <c r="A2713" i="3"/>
  <c r="A2712" i="3"/>
  <c r="A2711" i="3"/>
  <c r="A2710" i="3"/>
  <c r="A2709" i="3"/>
  <c r="A2708" i="3"/>
  <c r="A2707" i="3"/>
  <c r="A2706" i="3"/>
  <c r="A2705" i="3"/>
  <c r="A2704" i="3"/>
  <c r="A2703" i="3"/>
  <c r="A2702" i="3"/>
  <c r="A2701" i="3"/>
  <c r="A2700" i="3"/>
  <c r="A2699" i="3"/>
  <c r="A2698" i="3"/>
  <c r="A2697" i="3"/>
  <c r="A2696" i="3"/>
  <c r="A2695" i="3"/>
  <c r="A2694" i="3"/>
  <c r="A2693" i="3"/>
  <c r="A2692" i="3"/>
  <c r="A2691" i="3"/>
  <c r="A2690" i="3"/>
  <c r="A2689" i="3"/>
  <c r="A2688" i="3"/>
  <c r="A2687" i="3"/>
  <c r="A2686" i="3"/>
  <c r="A2685" i="3"/>
  <c r="A2684" i="3"/>
  <c r="A2683" i="3"/>
  <c r="A2682" i="3"/>
  <c r="A2681" i="3"/>
  <c r="A2680" i="3"/>
  <c r="A2679" i="3"/>
  <c r="A2678" i="3"/>
  <c r="A2677" i="3"/>
  <c r="A2676" i="3"/>
  <c r="A2675" i="3"/>
  <c r="A2674" i="3"/>
  <c r="A2673" i="3"/>
  <c r="A2672" i="3"/>
  <c r="A2671" i="3"/>
  <c r="A2670" i="3"/>
  <c r="A2669" i="3"/>
  <c r="A2668" i="3"/>
  <c r="A2667" i="3"/>
  <c r="A2666" i="3"/>
  <c r="A2665" i="3"/>
  <c r="A2664" i="3"/>
  <c r="A2663" i="3"/>
  <c r="A2662" i="3"/>
  <c r="A2661" i="3"/>
  <c r="A2660" i="3"/>
  <c r="A2659" i="3"/>
  <c r="A2658" i="3"/>
  <c r="A2657" i="3"/>
  <c r="A2656" i="3"/>
  <c r="A2655" i="3"/>
  <c r="A2654" i="3"/>
  <c r="A2653" i="3"/>
  <c r="A2652" i="3"/>
  <c r="A2651" i="3"/>
  <c r="A2650" i="3"/>
  <c r="A2649" i="3"/>
  <c r="A2648" i="3"/>
  <c r="A2647" i="3"/>
  <c r="A2646" i="3"/>
  <c r="A2645" i="3"/>
  <c r="A2644" i="3"/>
  <c r="A2643" i="3"/>
  <c r="A2642" i="3"/>
  <c r="A2641" i="3"/>
  <c r="A2640" i="3"/>
  <c r="A2639" i="3"/>
  <c r="A2638" i="3"/>
  <c r="A2637" i="3"/>
  <c r="A2636" i="3"/>
  <c r="A2635" i="3"/>
  <c r="A2634" i="3"/>
  <c r="A2633" i="3"/>
  <c r="A2632" i="3"/>
  <c r="A2631" i="3"/>
  <c r="A2630" i="3"/>
  <c r="A2629" i="3"/>
  <c r="A2628" i="3"/>
  <c r="A2627" i="3"/>
  <c r="A2626" i="3"/>
  <c r="A2625" i="3"/>
  <c r="A2624" i="3"/>
  <c r="A2623" i="3"/>
  <c r="A2622" i="3"/>
  <c r="A2621" i="3"/>
  <c r="A2620" i="3"/>
  <c r="A2619" i="3"/>
  <c r="A2618" i="3"/>
  <c r="A2617" i="3"/>
  <c r="A2616" i="3"/>
  <c r="A2615" i="3"/>
  <c r="A2614" i="3"/>
  <c r="A2613" i="3"/>
  <c r="A2612" i="3"/>
  <c r="A2611" i="3"/>
  <c r="A2610" i="3"/>
  <c r="A2609" i="3"/>
  <c r="A2608" i="3"/>
  <c r="A2607" i="3"/>
  <c r="A2606" i="3"/>
  <c r="A2605" i="3"/>
  <c r="A2604" i="3"/>
  <c r="A2603" i="3"/>
  <c r="A2602" i="3"/>
  <c r="A2601" i="3"/>
  <c r="A2600" i="3"/>
  <c r="A2599" i="3"/>
  <c r="A2598" i="3"/>
  <c r="A2597" i="3"/>
  <c r="A2596" i="3"/>
  <c r="A2595" i="3"/>
  <c r="A2594" i="3"/>
  <c r="A2593" i="3"/>
  <c r="A2592" i="3"/>
  <c r="A2591" i="3"/>
  <c r="A2590" i="3"/>
  <c r="A2589" i="3"/>
  <c r="A2588" i="3"/>
  <c r="A2587" i="3"/>
  <c r="A2586" i="3"/>
  <c r="A2585" i="3"/>
  <c r="A2584" i="3"/>
  <c r="A2583" i="3"/>
  <c r="A2582" i="3"/>
  <c r="A2581" i="3"/>
  <c r="A2580" i="3"/>
  <c r="A2579" i="3"/>
  <c r="A2578" i="3"/>
  <c r="A2577" i="3"/>
  <c r="A2576" i="3"/>
  <c r="A2575" i="3"/>
  <c r="A2574" i="3"/>
  <c r="A2573" i="3"/>
  <c r="A2572" i="3"/>
  <c r="A2571" i="3"/>
  <c r="A2570" i="3"/>
  <c r="A2569" i="3"/>
  <c r="A2568" i="3"/>
  <c r="A2567" i="3"/>
  <c r="A2566" i="3"/>
  <c r="A2565" i="3"/>
  <c r="A2564" i="3"/>
  <c r="A2563" i="3"/>
  <c r="A2562" i="3"/>
  <c r="A2561" i="3"/>
  <c r="A2560" i="3"/>
  <c r="A2559" i="3"/>
  <c r="A2558" i="3"/>
  <c r="A2557" i="3"/>
  <c r="A2556" i="3"/>
  <c r="A2555" i="3"/>
  <c r="A2554" i="3"/>
  <c r="A2553" i="3"/>
  <c r="A2552" i="3"/>
  <c r="A2551" i="3"/>
  <c r="A2550" i="3"/>
  <c r="A2549" i="3"/>
  <c r="A2548" i="3"/>
  <c r="A2547" i="3"/>
  <c r="A2546" i="3"/>
  <c r="A2545" i="3"/>
  <c r="A2544" i="3"/>
  <c r="A2543" i="3"/>
  <c r="A2542" i="3"/>
  <c r="A2541" i="3"/>
  <c r="A2540" i="3"/>
  <c r="A2539" i="3"/>
  <c r="A2538" i="3"/>
  <c r="A2537" i="3"/>
  <c r="A2536" i="3"/>
  <c r="A2535" i="3"/>
  <c r="A2534" i="3"/>
  <c r="A2533" i="3"/>
  <c r="A2532" i="3"/>
  <c r="A2531" i="3"/>
  <c r="A2530" i="3"/>
  <c r="A2529" i="3"/>
  <c r="A2528" i="3"/>
  <c r="A2527" i="3"/>
  <c r="A2526" i="3"/>
  <c r="A2525" i="3"/>
  <c r="A2524" i="3"/>
  <c r="A2523" i="3"/>
  <c r="A2522" i="3"/>
  <c r="A2521" i="3"/>
  <c r="A2520" i="3"/>
  <c r="A2519" i="3"/>
  <c r="A2518" i="3"/>
  <c r="A2517" i="3"/>
  <c r="A2516" i="3"/>
  <c r="A2515" i="3"/>
  <c r="A2514" i="3"/>
  <c r="A2513" i="3"/>
  <c r="A2512" i="3"/>
  <c r="A2511" i="3"/>
  <c r="A2510" i="3"/>
  <c r="A2509" i="3"/>
  <c r="A2508" i="3"/>
  <c r="A2507" i="3"/>
  <c r="A2506" i="3"/>
  <c r="A2505" i="3"/>
  <c r="A2504" i="3"/>
  <c r="A2503" i="3"/>
  <c r="A2502" i="3"/>
  <c r="A2501" i="3"/>
  <c r="A2500" i="3"/>
  <c r="A2499" i="3"/>
  <c r="A2498" i="3"/>
  <c r="A2497" i="3"/>
  <c r="A2496" i="3"/>
  <c r="A2495" i="3"/>
  <c r="A2494" i="3"/>
  <c r="A2493" i="3"/>
  <c r="A2492" i="3"/>
  <c r="A2491" i="3"/>
  <c r="A2490" i="3"/>
  <c r="A2489" i="3"/>
  <c r="A2488" i="3"/>
  <c r="A2487" i="3"/>
  <c r="A2486" i="3"/>
  <c r="A2485" i="3"/>
  <c r="A2484" i="3"/>
  <c r="A2483" i="3"/>
  <c r="A2482" i="3"/>
  <c r="A2481" i="3"/>
  <c r="A2480" i="3"/>
  <c r="A2479" i="3"/>
  <c r="A2478" i="3"/>
  <c r="A2477" i="3"/>
  <c r="A2476" i="3"/>
  <c r="A2475" i="3"/>
  <c r="A2474" i="3"/>
  <c r="A2473" i="3"/>
  <c r="A2472" i="3"/>
  <c r="A2471" i="3"/>
  <c r="A2470" i="3"/>
  <c r="A2469" i="3"/>
  <c r="A2468" i="3"/>
  <c r="A2467" i="3"/>
  <c r="A2466" i="3"/>
  <c r="A2465" i="3"/>
  <c r="A2464" i="3"/>
  <c r="A2463" i="3"/>
  <c r="A2462" i="3"/>
  <c r="A2461" i="3"/>
  <c r="A2460" i="3"/>
  <c r="A2459" i="3"/>
  <c r="A2458" i="3"/>
  <c r="A2457" i="3"/>
  <c r="A2456" i="3"/>
  <c r="A2455" i="3"/>
  <c r="A2454" i="3"/>
  <c r="A2453" i="3"/>
  <c r="A2452" i="3"/>
  <c r="A2451" i="3"/>
  <c r="A2450" i="3"/>
  <c r="A2449" i="3"/>
  <c r="A2448" i="3"/>
  <c r="A2447" i="3"/>
  <c r="A2446" i="3"/>
  <c r="A2445" i="3"/>
  <c r="A2444" i="3"/>
  <c r="A2443" i="3"/>
  <c r="A2442" i="3"/>
  <c r="A2441" i="3"/>
  <c r="A2440" i="3"/>
  <c r="A2439" i="3"/>
  <c r="A2438" i="3"/>
  <c r="A2437" i="3"/>
  <c r="A2436" i="3"/>
  <c r="A2435" i="3"/>
  <c r="A2434" i="3"/>
  <c r="A2433" i="3"/>
  <c r="A2432" i="3"/>
  <c r="A2431" i="3"/>
  <c r="A2430" i="3"/>
  <c r="A2429" i="3"/>
  <c r="A2428" i="3"/>
  <c r="A2427" i="3"/>
  <c r="A2426" i="3"/>
  <c r="A2425" i="3"/>
  <c r="A2424" i="3"/>
  <c r="A2423" i="3"/>
  <c r="A2422" i="3"/>
  <c r="A2421" i="3"/>
  <c r="A2420" i="3"/>
  <c r="A2419" i="3"/>
  <c r="A2418" i="3"/>
  <c r="A2417" i="3"/>
  <c r="A2416" i="3"/>
  <c r="A2415" i="3"/>
  <c r="A2414" i="3"/>
  <c r="A2413" i="3"/>
  <c r="A2412" i="3"/>
  <c r="A2411" i="3"/>
  <c r="A2410" i="3"/>
  <c r="A2409" i="3"/>
  <c r="A2408" i="3"/>
  <c r="A2407" i="3"/>
  <c r="A2406" i="3"/>
  <c r="A2405" i="3"/>
  <c r="A2404" i="3"/>
  <c r="A2403" i="3"/>
  <c r="A2402" i="3"/>
  <c r="A2401" i="3"/>
  <c r="A2400" i="3"/>
  <c r="A2399" i="3"/>
  <c r="A2398" i="3"/>
  <c r="A2397" i="3"/>
  <c r="A2396" i="3"/>
  <c r="A2395" i="3"/>
  <c r="A2394" i="3"/>
  <c r="A2393" i="3"/>
  <c r="A2392" i="3"/>
  <c r="A2391" i="3"/>
  <c r="A2390" i="3"/>
  <c r="A2389" i="3"/>
  <c r="A2388" i="3"/>
  <c r="A2387" i="3"/>
  <c r="A2386" i="3"/>
  <c r="A2385" i="3"/>
  <c r="A2384" i="3"/>
  <c r="A2383" i="3"/>
  <c r="A2382" i="3"/>
  <c r="A2381" i="3"/>
  <c r="A2380" i="3"/>
  <c r="A2379" i="3"/>
  <c r="A2378" i="3"/>
  <c r="A2377" i="3"/>
  <c r="A2376" i="3"/>
  <c r="A2375" i="3"/>
  <c r="A2374" i="3"/>
  <c r="A2373" i="3"/>
  <c r="A2372" i="3"/>
  <c r="A2371" i="3"/>
  <c r="A2370" i="3"/>
  <c r="A2369" i="3"/>
  <c r="A2368" i="3"/>
  <c r="A2367" i="3"/>
  <c r="A2366" i="3"/>
  <c r="A2365" i="3"/>
  <c r="A2364" i="3"/>
  <c r="A2363" i="3"/>
  <c r="A2362" i="3"/>
  <c r="A2361" i="3"/>
  <c r="A2360" i="3"/>
  <c r="A2359" i="3"/>
  <c r="A2358" i="3"/>
  <c r="A2357" i="3"/>
  <c r="A2356" i="3"/>
  <c r="A2355" i="3"/>
  <c r="A2354" i="3"/>
  <c r="A2353" i="3"/>
  <c r="A2352" i="3"/>
  <c r="A2351" i="3"/>
  <c r="A2350" i="3"/>
  <c r="A2349" i="3"/>
  <c r="A2348" i="3"/>
  <c r="A2347" i="3"/>
  <c r="A2346" i="3"/>
  <c r="A2345" i="3"/>
  <c r="A2344" i="3"/>
  <c r="A2343" i="3"/>
  <c r="A2342" i="3"/>
  <c r="A2341" i="3"/>
  <c r="A2340" i="3"/>
  <c r="A2339" i="3"/>
  <c r="A2338" i="3"/>
  <c r="A2337" i="3"/>
  <c r="A2336" i="3"/>
  <c r="A2335" i="3"/>
  <c r="A2334" i="3"/>
  <c r="A2333" i="3"/>
  <c r="A2332" i="3"/>
  <c r="A2331" i="3"/>
  <c r="A2330" i="3"/>
  <c r="A2329" i="3"/>
  <c r="A2328" i="3"/>
  <c r="A2327" i="3"/>
  <c r="A2326" i="3"/>
  <c r="A2325" i="3"/>
  <c r="A2324" i="3"/>
  <c r="A2323" i="3"/>
  <c r="A2322" i="3"/>
  <c r="A2321" i="3"/>
  <c r="A2320" i="3"/>
  <c r="A2319" i="3"/>
  <c r="A2318" i="3"/>
  <c r="A2317" i="3"/>
  <c r="A2316" i="3"/>
  <c r="A2315" i="3"/>
  <c r="A2314" i="3"/>
  <c r="A2313" i="3"/>
  <c r="A2312" i="3"/>
  <c r="A2311" i="3"/>
  <c r="A2310" i="3"/>
  <c r="A2309" i="3"/>
  <c r="A2308" i="3"/>
  <c r="A2307" i="3"/>
  <c r="A2306" i="3"/>
  <c r="A2305" i="3"/>
  <c r="A2304" i="3"/>
  <c r="A2303" i="3"/>
  <c r="A2302" i="3"/>
  <c r="A2301" i="3"/>
  <c r="A2300" i="3"/>
  <c r="A2299" i="3"/>
  <c r="A2298" i="3"/>
  <c r="A2297" i="3"/>
  <c r="A2296" i="3"/>
  <c r="A2295" i="3"/>
  <c r="A2294" i="3"/>
  <c r="A2293" i="3"/>
  <c r="A2292" i="3"/>
  <c r="A2291" i="3"/>
  <c r="A2290" i="3"/>
  <c r="A2289" i="3"/>
  <c r="A2288" i="3"/>
  <c r="A2287" i="3"/>
  <c r="A2286" i="3"/>
  <c r="A2285" i="3"/>
  <c r="A2284" i="3"/>
  <c r="A2283" i="3"/>
  <c r="A2282" i="3"/>
  <c r="A2281" i="3"/>
  <c r="A2280" i="3"/>
  <c r="A2279" i="3"/>
  <c r="A2278" i="3"/>
  <c r="A2277" i="3"/>
  <c r="A2276" i="3"/>
  <c r="A2275" i="3"/>
  <c r="A2274" i="3"/>
  <c r="A2273" i="3"/>
  <c r="A2272" i="3"/>
  <c r="A2271" i="3"/>
  <c r="A2270" i="3"/>
  <c r="A2269" i="3"/>
  <c r="A2268" i="3"/>
  <c r="A2267" i="3"/>
  <c r="A2266" i="3"/>
  <c r="A2265" i="3"/>
  <c r="A2264" i="3"/>
  <c r="A2263" i="3"/>
  <c r="A2262" i="3"/>
  <c r="A2261" i="3"/>
  <c r="A2260" i="3"/>
  <c r="A2259" i="3"/>
  <c r="A2258" i="3"/>
  <c r="A2257" i="3"/>
  <c r="A2256" i="3"/>
  <c r="A2255" i="3"/>
  <c r="A2254" i="3"/>
  <c r="A2253" i="3"/>
  <c r="A2252" i="3"/>
  <c r="A2251" i="3"/>
  <c r="A2250" i="3"/>
  <c r="A2249" i="3"/>
  <c r="A2248" i="3"/>
  <c r="A2247" i="3"/>
  <c r="A2246" i="3"/>
  <c r="A2245" i="3"/>
  <c r="A2244" i="3"/>
  <c r="A2243" i="3"/>
  <c r="A2242" i="3"/>
  <c r="A2241" i="3"/>
  <c r="A2240" i="3"/>
  <c r="A2239" i="3"/>
  <c r="A2238" i="3"/>
  <c r="A2237" i="3"/>
  <c r="A2236" i="3"/>
  <c r="A2235" i="3"/>
  <c r="A2234" i="3"/>
  <c r="A2233" i="3"/>
  <c r="A2232" i="3"/>
  <c r="A2231" i="3"/>
  <c r="A2230" i="3"/>
  <c r="A2229" i="3"/>
  <c r="A2228" i="3"/>
  <c r="A2227" i="3"/>
  <c r="A2226" i="3"/>
  <c r="A2225" i="3"/>
  <c r="A2224" i="3"/>
  <c r="A2223" i="3"/>
  <c r="A2222" i="3"/>
  <c r="A2221" i="3"/>
  <c r="A2220" i="3"/>
  <c r="A2219" i="3"/>
  <c r="A2218" i="3"/>
  <c r="A2217" i="3"/>
  <c r="A2216" i="3"/>
  <c r="A2215" i="3"/>
  <c r="A2214" i="3"/>
  <c r="A2213" i="3"/>
  <c r="A2212" i="3"/>
  <c r="A2211" i="3"/>
  <c r="A2210" i="3"/>
  <c r="A2209" i="3"/>
  <c r="A2208" i="3"/>
  <c r="A2207" i="3"/>
  <c r="A2206" i="3"/>
  <c r="A2205" i="3"/>
  <c r="A2204" i="3"/>
  <c r="A2203" i="3"/>
  <c r="A2202" i="3"/>
  <c r="A2201" i="3"/>
  <c r="A2200" i="3"/>
  <c r="A2199" i="3"/>
  <c r="A2198" i="3"/>
  <c r="A2197" i="3"/>
  <c r="A2196" i="3"/>
  <c r="A2195" i="3"/>
  <c r="A2194" i="3"/>
  <c r="A2193" i="3"/>
  <c r="A2192" i="3"/>
  <c r="A2191" i="3"/>
  <c r="A2190" i="3"/>
  <c r="A2189" i="3"/>
  <c r="A2188" i="3"/>
  <c r="A2187" i="3"/>
  <c r="A2186" i="3"/>
  <c r="A2185" i="3"/>
  <c r="A2184" i="3"/>
  <c r="A2183" i="3"/>
  <c r="A2182" i="3"/>
  <c r="A2181" i="3"/>
  <c r="A2180" i="3"/>
  <c r="A2179" i="3"/>
  <c r="A2178" i="3"/>
  <c r="A2177" i="3"/>
  <c r="A2176" i="3"/>
  <c r="A2175" i="3"/>
  <c r="A2174" i="3"/>
  <c r="A2173" i="3"/>
  <c r="A2172" i="3"/>
  <c r="A2171" i="3"/>
  <c r="A2170" i="3"/>
  <c r="A2169" i="3"/>
  <c r="A2168" i="3"/>
  <c r="A2167" i="3"/>
  <c r="A2166" i="3"/>
  <c r="A2165" i="3"/>
  <c r="A2164" i="3"/>
  <c r="A2163" i="3"/>
  <c r="A2162" i="3"/>
  <c r="A2161" i="3"/>
  <c r="A2160" i="3"/>
  <c r="A2159" i="3"/>
  <c r="A2158" i="3"/>
  <c r="A2157" i="3"/>
  <c r="A2156" i="3"/>
  <c r="A2155" i="3"/>
  <c r="A2154" i="3"/>
  <c r="A2153" i="3"/>
  <c r="A2152" i="3"/>
  <c r="A2151" i="3"/>
  <c r="A2150" i="3"/>
  <c r="A2149" i="3"/>
  <c r="A2148" i="3"/>
  <c r="A2147" i="3"/>
  <c r="A2146" i="3"/>
  <c r="A2145" i="3"/>
  <c r="A2144" i="3"/>
  <c r="A2143" i="3"/>
  <c r="A2142" i="3"/>
  <c r="A2141" i="3"/>
  <c r="A2140" i="3"/>
  <c r="A2139" i="3"/>
  <c r="A2138" i="3"/>
  <c r="A2137" i="3"/>
  <c r="A2136" i="3"/>
  <c r="A2135" i="3"/>
  <c r="A2134" i="3"/>
  <c r="A2133" i="3"/>
  <c r="A2132" i="3"/>
  <c r="A2131" i="3"/>
  <c r="A2130" i="3"/>
  <c r="A2129" i="3"/>
  <c r="A2128" i="3"/>
  <c r="A2127" i="3"/>
  <c r="A2126" i="3"/>
  <c r="A2125" i="3"/>
  <c r="A2124" i="3"/>
  <c r="A2123" i="3"/>
  <c r="A2122" i="3"/>
  <c r="A2121" i="3"/>
  <c r="A2120" i="3"/>
  <c r="A2119" i="3"/>
  <c r="A2118" i="3"/>
  <c r="A2117" i="3"/>
  <c r="A2116" i="3"/>
  <c r="A2115" i="3"/>
  <c r="A2114" i="3"/>
  <c r="A2113" i="3"/>
  <c r="A2112" i="3"/>
  <c r="A2111" i="3"/>
  <c r="A2110" i="3"/>
  <c r="A2109" i="3"/>
  <c r="A2108" i="3"/>
  <c r="A2107" i="3"/>
  <c r="A2106" i="3"/>
  <c r="A2105" i="3"/>
  <c r="A2104" i="3"/>
  <c r="A2103" i="3"/>
  <c r="A2102" i="3"/>
  <c r="A2101" i="3"/>
  <c r="A2100" i="3"/>
  <c r="A2099" i="3"/>
  <c r="A2098" i="3"/>
  <c r="A2097" i="3"/>
  <c r="A2096" i="3"/>
  <c r="A2095" i="3"/>
  <c r="A2094" i="3"/>
  <c r="A2093" i="3"/>
  <c r="A2092" i="3"/>
  <c r="A2091" i="3"/>
  <c r="A2090" i="3"/>
  <c r="A2089" i="3"/>
  <c r="A2088" i="3"/>
  <c r="A2087" i="3"/>
  <c r="A2086" i="3"/>
  <c r="A2085" i="3"/>
  <c r="A2084" i="3"/>
  <c r="A2083" i="3"/>
  <c r="A2082" i="3"/>
  <c r="A2081" i="3"/>
  <c r="A2080" i="3"/>
  <c r="A2079" i="3"/>
  <c r="A2078" i="3"/>
  <c r="A2077" i="3"/>
  <c r="A2076" i="3"/>
  <c r="A2075" i="3"/>
  <c r="A2074" i="3"/>
  <c r="A2073" i="3"/>
  <c r="A2072" i="3"/>
  <c r="A2071" i="3"/>
  <c r="A2070" i="3"/>
  <c r="A2069" i="3"/>
  <c r="A2068" i="3"/>
  <c r="A2067" i="3"/>
  <c r="A2066" i="3"/>
  <c r="A2065" i="3"/>
  <c r="A2064" i="3"/>
  <c r="A2063" i="3"/>
  <c r="A2062" i="3"/>
  <c r="A2061" i="3"/>
  <c r="A2060" i="3"/>
  <c r="A2059" i="3"/>
  <c r="A2058" i="3"/>
  <c r="A2057" i="3"/>
  <c r="A2056" i="3"/>
  <c r="A2055" i="3"/>
  <c r="A2054" i="3"/>
  <c r="A2053" i="3"/>
  <c r="A2052" i="3"/>
  <c r="A2051" i="3"/>
  <c r="A2050" i="3"/>
  <c r="A2049" i="3"/>
  <c r="A2048" i="3"/>
  <c r="A2047" i="3"/>
  <c r="A2046" i="3"/>
  <c r="A2045" i="3"/>
  <c r="A2044" i="3"/>
  <c r="A2043" i="3"/>
  <c r="A2042" i="3"/>
  <c r="A2041" i="3"/>
  <c r="A2040" i="3"/>
  <c r="A2039" i="3"/>
  <c r="A2038" i="3"/>
  <c r="A2037" i="3"/>
  <c r="A2036" i="3"/>
  <c r="A2035" i="3"/>
  <c r="A2034" i="3"/>
  <c r="A2033" i="3"/>
  <c r="A2032" i="3"/>
  <c r="A2031" i="3"/>
  <c r="A2030" i="3"/>
  <c r="A2029" i="3"/>
  <c r="A2028" i="3"/>
  <c r="A2027" i="3"/>
  <c r="A2026" i="3"/>
  <c r="A2025" i="3"/>
  <c r="A2024" i="3"/>
  <c r="A2023" i="3"/>
  <c r="A2022" i="3"/>
  <c r="A2021" i="3"/>
  <c r="A2020" i="3"/>
  <c r="A2019" i="3"/>
  <c r="A2018" i="3"/>
  <c r="A2017" i="3"/>
  <c r="A2016" i="3"/>
  <c r="A2015" i="3"/>
  <c r="A2014" i="3"/>
  <c r="A2013" i="3"/>
  <c r="A2012" i="3"/>
  <c r="A2011" i="3"/>
  <c r="A2010" i="3"/>
  <c r="A2009" i="3"/>
  <c r="A2008" i="3"/>
  <c r="A2007" i="3"/>
  <c r="A2006" i="3"/>
  <c r="A2005" i="3"/>
  <c r="A2004" i="3"/>
  <c r="A2003" i="3"/>
  <c r="A2002" i="3"/>
  <c r="A2001" i="3"/>
  <c r="A2000" i="3"/>
  <c r="A1999" i="3"/>
  <c r="A1998" i="3"/>
  <c r="A1997" i="3"/>
  <c r="A1996" i="3"/>
  <c r="A1995" i="3"/>
  <c r="A1994" i="3"/>
  <c r="A1993" i="3"/>
  <c r="A1992" i="3"/>
  <c r="A1991" i="3"/>
  <c r="A1990" i="3"/>
  <c r="A1989" i="3"/>
  <c r="A1988" i="3"/>
  <c r="A1987" i="3"/>
  <c r="A1986" i="3"/>
  <c r="A1985" i="3"/>
  <c r="A1984" i="3"/>
  <c r="A1983" i="3"/>
  <c r="A1982" i="3"/>
  <c r="A1981" i="3"/>
  <c r="A1980" i="3"/>
  <c r="A1979" i="3"/>
  <c r="A1978" i="3"/>
  <c r="A1977" i="3"/>
  <c r="A1976" i="3"/>
  <c r="A1975" i="3"/>
  <c r="A1974" i="3"/>
  <c r="A1973" i="3"/>
  <c r="A1972" i="3"/>
  <c r="A1971" i="3"/>
  <c r="A1970" i="3"/>
  <c r="A1969" i="3"/>
  <c r="A1968" i="3"/>
  <c r="A1967" i="3"/>
  <c r="A1966" i="3"/>
  <c r="A1965" i="3"/>
  <c r="A1964" i="3"/>
  <c r="A1963" i="3"/>
  <c r="A1962" i="3"/>
  <c r="A1961" i="3"/>
  <c r="A1960" i="3"/>
  <c r="A1959" i="3"/>
  <c r="A1958" i="3"/>
  <c r="A1957" i="3"/>
  <c r="A1956" i="3"/>
  <c r="A1955" i="3"/>
  <c r="A1954" i="3"/>
  <c r="A1953" i="3"/>
  <c r="A1952" i="3"/>
  <c r="A1951" i="3"/>
  <c r="A1950" i="3"/>
  <c r="A1949" i="3"/>
  <c r="A1948" i="3"/>
  <c r="A1947" i="3"/>
  <c r="A1946" i="3"/>
  <c r="A1945" i="3"/>
  <c r="A1944" i="3"/>
  <c r="A1943" i="3"/>
  <c r="A1942" i="3"/>
  <c r="A1941" i="3"/>
  <c r="A1940" i="3"/>
  <c r="A1939" i="3"/>
  <c r="A1938" i="3"/>
  <c r="A1937" i="3"/>
  <c r="A1936" i="3"/>
  <c r="A1935" i="3"/>
  <c r="A1934" i="3"/>
  <c r="A1933" i="3"/>
  <c r="A1932" i="3"/>
  <c r="A1931" i="3"/>
  <c r="A1930" i="3"/>
  <c r="A1929" i="3"/>
  <c r="A1928" i="3"/>
  <c r="A1927" i="3"/>
  <c r="A1926" i="3"/>
  <c r="A1925" i="3"/>
  <c r="A1924" i="3"/>
  <c r="A1923" i="3"/>
  <c r="A1922" i="3"/>
  <c r="A1921" i="3"/>
  <c r="A1920" i="3"/>
  <c r="A1919" i="3"/>
  <c r="A1918" i="3"/>
  <c r="A1917" i="3"/>
  <c r="A1916" i="3"/>
  <c r="A1915" i="3"/>
  <c r="A1914" i="3"/>
  <c r="A1913" i="3"/>
  <c r="A1912" i="3"/>
  <c r="A1911" i="3"/>
  <c r="A1910" i="3"/>
  <c r="A1909" i="3"/>
  <c r="A1908" i="3"/>
  <c r="A1907" i="3"/>
  <c r="A1906" i="3"/>
  <c r="A1905" i="3"/>
  <c r="A1904" i="3"/>
  <c r="A1903" i="3"/>
  <c r="A1902" i="3"/>
  <c r="A1901" i="3"/>
  <c r="A1900" i="3"/>
  <c r="A1899" i="3"/>
  <c r="A1898" i="3"/>
  <c r="A1897" i="3"/>
  <c r="A1896" i="3"/>
  <c r="A1895" i="3"/>
  <c r="A1894" i="3"/>
  <c r="A1893" i="3"/>
  <c r="A1892" i="3"/>
  <c r="A1891" i="3"/>
  <c r="A1890" i="3"/>
  <c r="A1889" i="3"/>
  <c r="A1888" i="3"/>
  <c r="A1887" i="3"/>
  <c r="A1886" i="3"/>
  <c r="A1885" i="3"/>
  <c r="A1884" i="3"/>
  <c r="A1883" i="3"/>
  <c r="A1882" i="3"/>
  <c r="A1881" i="3"/>
  <c r="A1880" i="3"/>
  <c r="A1879" i="3"/>
  <c r="A1878" i="3"/>
  <c r="A1877" i="3"/>
  <c r="A1876" i="3"/>
  <c r="A1875" i="3"/>
  <c r="A1874" i="3"/>
  <c r="A1873" i="3"/>
  <c r="A1872" i="3"/>
  <c r="A1871" i="3"/>
  <c r="A1870" i="3"/>
  <c r="A1869" i="3"/>
  <c r="A1868" i="3"/>
  <c r="A1867" i="3"/>
  <c r="A1866" i="3"/>
  <c r="A1865" i="3"/>
  <c r="A1864" i="3"/>
  <c r="A1863" i="3"/>
  <c r="A1862" i="3"/>
  <c r="A1861" i="3"/>
  <c r="A1860" i="3"/>
  <c r="A1859" i="3"/>
  <c r="A1858" i="3"/>
  <c r="A1857" i="3"/>
  <c r="A1856" i="3"/>
  <c r="A1855" i="3"/>
  <c r="A1854" i="3"/>
  <c r="A1853" i="3"/>
  <c r="A1852" i="3"/>
  <c r="A1851" i="3"/>
  <c r="A1850" i="3"/>
  <c r="A1849" i="3"/>
  <c r="A1848" i="3"/>
  <c r="A1847" i="3"/>
  <c r="A1846" i="3"/>
  <c r="A1845" i="3"/>
  <c r="A1844" i="3"/>
  <c r="A1843" i="3"/>
  <c r="A1842" i="3"/>
  <c r="A1841" i="3"/>
  <c r="A1840" i="3"/>
  <c r="A1839" i="3"/>
  <c r="A1838" i="3"/>
  <c r="A1837" i="3"/>
  <c r="A1836" i="3"/>
  <c r="A1835" i="3"/>
  <c r="A1834" i="3"/>
  <c r="A1833" i="3"/>
  <c r="A1832" i="3"/>
  <c r="A1831" i="3"/>
  <c r="A1830" i="3"/>
  <c r="A1829" i="3"/>
  <c r="A1828" i="3"/>
  <c r="A1827" i="3"/>
  <c r="A1826" i="3"/>
  <c r="A1825" i="3"/>
  <c r="A1824" i="3"/>
  <c r="A1823" i="3"/>
  <c r="A1822" i="3"/>
  <c r="A1821" i="3"/>
  <c r="A1820" i="3"/>
  <c r="A1819" i="3"/>
  <c r="A1818" i="3"/>
  <c r="A1817" i="3"/>
  <c r="A1816" i="3"/>
  <c r="A1815" i="3"/>
  <c r="A1814" i="3"/>
  <c r="A1813" i="3"/>
  <c r="A1812" i="3"/>
  <c r="A1811" i="3"/>
  <c r="A1810" i="3"/>
  <c r="A1809" i="3"/>
  <c r="A1808" i="3"/>
  <c r="A1807" i="3"/>
  <c r="A1806" i="3"/>
  <c r="A1805" i="3"/>
  <c r="A1804" i="3"/>
  <c r="A1803" i="3"/>
  <c r="A1802" i="3"/>
  <c r="A1801" i="3"/>
  <c r="A1800" i="3"/>
  <c r="A1799" i="3"/>
  <c r="A1798" i="3"/>
  <c r="A1797" i="3"/>
  <c r="A1796" i="3"/>
  <c r="A1795" i="3"/>
  <c r="A1794" i="3"/>
  <c r="A1793" i="3"/>
  <c r="A1792" i="3"/>
  <c r="A1791" i="3"/>
  <c r="A1790" i="3"/>
  <c r="A1789" i="3"/>
  <c r="A1788" i="3"/>
  <c r="A1787" i="3"/>
  <c r="A1786" i="3"/>
  <c r="A1785" i="3"/>
  <c r="A1784" i="3"/>
  <c r="A1783" i="3"/>
  <c r="A1782" i="3"/>
  <c r="A1781" i="3"/>
  <c r="A1780" i="3"/>
  <c r="A1779" i="3"/>
  <c r="A1778" i="3"/>
  <c r="A1777" i="3"/>
  <c r="A1776" i="3"/>
  <c r="A1775" i="3"/>
  <c r="A1774" i="3"/>
  <c r="A1773" i="3"/>
  <c r="A1772" i="3"/>
  <c r="A1771" i="3"/>
  <c r="A1770" i="3"/>
  <c r="A1769" i="3"/>
  <c r="A1768" i="3"/>
  <c r="A1767" i="3"/>
  <c r="A1766" i="3"/>
  <c r="A1765" i="3"/>
  <c r="A1764" i="3"/>
  <c r="A1763" i="3"/>
  <c r="A1762" i="3"/>
  <c r="A1761" i="3"/>
  <c r="A1760" i="3"/>
  <c r="A1759" i="3"/>
  <c r="A1758" i="3"/>
  <c r="A1757" i="3"/>
  <c r="A1756" i="3"/>
  <c r="A1755" i="3"/>
  <c r="A1754" i="3"/>
  <c r="A1753" i="3"/>
  <c r="A1752" i="3"/>
  <c r="A1751" i="3"/>
  <c r="A1750" i="3"/>
  <c r="A1749" i="3"/>
  <c r="A1748" i="3"/>
  <c r="A1747" i="3"/>
  <c r="A1746" i="3"/>
  <c r="A1745" i="3"/>
  <c r="A1744" i="3"/>
  <c r="A1743" i="3"/>
  <c r="A1742" i="3"/>
  <c r="A1741" i="3"/>
  <c r="A1740" i="3"/>
  <c r="A1739" i="3"/>
  <c r="A1738" i="3"/>
  <c r="A1737" i="3"/>
  <c r="A1736" i="3"/>
  <c r="A1735" i="3"/>
  <c r="A1734" i="3"/>
  <c r="A1733" i="3"/>
  <c r="A1732" i="3"/>
  <c r="A1731" i="3"/>
  <c r="A1730" i="3"/>
  <c r="A1729" i="3"/>
  <c r="A1728" i="3"/>
  <c r="A1727" i="3"/>
  <c r="A1726" i="3"/>
  <c r="A1725" i="3"/>
  <c r="A1724" i="3"/>
  <c r="A1723" i="3"/>
  <c r="A1722" i="3"/>
  <c r="A1721" i="3"/>
  <c r="A1720" i="3"/>
  <c r="A1719" i="3"/>
  <c r="A1718" i="3"/>
  <c r="A1717" i="3"/>
  <c r="A1716" i="3"/>
  <c r="A1715" i="3"/>
  <c r="A1714" i="3"/>
  <c r="A1713" i="3"/>
  <c r="A1712" i="3"/>
  <c r="A1711" i="3"/>
  <c r="A1710" i="3"/>
  <c r="A1709" i="3"/>
  <c r="A1708" i="3"/>
  <c r="A1707" i="3"/>
  <c r="A1706" i="3"/>
  <c r="A1705" i="3"/>
  <c r="A1704" i="3"/>
  <c r="A1703" i="3"/>
  <c r="A1702" i="3"/>
  <c r="A1701" i="3"/>
  <c r="A1700" i="3"/>
  <c r="A1699" i="3"/>
  <c r="A1698" i="3"/>
  <c r="A1697" i="3"/>
  <c r="A1696" i="3"/>
  <c r="A1695" i="3"/>
  <c r="A1694" i="3"/>
  <c r="A1693" i="3"/>
  <c r="A1692" i="3"/>
  <c r="A1691" i="3"/>
  <c r="A1690" i="3"/>
  <c r="A1689" i="3"/>
  <c r="A1688" i="3"/>
  <c r="A1687" i="3"/>
  <c r="A1686" i="3"/>
  <c r="A1685" i="3"/>
  <c r="A1684" i="3"/>
  <c r="A1683" i="3"/>
  <c r="A1682" i="3"/>
  <c r="A1681" i="3"/>
  <c r="A1680" i="3"/>
  <c r="A1679" i="3"/>
  <c r="A1678" i="3"/>
  <c r="A1677" i="3"/>
  <c r="A1676" i="3"/>
  <c r="A1675" i="3"/>
  <c r="A1674" i="3"/>
  <c r="A1673" i="3"/>
  <c r="A1672" i="3"/>
  <c r="A1671" i="3"/>
  <c r="A1670" i="3"/>
  <c r="A1669" i="3"/>
  <c r="A1668" i="3"/>
  <c r="A1667" i="3"/>
  <c r="A1666" i="3"/>
  <c r="A1665" i="3"/>
  <c r="A1664" i="3"/>
  <c r="A1663" i="3"/>
  <c r="A1662" i="3"/>
  <c r="A1661" i="3"/>
  <c r="A1660" i="3"/>
  <c r="A1659" i="3"/>
  <c r="A1658" i="3"/>
  <c r="A1657" i="3"/>
  <c r="A1656" i="3"/>
  <c r="A1655" i="3"/>
  <c r="A1654" i="3"/>
  <c r="A1653" i="3"/>
  <c r="A1652" i="3"/>
  <c r="A1651" i="3"/>
  <c r="A1650" i="3"/>
  <c r="A1649" i="3"/>
  <c r="A1648" i="3"/>
  <c r="A1647" i="3"/>
  <c r="A1646" i="3"/>
  <c r="A1645" i="3"/>
  <c r="A1644" i="3"/>
  <c r="A1643" i="3"/>
  <c r="A1642" i="3"/>
  <c r="A1641" i="3"/>
  <c r="A1640" i="3"/>
  <c r="A1639" i="3"/>
  <c r="A1638" i="3"/>
  <c r="A1637" i="3"/>
  <c r="A1636" i="3"/>
  <c r="A1635" i="3"/>
  <c r="A1634" i="3"/>
  <c r="A1633" i="3"/>
  <c r="A1632" i="3"/>
  <c r="A1631" i="3"/>
  <c r="A1630" i="3"/>
  <c r="A1629" i="3"/>
  <c r="A1628" i="3"/>
  <c r="A1627" i="3"/>
  <c r="A1626" i="3"/>
  <c r="A1625" i="3"/>
  <c r="A1624" i="3"/>
  <c r="A1623" i="3"/>
  <c r="A1622" i="3"/>
  <c r="A1621" i="3"/>
  <c r="A1620" i="3"/>
  <c r="A1619" i="3"/>
  <c r="A1618" i="3"/>
  <c r="A1617" i="3"/>
  <c r="A1616" i="3"/>
  <c r="A1615" i="3"/>
  <c r="A1614" i="3"/>
  <c r="A1613" i="3"/>
  <c r="A1612" i="3"/>
  <c r="A1611" i="3"/>
  <c r="A1610" i="3"/>
  <c r="A1609" i="3"/>
  <c r="A1608" i="3"/>
  <c r="A1607" i="3"/>
  <c r="A1606" i="3"/>
  <c r="A1605" i="3"/>
  <c r="A1604" i="3"/>
  <c r="A1603" i="3"/>
  <c r="A1602" i="3"/>
  <c r="A1601" i="3"/>
  <c r="A1600" i="3"/>
  <c r="A1599" i="3"/>
  <c r="A1598" i="3"/>
  <c r="A1597" i="3"/>
  <c r="A1596" i="3"/>
  <c r="A1595" i="3"/>
  <c r="A1594" i="3"/>
  <c r="A1593" i="3"/>
  <c r="A1592" i="3"/>
  <c r="A1591" i="3"/>
  <c r="A1590" i="3"/>
  <c r="A1589" i="3"/>
  <c r="A1588" i="3"/>
  <c r="A1587" i="3"/>
  <c r="A1586" i="3"/>
  <c r="A1585" i="3"/>
  <c r="A1584" i="3"/>
  <c r="A1583" i="3"/>
  <c r="A1582" i="3"/>
  <c r="A1581" i="3"/>
  <c r="A1580" i="3"/>
  <c r="A1579" i="3"/>
  <c r="A1578" i="3"/>
  <c r="A1577" i="3"/>
  <c r="A1576" i="3"/>
  <c r="A1575" i="3"/>
  <c r="A1574" i="3"/>
  <c r="A1573" i="3"/>
  <c r="A1572" i="3"/>
  <c r="A1571" i="3"/>
  <c r="A1570" i="3"/>
  <c r="A1569" i="3"/>
  <c r="A1568" i="3"/>
  <c r="A1567" i="3"/>
  <c r="A1566" i="3"/>
  <c r="A1565" i="3"/>
  <c r="A1564" i="3"/>
  <c r="A1563" i="3"/>
  <c r="A1562" i="3"/>
  <c r="A1561" i="3"/>
  <c r="A1560" i="3"/>
  <c r="A1559" i="3"/>
  <c r="A1558" i="3"/>
  <c r="A1557" i="3"/>
  <c r="A1556" i="3"/>
  <c r="A1555" i="3"/>
  <c r="A1554" i="3"/>
  <c r="A1553" i="3"/>
  <c r="A1552" i="3"/>
  <c r="A1551" i="3"/>
  <c r="A1550" i="3"/>
  <c r="A1549" i="3"/>
  <c r="A1548" i="3"/>
  <c r="A1547" i="3"/>
  <c r="A1546" i="3"/>
  <c r="A1545" i="3"/>
  <c r="A1544" i="3"/>
  <c r="A1543" i="3"/>
  <c r="A1542" i="3"/>
  <c r="A1541" i="3"/>
  <c r="A1540" i="3"/>
  <c r="A1539" i="3"/>
  <c r="A1538" i="3"/>
  <c r="A1537" i="3"/>
  <c r="A1536" i="3"/>
  <c r="A1535" i="3"/>
  <c r="A1534" i="3"/>
  <c r="A1533" i="3"/>
  <c r="A1532" i="3"/>
  <c r="A1531" i="3"/>
  <c r="A1530" i="3"/>
  <c r="A1529" i="3"/>
  <c r="A1528" i="3"/>
  <c r="A1527" i="3"/>
  <c r="A1526" i="3"/>
  <c r="A1525" i="3"/>
  <c r="A1524" i="3"/>
  <c r="A1523" i="3"/>
  <c r="A1522" i="3"/>
  <c r="A1521" i="3"/>
  <c r="A1520" i="3"/>
  <c r="A1519" i="3"/>
  <c r="A1518" i="3"/>
  <c r="A1517" i="3"/>
  <c r="A1516" i="3"/>
  <c r="A1515" i="3"/>
  <c r="A1514" i="3"/>
  <c r="A1513" i="3"/>
  <c r="A1512" i="3"/>
  <c r="A1511" i="3"/>
  <c r="A1510" i="3"/>
  <c r="A1509" i="3"/>
  <c r="A1508" i="3"/>
  <c r="A1507" i="3"/>
  <c r="A1506" i="3"/>
  <c r="A1505" i="3"/>
  <c r="A1504" i="3"/>
  <c r="A1503" i="3"/>
  <c r="A1502" i="3"/>
  <c r="A1501" i="3"/>
  <c r="A1500" i="3"/>
  <c r="A1499" i="3"/>
  <c r="A1498" i="3"/>
  <c r="A1497" i="3"/>
  <c r="A1496" i="3"/>
  <c r="A1495" i="3"/>
  <c r="A1494" i="3"/>
  <c r="A1493" i="3"/>
  <c r="A1492" i="3"/>
  <c r="A1491" i="3"/>
  <c r="A1490" i="3"/>
  <c r="A1489" i="3"/>
  <c r="A1488" i="3"/>
  <c r="A1487" i="3"/>
  <c r="A1486" i="3"/>
  <c r="A1485" i="3"/>
  <c r="A1484" i="3"/>
  <c r="A1483" i="3"/>
  <c r="A1482" i="3"/>
  <c r="A1481" i="3"/>
  <c r="A1480" i="3"/>
  <c r="A1479" i="3"/>
  <c r="A1478" i="3"/>
  <c r="A1477" i="3"/>
  <c r="A1476" i="3"/>
  <c r="A1475" i="3"/>
  <c r="A1474" i="3"/>
  <c r="A1473" i="3"/>
  <c r="A1472" i="3"/>
  <c r="A1471" i="3"/>
  <c r="A1470" i="3"/>
  <c r="A1469" i="3"/>
  <c r="A1468" i="3"/>
  <c r="A1467" i="3"/>
  <c r="A1466" i="3"/>
  <c r="A1465" i="3"/>
  <c r="A1464" i="3"/>
  <c r="A1463" i="3"/>
  <c r="A1462" i="3"/>
  <c r="A1461" i="3"/>
  <c r="A1460" i="3"/>
  <c r="A1459" i="3"/>
  <c r="A1458" i="3"/>
  <c r="A1457" i="3"/>
  <c r="A1456" i="3"/>
  <c r="A1455" i="3"/>
  <c r="A1454" i="3"/>
  <c r="A1453" i="3"/>
  <c r="A1452" i="3"/>
  <c r="A1451" i="3"/>
  <c r="A1450" i="3"/>
  <c r="A1449" i="3"/>
  <c r="A1448" i="3"/>
  <c r="A1447" i="3"/>
  <c r="A1446" i="3"/>
  <c r="A1445" i="3"/>
  <c r="A1444" i="3"/>
  <c r="A1443" i="3"/>
  <c r="A1442" i="3"/>
  <c r="A1441" i="3"/>
  <c r="A1440" i="3"/>
  <c r="A1439" i="3"/>
  <c r="A1438" i="3"/>
  <c r="A1437" i="3"/>
  <c r="A1436" i="3"/>
  <c r="A1435" i="3"/>
  <c r="A1434" i="3"/>
  <c r="A1433" i="3"/>
  <c r="A1432" i="3"/>
  <c r="A1431" i="3"/>
  <c r="A1430" i="3"/>
  <c r="A1429" i="3"/>
  <c r="A1428" i="3"/>
  <c r="A1427" i="3"/>
  <c r="A1426" i="3"/>
  <c r="A1425" i="3"/>
  <c r="A1424" i="3"/>
  <c r="A1423" i="3"/>
  <c r="A1422" i="3"/>
  <c r="A1421" i="3"/>
  <c r="A1420" i="3"/>
  <c r="A1419" i="3"/>
  <c r="A1418" i="3"/>
  <c r="A1417" i="3"/>
  <c r="A1416" i="3"/>
  <c r="A1415" i="3"/>
  <c r="A1414" i="3"/>
  <c r="A1413" i="3"/>
  <c r="A1412" i="3"/>
  <c r="A1411" i="3"/>
  <c r="A1410" i="3"/>
  <c r="A1409" i="3"/>
  <c r="A1408" i="3"/>
  <c r="A1407" i="3"/>
  <c r="A1406" i="3"/>
  <c r="A1405" i="3"/>
  <c r="A1404" i="3"/>
  <c r="A1403" i="3"/>
  <c r="A1402" i="3"/>
  <c r="A1401" i="3"/>
  <c r="A1400" i="3"/>
  <c r="A1399" i="3"/>
  <c r="A1398" i="3"/>
  <c r="A1397" i="3"/>
  <c r="A1396" i="3"/>
  <c r="A1395" i="3"/>
  <c r="A1394" i="3"/>
  <c r="A1393" i="3"/>
  <c r="A1392" i="3"/>
  <c r="A1391" i="3"/>
  <c r="A1390" i="3"/>
  <c r="A1389" i="3"/>
  <c r="A1388" i="3"/>
  <c r="A1387" i="3"/>
  <c r="A1386" i="3"/>
  <c r="A1385" i="3"/>
  <c r="A1384" i="3"/>
  <c r="A1383" i="3"/>
  <c r="A1382" i="3"/>
  <c r="A1381" i="3"/>
  <c r="A1380" i="3"/>
  <c r="A1379" i="3"/>
  <c r="A1378" i="3"/>
  <c r="A1377" i="3"/>
  <c r="A1376" i="3"/>
  <c r="A1375" i="3"/>
  <c r="A1374" i="3"/>
  <c r="A1373" i="3"/>
  <c r="A1372" i="3"/>
  <c r="A1371" i="3"/>
  <c r="A1370" i="3"/>
  <c r="A1369" i="3"/>
  <c r="A1368" i="3"/>
  <c r="A1367" i="3"/>
  <c r="A1366" i="3"/>
  <c r="A1365" i="3"/>
  <c r="A1364" i="3"/>
  <c r="A1363" i="3"/>
  <c r="A1362" i="3"/>
  <c r="A1361" i="3"/>
  <c r="A1360" i="3"/>
  <c r="A1359" i="3"/>
  <c r="A1358" i="3"/>
  <c r="A1357" i="3"/>
  <c r="A1356" i="3"/>
  <c r="A1355" i="3"/>
  <c r="A1354" i="3"/>
  <c r="A1353" i="3"/>
  <c r="A1352" i="3"/>
  <c r="A1351" i="3"/>
  <c r="A1350" i="3"/>
  <c r="A1349" i="3"/>
  <c r="A1348" i="3"/>
  <c r="A1347" i="3"/>
  <c r="A1346" i="3"/>
  <c r="A1345" i="3"/>
  <c r="A1344" i="3"/>
  <c r="A1343" i="3"/>
  <c r="A1342" i="3"/>
  <c r="A1341" i="3"/>
  <c r="A1340" i="3"/>
  <c r="A1339" i="3"/>
  <c r="A1338" i="3"/>
  <c r="A1337" i="3"/>
  <c r="A1336" i="3"/>
  <c r="A1335" i="3"/>
  <c r="A1334" i="3"/>
  <c r="A1333" i="3"/>
  <c r="A1332" i="3"/>
  <c r="A1331" i="3"/>
  <c r="A1330" i="3"/>
  <c r="A1329" i="3"/>
  <c r="A1328" i="3"/>
  <c r="A1327" i="3"/>
  <c r="A1326" i="3"/>
  <c r="A1325" i="3"/>
  <c r="A1324" i="3"/>
  <c r="A1323" i="3"/>
  <c r="A1322" i="3"/>
  <c r="A1321" i="3"/>
  <c r="A1320" i="3"/>
  <c r="A1319" i="3"/>
  <c r="A1318" i="3"/>
  <c r="A1317" i="3"/>
  <c r="A1316" i="3"/>
  <c r="A1315" i="3"/>
  <c r="A1314" i="3"/>
  <c r="A1313" i="3"/>
  <c r="A1312" i="3"/>
  <c r="A1311" i="3"/>
  <c r="A1310" i="3"/>
  <c r="A1309" i="3"/>
  <c r="A1308" i="3"/>
  <c r="A1307" i="3"/>
  <c r="A1306" i="3"/>
  <c r="A1305" i="3"/>
  <c r="A1304" i="3"/>
  <c r="A1303" i="3"/>
  <c r="A1302" i="3"/>
  <c r="A1301" i="3"/>
  <c r="A1300" i="3"/>
  <c r="A1299" i="3"/>
  <c r="A1298" i="3"/>
  <c r="A1297" i="3"/>
  <c r="A1296" i="3"/>
  <c r="A1295" i="3"/>
  <c r="A1294" i="3"/>
  <c r="A1293" i="3"/>
  <c r="A1292" i="3"/>
  <c r="A1291" i="3"/>
  <c r="A1290" i="3"/>
  <c r="A1289" i="3"/>
  <c r="A1288" i="3"/>
  <c r="A1287" i="3"/>
  <c r="A1286" i="3"/>
  <c r="A1285" i="3"/>
  <c r="A1284" i="3"/>
  <c r="A1283" i="3"/>
  <c r="A1282" i="3"/>
  <c r="A1281" i="3"/>
  <c r="A1280" i="3"/>
  <c r="A1279" i="3"/>
  <c r="A1278" i="3"/>
  <c r="A1277" i="3"/>
  <c r="A1276" i="3"/>
  <c r="A1275" i="3"/>
  <c r="A1274" i="3"/>
  <c r="A1273" i="3"/>
  <c r="A1272" i="3"/>
  <c r="A1271" i="3"/>
  <c r="A1270" i="3"/>
  <c r="A1269" i="3"/>
  <c r="A1268" i="3"/>
  <c r="A1267" i="3"/>
  <c r="A1266" i="3"/>
  <c r="A1265" i="3"/>
  <c r="A1264" i="3"/>
  <c r="A1263" i="3"/>
  <c r="A1262" i="3"/>
  <c r="A1261" i="3"/>
  <c r="A1260" i="3"/>
  <c r="A1259" i="3"/>
  <c r="A1258" i="3"/>
  <c r="A1257" i="3"/>
  <c r="A1256" i="3"/>
  <c r="A1255" i="3"/>
  <c r="A1254" i="3"/>
  <c r="A1253" i="3"/>
  <c r="A1252" i="3"/>
  <c r="A1251" i="3"/>
  <c r="A1250" i="3"/>
  <c r="A1249" i="3"/>
  <c r="A1248" i="3"/>
  <c r="A1247" i="3"/>
  <c r="A1246" i="3"/>
  <c r="A1245" i="3"/>
  <c r="A1244" i="3"/>
  <c r="A1243" i="3"/>
  <c r="A1242" i="3"/>
  <c r="A1241" i="3"/>
  <c r="A1240" i="3"/>
  <c r="A1239" i="3"/>
  <c r="A1238" i="3"/>
  <c r="A1237" i="3"/>
  <c r="A1236" i="3"/>
  <c r="A1235" i="3"/>
  <c r="A1234" i="3"/>
  <c r="A1233" i="3"/>
  <c r="A1232" i="3"/>
  <c r="A1231" i="3"/>
  <c r="A1230" i="3"/>
  <c r="A1229" i="3"/>
  <c r="A1228" i="3"/>
  <c r="A1227" i="3"/>
  <c r="A1226" i="3"/>
  <c r="A1225" i="3"/>
  <c r="A1224" i="3"/>
  <c r="A1223" i="3"/>
  <c r="A1222" i="3"/>
  <c r="A1221" i="3"/>
  <c r="A1220" i="3"/>
  <c r="A1219" i="3"/>
  <c r="A1218" i="3"/>
  <c r="A1217" i="3"/>
  <c r="A1216" i="3"/>
  <c r="A1215" i="3"/>
  <c r="A1214" i="3"/>
  <c r="A1213" i="3"/>
  <c r="A1212" i="3"/>
  <c r="A1211" i="3"/>
  <c r="A1210" i="3"/>
  <c r="A1209" i="3"/>
  <c r="A1208" i="3"/>
  <c r="A1207" i="3"/>
  <c r="A1206" i="3"/>
  <c r="A1205" i="3"/>
  <c r="A1204" i="3"/>
  <c r="A1203" i="3"/>
  <c r="A1202" i="3"/>
  <c r="A1201" i="3"/>
  <c r="A1200" i="3"/>
  <c r="A1199" i="3"/>
  <c r="A1198" i="3"/>
  <c r="A1197" i="3"/>
  <c r="A1196" i="3"/>
  <c r="A1195" i="3"/>
  <c r="A1194" i="3"/>
  <c r="A1193" i="3"/>
  <c r="A1192" i="3"/>
  <c r="A1191" i="3"/>
  <c r="A1190" i="3"/>
  <c r="A1189" i="3"/>
  <c r="A1188" i="3"/>
  <c r="A1187" i="3"/>
  <c r="A1186" i="3"/>
  <c r="A1185" i="3"/>
  <c r="A1184" i="3"/>
  <c r="A1183" i="3"/>
  <c r="A1182" i="3"/>
  <c r="A1181" i="3"/>
  <c r="A1180" i="3"/>
  <c r="A1179" i="3"/>
  <c r="A1178" i="3"/>
  <c r="A1177" i="3"/>
  <c r="A1176" i="3"/>
  <c r="A1175" i="3"/>
  <c r="A1174" i="3"/>
  <c r="A1173" i="3"/>
  <c r="A1172" i="3"/>
  <c r="A1171" i="3"/>
  <c r="A1170" i="3"/>
  <c r="A1169" i="3"/>
  <c r="A1168" i="3"/>
  <c r="A1167" i="3"/>
  <c r="A1166" i="3"/>
  <c r="A1165" i="3"/>
  <c r="A1164" i="3"/>
  <c r="A1163" i="3"/>
  <c r="A1162" i="3"/>
  <c r="A1161" i="3"/>
  <c r="A1160" i="3"/>
  <c r="A1159" i="3"/>
  <c r="A1158" i="3"/>
  <c r="A1157" i="3"/>
  <c r="A1156" i="3"/>
  <c r="A1155" i="3"/>
  <c r="A1154" i="3"/>
  <c r="A1153" i="3"/>
  <c r="A1152" i="3"/>
  <c r="A1151" i="3"/>
  <c r="A1150" i="3"/>
  <c r="A1149" i="3"/>
  <c r="A1148" i="3"/>
  <c r="A1147" i="3"/>
  <c r="A1146" i="3"/>
  <c r="A1145" i="3"/>
  <c r="A1144" i="3"/>
  <c r="A1143" i="3"/>
  <c r="A1142" i="3"/>
  <c r="A1141" i="3"/>
  <c r="A1140" i="3"/>
  <c r="A1139" i="3"/>
  <c r="A1138" i="3"/>
  <c r="A1137" i="3"/>
  <c r="A1136" i="3"/>
  <c r="A1135" i="3"/>
  <c r="A1134" i="3"/>
  <c r="A1133" i="3"/>
  <c r="A1132" i="3"/>
  <c r="A1131" i="3"/>
  <c r="A1130" i="3"/>
  <c r="A1129" i="3"/>
  <c r="A1128" i="3"/>
  <c r="A1127" i="3"/>
  <c r="A1126" i="3"/>
  <c r="A1125" i="3"/>
  <c r="A1124" i="3"/>
  <c r="A1123" i="3"/>
  <c r="A1122" i="3"/>
  <c r="A1121" i="3"/>
  <c r="A1120" i="3"/>
  <c r="A1119" i="3"/>
  <c r="A1118" i="3"/>
  <c r="A1117" i="3"/>
  <c r="A1116" i="3"/>
  <c r="A1115" i="3"/>
  <c r="A1114" i="3"/>
  <c r="A1113" i="3"/>
  <c r="A1112" i="3"/>
  <c r="A1111" i="3"/>
  <c r="A1110" i="3"/>
  <c r="A1109" i="3"/>
  <c r="A1108" i="3"/>
  <c r="A1107" i="3"/>
  <c r="A1106" i="3"/>
  <c r="A1105" i="3"/>
  <c r="A1104" i="3"/>
  <c r="A1103" i="3"/>
  <c r="A1102" i="3"/>
  <c r="A1101" i="3"/>
  <c r="A1100" i="3"/>
  <c r="A1099" i="3"/>
  <c r="A1098" i="3"/>
  <c r="A1097" i="3"/>
  <c r="A1096" i="3"/>
  <c r="A1095" i="3"/>
  <c r="A1094" i="3"/>
  <c r="A1093" i="3"/>
  <c r="A1092" i="3"/>
  <c r="A1091" i="3"/>
  <c r="A1090" i="3"/>
  <c r="A1089" i="3"/>
  <c r="A1088" i="3"/>
  <c r="A1087" i="3"/>
  <c r="A1086" i="3"/>
  <c r="A1085" i="3"/>
  <c r="A1084" i="3"/>
  <c r="A1083" i="3"/>
  <c r="A1082" i="3"/>
  <c r="A1081" i="3"/>
  <c r="A1080" i="3"/>
  <c r="A1079" i="3"/>
  <c r="A1078" i="3"/>
  <c r="A1077" i="3"/>
  <c r="A1076" i="3"/>
  <c r="A1075" i="3"/>
  <c r="A1074" i="3"/>
  <c r="A1073" i="3"/>
  <c r="A1072" i="3"/>
  <c r="A1071" i="3"/>
  <c r="A1070" i="3"/>
  <c r="A1069" i="3"/>
  <c r="A1068" i="3"/>
  <c r="A1067" i="3"/>
  <c r="A1066" i="3"/>
  <c r="A1065" i="3"/>
  <c r="A1064" i="3"/>
  <c r="A1063" i="3"/>
  <c r="A1062" i="3"/>
  <c r="A1061" i="3"/>
  <c r="A1060" i="3"/>
  <c r="A1059" i="3"/>
  <c r="A1058" i="3"/>
  <c r="A1057" i="3"/>
  <c r="A1056" i="3"/>
  <c r="A1055" i="3"/>
  <c r="A1054" i="3"/>
  <c r="A1053" i="3"/>
  <c r="A1052" i="3"/>
  <c r="A1051" i="3"/>
  <c r="A1050" i="3"/>
  <c r="A1049" i="3"/>
  <c r="A1048" i="3"/>
  <c r="A1047" i="3"/>
  <c r="A1046" i="3"/>
  <c r="A1045" i="3"/>
  <c r="A1044" i="3"/>
  <c r="A1043" i="3"/>
  <c r="A1042" i="3"/>
  <c r="A1041" i="3"/>
  <c r="A1040" i="3"/>
  <c r="A1039" i="3"/>
  <c r="A1038" i="3"/>
  <c r="A1037" i="3"/>
  <c r="A1036" i="3"/>
  <c r="A1035" i="3"/>
  <c r="A1034" i="3"/>
  <c r="A1033" i="3"/>
  <c r="A1032" i="3"/>
  <c r="A1031" i="3"/>
  <c r="A1030" i="3"/>
  <c r="A1029" i="3"/>
  <c r="A1028" i="3"/>
  <c r="A1027" i="3"/>
  <c r="A1026" i="3"/>
  <c r="A1025" i="3"/>
  <c r="A1024" i="3"/>
  <c r="A1023" i="3"/>
  <c r="A1022" i="3"/>
  <c r="A1021" i="3"/>
  <c r="A1020" i="3"/>
  <c r="A1019" i="3"/>
  <c r="A1018" i="3"/>
  <c r="A1017" i="3"/>
  <c r="A1016" i="3"/>
  <c r="A1015" i="3"/>
  <c r="A1014" i="3"/>
  <c r="A1013" i="3"/>
  <c r="A1012" i="3"/>
  <c r="A1011" i="3"/>
  <c r="A1010" i="3"/>
  <c r="A1009" i="3"/>
  <c r="A1008" i="3"/>
  <c r="A1007" i="3"/>
  <c r="A1006" i="3"/>
  <c r="A1005" i="3"/>
  <c r="A1004" i="3"/>
  <c r="A1003" i="3"/>
  <c r="A1002" i="3"/>
  <c r="A1001" i="3"/>
  <c r="A1000" i="3"/>
  <c r="A999" i="3"/>
  <c r="A998" i="3"/>
  <c r="A997" i="3"/>
  <c r="A996" i="3"/>
  <c r="A995" i="3"/>
  <c r="A994" i="3"/>
  <c r="A993" i="3"/>
  <c r="A992" i="3"/>
  <c r="A991" i="3"/>
  <c r="A990" i="3"/>
  <c r="A989" i="3"/>
  <c r="A988" i="3"/>
  <c r="A987" i="3"/>
  <c r="A986" i="3"/>
  <c r="A985" i="3"/>
  <c r="A984" i="3"/>
  <c r="A983" i="3"/>
  <c r="A982" i="3"/>
  <c r="A981" i="3"/>
  <c r="A980" i="3"/>
  <c r="A979" i="3"/>
  <c r="A978" i="3"/>
  <c r="A977" i="3"/>
  <c r="A976" i="3"/>
  <c r="A975" i="3"/>
  <c r="A974" i="3"/>
  <c r="A973" i="3"/>
  <c r="A972" i="3"/>
  <c r="A971" i="3"/>
  <c r="A970" i="3"/>
  <c r="A969" i="3"/>
  <c r="A968" i="3"/>
  <c r="A967" i="3"/>
  <c r="A966" i="3"/>
  <c r="A965" i="3"/>
  <c r="A964" i="3"/>
  <c r="A963" i="3"/>
  <c r="A962" i="3"/>
  <c r="A961" i="3"/>
  <c r="A960" i="3"/>
  <c r="A959" i="3"/>
  <c r="A958" i="3"/>
  <c r="A957" i="3"/>
  <c r="A956" i="3"/>
  <c r="A955" i="3"/>
  <c r="A954" i="3"/>
  <c r="A953" i="3"/>
  <c r="A952" i="3"/>
  <c r="A951" i="3"/>
  <c r="A950" i="3"/>
  <c r="A949" i="3"/>
  <c r="A948" i="3"/>
  <c r="A947" i="3"/>
  <c r="A946" i="3"/>
  <c r="A945" i="3"/>
  <c r="A944" i="3"/>
  <c r="A943" i="3"/>
  <c r="A942" i="3"/>
  <c r="A941" i="3"/>
  <c r="A940" i="3"/>
  <c r="A939" i="3"/>
  <c r="A938" i="3"/>
  <c r="A937" i="3"/>
  <c r="A936" i="3"/>
  <c r="A935" i="3"/>
  <c r="A934" i="3"/>
  <c r="A933" i="3"/>
  <c r="A932" i="3"/>
  <c r="A931" i="3"/>
  <c r="A930" i="3"/>
  <c r="A929" i="3"/>
  <c r="A928" i="3"/>
  <c r="A927" i="3"/>
  <c r="A926" i="3"/>
  <c r="A925" i="3"/>
  <c r="A924" i="3"/>
  <c r="A923" i="3"/>
  <c r="A922" i="3"/>
  <c r="A921" i="3"/>
  <c r="A920" i="3"/>
  <c r="A919" i="3"/>
  <c r="A918" i="3"/>
  <c r="A917" i="3"/>
  <c r="A916" i="3"/>
  <c r="A915" i="3"/>
  <c r="A914" i="3"/>
  <c r="A913" i="3"/>
  <c r="A912" i="3"/>
  <c r="A911" i="3"/>
  <c r="A910" i="3"/>
  <c r="A909" i="3"/>
  <c r="A908" i="3"/>
  <c r="A907" i="3"/>
  <c r="A906" i="3"/>
  <c r="A905" i="3"/>
  <c r="A904" i="3"/>
  <c r="A903" i="3"/>
  <c r="A902" i="3"/>
  <c r="A901" i="3"/>
  <c r="A900" i="3"/>
  <c r="A899" i="3"/>
  <c r="A898" i="3"/>
  <c r="A897" i="3"/>
  <c r="A896" i="3"/>
  <c r="A895" i="3"/>
  <c r="A894" i="3"/>
  <c r="A893" i="3"/>
  <c r="A892" i="3"/>
  <c r="A891" i="3"/>
  <c r="A890" i="3"/>
  <c r="A889" i="3"/>
  <c r="A888" i="3"/>
  <c r="A887" i="3"/>
  <c r="A886" i="3"/>
  <c r="A885" i="3"/>
  <c r="A884" i="3"/>
  <c r="A883" i="3"/>
  <c r="A882" i="3"/>
  <c r="A881" i="3"/>
  <c r="A880" i="3"/>
  <c r="A879" i="3"/>
  <c r="A878" i="3"/>
  <c r="A877" i="3"/>
  <c r="A876" i="3"/>
  <c r="A875" i="3"/>
  <c r="A874" i="3"/>
  <c r="A873" i="3"/>
  <c r="A872" i="3"/>
  <c r="A871" i="3"/>
  <c r="A870" i="3"/>
  <c r="A869" i="3"/>
  <c r="A868" i="3"/>
  <c r="A867" i="3"/>
  <c r="A866" i="3"/>
  <c r="A865" i="3"/>
  <c r="A864" i="3"/>
  <c r="A863" i="3"/>
  <c r="A862" i="3"/>
  <c r="A861" i="3"/>
  <c r="A860" i="3"/>
  <c r="A859" i="3"/>
  <c r="A858" i="3"/>
  <c r="A857" i="3"/>
  <c r="A856" i="3"/>
  <c r="A855" i="3"/>
  <c r="A854" i="3"/>
  <c r="A853" i="3"/>
  <c r="A852" i="3"/>
  <c r="A851" i="3"/>
  <c r="A850" i="3"/>
  <c r="A849" i="3"/>
  <c r="A848" i="3"/>
  <c r="A847" i="3"/>
  <c r="A846" i="3"/>
  <c r="A845" i="3"/>
  <c r="A844" i="3"/>
  <c r="A843" i="3"/>
  <c r="A842" i="3"/>
  <c r="A841" i="3"/>
  <c r="A840" i="3"/>
  <c r="A839" i="3"/>
  <c r="A838" i="3"/>
  <c r="A837" i="3"/>
  <c r="A836" i="3"/>
  <c r="A835" i="3"/>
  <c r="A834" i="3"/>
  <c r="A833" i="3"/>
  <c r="A832" i="3"/>
  <c r="A831" i="3"/>
  <c r="A830" i="3"/>
  <c r="A829" i="3"/>
  <c r="A828" i="3"/>
  <c r="A827" i="3"/>
  <c r="A826" i="3"/>
  <c r="A825" i="3"/>
  <c r="A824" i="3"/>
  <c r="A823" i="3"/>
  <c r="A822" i="3"/>
  <c r="A821" i="3"/>
  <c r="A820" i="3"/>
  <c r="A819" i="3"/>
  <c r="A818" i="3"/>
  <c r="A817" i="3"/>
  <c r="A816" i="3"/>
  <c r="A815" i="3"/>
  <c r="A814" i="3"/>
  <c r="A813" i="3"/>
  <c r="A812" i="3"/>
  <c r="A811" i="3"/>
  <c r="A810" i="3"/>
  <c r="A809" i="3"/>
  <c r="A808" i="3"/>
  <c r="A807" i="3"/>
  <c r="A806" i="3"/>
  <c r="A805" i="3"/>
  <c r="A804" i="3"/>
  <c r="A803" i="3"/>
  <c r="A802" i="3"/>
  <c r="A801" i="3"/>
  <c r="A800" i="3"/>
  <c r="A799" i="3"/>
  <c r="A798" i="3"/>
  <c r="A797" i="3"/>
  <c r="A796" i="3"/>
  <c r="A795" i="3"/>
  <c r="A794" i="3"/>
  <c r="A793" i="3"/>
  <c r="A792" i="3"/>
  <c r="A791" i="3"/>
  <c r="A790" i="3"/>
  <c r="A789" i="3"/>
  <c r="A788" i="3"/>
  <c r="A787" i="3"/>
  <c r="A786" i="3"/>
  <c r="A785" i="3"/>
  <c r="A784" i="3"/>
  <c r="A783" i="3"/>
  <c r="A782" i="3"/>
  <c r="A781" i="3"/>
  <c r="A780" i="3"/>
  <c r="A779" i="3"/>
  <c r="A778" i="3"/>
  <c r="A777" i="3"/>
  <c r="A776" i="3"/>
  <c r="A775" i="3"/>
  <c r="A774" i="3"/>
  <c r="A773" i="3"/>
  <c r="A772" i="3"/>
  <c r="A771" i="3"/>
  <c r="A770" i="3"/>
  <c r="A769" i="3"/>
  <c r="A768" i="3"/>
  <c r="A767" i="3"/>
  <c r="A766" i="3"/>
  <c r="A765" i="3"/>
  <c r="A764" i="3"/>
  <c r="A763" i="3"/>
  <c r="A762" i="3"/>
  <c r="A761" i="3"/>
  <c r="A760" i="3"/>
  <c r="A759" i="3"/>
  <c r="A758" i="3"/>
  <c r="A757" i="3"/>
  <c r="A756" i="3"/>
  <c r="A755" i="3"/>
  <c r="A754" i="3"/>
  <c r="A753" i="3"/>
  <c r="A752" i="3"/>
  <c r="A751" i="3"/>
  <c r="A750" i="3"/>
  <c r="A749" i="3"/>
  <c r="A748" i="3"/>
  <c r="A747" i="3"/>
  <c r="A746" i="3"/>
  <c r="A745" i="3"/>
  <c r="A744" i="3"/>
  <c r="A743" i="3"/>
  <c r="A742" i="3"/>
  <c r="A741" i="3"/>
  <c r="A740" i="3"/>
  <c r="A739" i="3"/>
  <c r="A738" i="3"/>
  <c r="A737" i="3"/>
  <c r="A736" i="3"/>
  <c r="A735" i="3"/>
  <c r="A734" i="3"/>
  <c r="A733" i="3"/>
  <c r="A732" i="3"/>
  <c r="A731" i="3"/>
  <c r="A730" i="3"/>
  <c r="A729" i="3"/>
  <c r="A728" i="3"/>
  <c r="A727" i="3"/>
  <c r="A726" i="3"/>
  <c r="A725" i="3"/>
  <c r="A724" i="3"/>
  <c r="A723" i="3"/>
  <c r="A722" i="3"/>
  <c r="A721" i="3"/>
  <c r="A720" i="3"/>
  <c r="A719" i="3"/>
  <c r="A718" i="3"/>
  <c r="A717" i="3"/>
  <c r="A716" i="3"/>
  <c r="A715" i="3"/>
  <c r="A714" i="3"/>
  <c r="A713" i="3"/>
  <c r="A712" i="3"/>
  <c r="A711" i="3"/>
  <c r="A710" i="3"/>
  <c r="A709" i="3"/>
  <c r="A708" i="3"/>
  <c r="A707" i="3"/>
  <c r="A706" i="3"/>
  <c r="A705" i="3"/>
  <c r="A704" i="3"/>
  <c r="A703" i="3"/>
  <c r="A702" i="3"/>
  <c r="A701" i="3"/>
  <c r="A700" i="3"/>
  <c r="A699" i="3"/>
  <c r="A698" i="3"/>
  <c r="A697" i="3"/>
  <c r="A696" i="3"/>
  <c r="A695" i="3"/>
  <c r="A694" i="3"/>
  <c r="A693" i="3"/>
  <c r="A692" i="3"/>
  <c r="A691" i="3"/>
  <c r="A690" i="3"/>
  <c r="A689" i="3"/>
  <c r="A688" i="3"/>
  <c r="A687" i="3"/>
  <c r="A686" i="3"/>
  <c r="A685" i="3"/>
  <c r="A684" i="3"/>
  <c r="A683" i="3"/>
  <c r="A682" i="3"/>
  <c r="A681" i="3"/>
  <c r="A680" i="3"/>
  <c r="A679" i="3"/>
  <c r="A678" i="3"/>
  <c r="A677" i="3"/>
  <c r="A676" i="3"/>
  <c r="A675" i="3"/>
  <c r="A674" i="3"/>
  <c r="A673" i="3"/>
  <c r="A672" i="3"/>
  <c r="A671" i="3"/>
  <c r="A670" i="3"/>
  <c r="A669" i="3"/>
  <c r="A668" i="3"/>
  <c r="A667" i="3"/>
  <c r="A666" i="3"/>
  <c r="A665" i="3"/>
  <c r="A664" i="3"/>
  <c r="A663" i="3"/>
  <c r="A662" i="3"/>
  <c r="A661" i="3"/>
  <c r="A660" i="3"/>
  <c r="A659" i="3"/>
  <c r="A658" i="3"/>
  <c r="A657" i="3"/>
  <c r="A656" i="3"/>
  <c r="A655" i="3"/>
  <c r="A654" i="3"/>
  <c r="A653" i="3"/>
  <c r="A652" i="3"/>
  <c r="A651" i="3"/>
  <c r="A650" i="3"/>
  <c r="A649" i="3"/>
  <c r="A648" i="3"/>
  <c r="A647" i="3"/>
  <c r="A646" i="3"/>
  <c r="A645" i="3"/>
  <c r="A644" i="3"/>
  <c r="A643" i="3"/>
  <c r="A642" i="3"/>
  <c r="A641" i="3"/>
  <c r="A640" i="3"/>
  <c r="A639" i="3"/>
  <c r="A638" i="3"/>
  <c r="A637" i="3"/>
  <c r="A636" i="3"/>
  <c r="A635" i="3"/>
  <c r="A634" i="3"/>
  <c r="A633" i="3"/>
  <c r="A632" i="3"/>
  <c r="A631" i="3"/>
  <c r="A630" i="3"/>
  <c r="A629" i="3"/>
  <c r="A628" i="3"/>
  <c r="A627" i="3"/>
  <c r="A626" i="3"/>
  <c r="A625" i="3"/>
  <c r="A624" i="3"/>
  <c r="A623" i="3"/>
  <c r="A622" i="3"/>
  <c r="A621" i="3"/>
  <c r="A620" i="3"/>
  <c r="A619" i="3"/>
  <c r="A618" i="3"/>
  <c r="A617" i="3"/>
  <c r="A616" i="3"/>
  <c r="A615" i="3"/>
  <c r="A614" i="3"/>
  <c r="A613" i="3"/>
  <c r="A612" i="3"/>
  <c r="A611" i="3"/>
  <c r="A610" i="3"/>
  <c r="A609" i="3"/>
  <c r="A608" i="3"/>
  <c r="A607" i="3"/>
  <c r="A606" i="3"/>
  <c r="A605" i="3"/>
  <c r="A604" i="3"/>
  <c r="A603" i="3"/>
  <c r="A602" i="3"/>
  <c r="A601" i="3"/>
  <c r="A600" i="3"/>
  <c r="A599" i="3"/>
  <c r="A598" i="3"/>
  <c r="A597" i="3"/>
  <c r="A596" i="3"/>
  <c r="A595" i="3"/>
  <c r="A594" i="3"/>
  <c r="A593" i="3"/>
  <c r="A592" i="3"/>
  <c r="A591" i="3"/>
  <c r="A590" i="3"/>
  <c r="A589" i="3"/>
  <c r="A588" i="3"/>
  <c r="A587" i="3"/>
  <c r="A586" i="3"/>
  <c r="A585" i="3"/>
  <c r="A584" i="3"/>
  <c r="A583" i="3"/>
  <c r="A582" i="3"/>
  <c r="A581" i="3"/>
  <c r="A580" i="3"/>
  <c r="A579" i="3"/>
  <c r="A578" i="3"/>
  <c r="A577" i="3"/>
  <c r="A576" i="3"/>
  <c r="A575" i="3"/>
  <c r="A574" i="3"/>
  <c r="A573" i="3"/>
  <c r="A572" i="3"/>
  <c r="A571" i="3"/>
  <c r="A570" i="3"/>
  <c r="A569" i="3"/>
  <c r="A568" i="3"/>
  <c r="A567" i="3"/>
  <c r="A566" i="3"/>
  <c r="A565" i="3"/>
  <c r="A564" i="3"/>
  <c r="A563" i="3"/>
  <c r="A562" i="3"/>
  <c r="A561" i="3"/>
  <c r="A560" i="3"/>
  <c r="A559" i="3"/>
  <c r="A558" i="3"/>
  <c r="A557" i="3"/>
  <c r="A556" i="3"/>
  <c r="A555" i="3"/>
  <c r="A554" i="3"/>
  <c r="A553" i="3"/>
  <c r="A552" i="3"/>
  <c r="A551" i="3"/>
  <c r="A550" i="3"/>
  <c r="A549" i="3"/>
  <c r="A548" i="3"/>
  <c r="A547" i="3"/>
  <c r="A546" i="3"/>
  <c r="A545" i="3"/>
  <c r="A544" i="3"/>
  <c r="A543" i="3"/>
  <c r="A542" i="3"/>
  <c r="A541" i="3"/>
  <c r="A540" i="3"/>
  <c r="A539" i="3"/>
  <c r="A538" i="3"/>
  <c r="A537" i="3"/>
  <c r="A536" i="3"/>
  <c r="A535" i="3"/>
  <c r="A534" i="3"/>
  <c r="A533" i="3"/>
  <c r="A532" i="3"/>
  <c r="A531" i="3"/>
  <c r="A530" i="3"/>
  <c r="A529" i="3"/>
  <c r="A528" i="3"/>
  <c r="A527" i="3"/>
  <c r="A526" i="3"/>
  <c r="A525" i="3"/>
  <c r="A524" i="3"/>
  <c r="A523" i="3"/>
  <c r="A522" i="3"/>
  <c r="A521" i="3"/>
  <c r="A520" i="3"/>
  <c r="A519" i="3"/>
  <c r="A518" i="3"/>
  <c r="A517" i="3"/>
  <c r="A516" i="3"/>
  <c r="A515" i="3"/>
  <c r="A514" i="3"/>
  <c r="A513" i="3"/>
  <c r="A512" i="3"/>
  <c r="A511" i="3"/>
  <c r="A510" i="3"/>
  <c r="A509" i="3"/>
  <c r="A508" i="3"/>
  <c r="A507" i="3"/>
  <c r="A506" i="3"/>
  <c r="A505" i="3"/>
  <c r="A504" i="3"/>
  <c r="A503" i="3"/>
  <c r="A502" i="3"/>
  <c r="A501" i="3"/>
  <c r="A500" i="3"/>
  <c r="A499" i="3"/>
  <c r="A498" i="3"/>
  <c r="A497" i="3"/>
  <c r="A496" i="3"/>
  <c r="A495" i="3"/>
  <c r="A494" i="3"/>
  <c r="A493" i="3"/>
  <c r="A492" i="3"/>
  <c r="A491" i="3"/>
  <c r="A490" i="3"/>
  <c r="A489" i="3"/>
  <c r="A488" i="3"/>
  <c r="A487" i="3"/>
  <c r="A486" i="3"/>
  <c r="A485" i="3"/>
  <c r="A484" i="3"/>
  <c r="A483" i="3"/>
  <c r="A482" i="3"/>
  <c r="A481" i="3"/>
  <c r="A480" i="3"/>
  <c r="A479" i="3"/>
  <c r="A478" i="3"/>
  <c r="A477" i="3"/>
  <c r="A476" i="3"/>
  <c r="A475" i="3"/>
  <c r="A474" i="3"/>
  <c r="A473" i="3"/>
  <c r="A472" i="3"/>
  <c r="A471" i="3"/>
  <c r="A470" i="3"/>
  <c r="A469" i="3"/>
  <c r="A468" i="3"/>
  <c r="A467" i="3"/>
  <c r="A466" i="3"/>
  <c r="A465" i="3"/>
  <c r="A464" i="3"/>
  <c r="A463" i="3"/>
  <c r="A462" i="3"/>
  <c r="A461" i="3"/>
  <c r="A460" i="3"/>
  <c r="A459" i="3"/>
  <c r="A458" i="3"/>
  <c r="A457" i="3"/>
  <c r="A456" i="3"/>
  <c r="A455" i="3"/>
  <c r="A454" i="3"/>
  <c r="A453" i="3"/>
  <c r="A452" i="3"/>
  <c r="A451" i="3"/>
  <c r="A450" i="3"/>
  <c r="A449" i="3"/>
  <c r="A448" i="3"/>
  <c r="A447" i="3"/>
  <c r="A446" i="3"/>
  <c r="A445" i="3"/>
  <c r="A444" i="3"/>
  <c r="A443" i="3"/>
  <c r="A442" i="3"/>
  <c r="A441" i="3"/>
  <c r="A440" i="3"/>
  <c r="A439" i="3"/>
  <c r="A438" i="3"/>
  <c r="A437" i="3"/>
  <c r="A436" i="3"/>
  <c r="A435" i="3"/>
  <c r="A434" i="3"/>
  <c r="A433" i="3"/>
  <c r="A432" i="3"/>
  <c r="A431" i="3"/>
  <c r="A430" i="3"/>
  <c r="A429" i="3"/>
  <c r="A428" i="3"/>
  <c r="A427" i="3"/>
  <c r="A426" i="3"/>
  <c r="A425" i="3"/>
  <c r="A424" i="3"/>
  <c r="A423" i="3"/>
  <c r="A422" i="3"/>
  <c r="A421" i="3"/>
  <c r="A420" i="3"/>
  <c r="A419" i="3"/>
  <c r="A418" i="3"/>
  <c r="A417" i="3"/>
  <c r="A416" i="3"/>
  <c r="A415" i="3"/>
  <c r="A414" i="3"/>
  <c r="A413" i="3"/>
  <c r="A412" i="3"/>
  <c r="A411" i="3"/>
  <c r="A410" i="3"/>
  <c r="A409" i="3"/>
  <c r="A408" i="3"/>
  <c r="A407" i="3"/>
  <c r="A406" i="3"/>
  <c r="A405" i="3"/>
  <c r="A404" i="3"/>
  <c r="A403" i="3"/>
  <c r="A402" i="3"/>
  <c r="A401" i="3"/>
  <c r="A400" i="3"/>
  <c r="A399" i="3"/>
  <c r="A398" i="3"/>
  <c r="A397" i="3"/>
  <c r="A396" i="3"/>
  <c r="A395" i="3"/>
  <c r="A394" i="3"/>
  <c r="A393" i="3"/>
  <c r="A392" i="3"/>
  <c r="A391" i="3"/>
  <c r="A390" i="3"/>
  <c r="A389" i="3"/>
  <c r="A388" i="3"/>
  <c r="A387" i="3"/>
  <c r="A386" i="3"/>
  <c r="A385" i="3"/>
  <c r="A384" i="3"/>
  <c r="A383" i="3"/>
  <c r="A382" i="3"/>
  <c r="A381" i="3"/>
  <c r="A380" i="3"/>
  <c r="A379" i="3"/>
  <c r="A378" i="3"/>
  <c r="A377" i="3"/>
  <c r="A376" i="3"/>
  <c r="A375" i="3"/>
  <c r="A374" i="3"/>
  <c r="A373" i="3"/>
  <c r="A372" i="3"/>
  <c r="A371" i="3"/>
  <c r="A370" i="3"/>
  <c r="A369" i="3"/>
  <c r="A368" i="3"/>
  <c r="A367" i="3"/>
  <c r="A366" i="3"/>
  <c r="A365" i="3"/>
  <c r="A364" i="3"/>
  <c r="A363" i="3"/>
  <c r="A362" i="3"/>
  <c r="A361" i="3"/>
  <c r="A360" i="3"/>
  <c r="A359" i="3"/>
  <c r="A358" i="3"/>
  <c r="A357" i="3"/>
  <c r="A356" i="3"/>
  <c r="A355" i="3"/>
  <c r="A354" i="3"/>
  <c r="A353" i="3"/>
  <c r="A352" i="3"/>
  <c r="A351" i="3"/>
  <c r="A350" i="3"/>
  <c r="A349" i="3"/>
  <c r="A348" i="3"/>
  <c r="A347" i="3"/>
  <c r="A346" i="3"/>
  <c r="A345" i="3"/>
  <c r="A344" i="3"/>
  <c r="A343" i="3"/>
  <c r="A342" i="3"/>
  <c r="A341" i="3"/>
  <c r="A340" i="3"/>
  <c r="A339" i="3"/>
  <c r="A338" i="3"/>
  <c r="A337" i="3"/>
  <c r="A336" i="3"/>
  <c r="A335" i="3"/>
  <c r="A334" i="3"/>
  <c r="A333" i="3"/>
  <c r="A332" i="3"/>
  <c r="A331" i="3"/>
  <c r="A330" i="3"/>
  <c r="A329" i="3"/>
  <c r="A328" i="3"/>
  <c r="A327" i="3"/>
  <c r="A326" i="3"/>
  <c r="A325" i="3"/>
  <c r="A324" i="3"/>
  <c r="A323" i="3"/>
  <c r="A322" i="3"/>
  <c r="A321" i="3"/>
  <c r="A320" i="3"/>
  <c r="A319" i="3"/>
  <c r="A318" i="3"/>
  <c r="A317" i="3"/>
  <c r="A316" i="3"/>
  <c r="A315" i="3"/>
  <c r="A314" i="3"/>
  <c r="A313" i="3"/>
  <c r="A312" i="3"/>
  <c r="A311" i="3"/>
  <c r="A310" i="3"/>
  <c r="A309" i="3"/>
  <c r="A308" i="3"/>
  <c r="A307" i="3"/>
  <c r="A306" i="3"/>
  <c r="A305" i="3"/>
  <c r="A304" i="3"/>
  <c r="A303" i="3"/>
  <c r="A302" i="3"/>
  <c r="A301" i="3"/>
  <c r="A300" i="3"/>
  <c r="A299" i="3"/>
  <c r="A298" i="3"/>
  <c r="A297" i="3"/>
  <c r="A296" i="3"/>
  <c r="A295" i="3"/>
  <c r="A294" i="3"/>
  <c r="A293" i="3"/>
  <c r="A292" i="3"/>
  <c r="A291" i="3"/>
  <c r="A290" i="3"/>
  <c r="A289" i="3"/>
  <c r="A288" i="3"/>
  <c r="A287" i="3"/>
  <c r="A286" i="3"/>
  <c r="A285" i="3"/>
  <c r="A284" i="3"/>
  <c r="A283" i="3"/>
  <c r="A282" i="3"/>
  <c r="A281" i="3"/>
  <c r="A280" i="3"/>
  <c r="A279" i="3"/>
  <c r="A278" i="3"/>
  <c r="A277" i="3"/>
  <c r="A276" i="3"/>
  <c r="A275" i="3"/>
  <c r="A274" i="3"/>
  <c r="A273" i="3"/>
  <c r="A272" i="3"/>
  <c r="A271" i="3"/>
  <c r="A270" i="3"/>
  <c r="A269" i="3"/>
  <c r="A268" i="3"/>
  <c r="A267" i="3"/>
  <c r="A266" i="3"/>
  <c r="A265" i="3"/>
  <c r="A264" i="3"/>
  <c r="A263" i="3"/>
  <c r="A262" i="3"/>
  <c r="A261" i="3"/>
  <c r="A260" i="3"/>
  <c r="A259" i="3"/>
  <c r="A258" i="3"/>
  <c r="A257" i="3"/>
  <c r="A256" i="3"/>
  <c r="A255" i="3"/>
  <c r="A254" i="3"/>
  <c r="A253" i="3"/>
  <c r="A252" i="3"/>
  <c r="A251" i="3"/>
  <c r="A250" i="3"/>
  <c r="A249" i="3"/>
  <c r="A248" i="3"/>
  <c r="A247" i="3"/>
  <c r="A246" i="3"/>
  <c r="A245" i="3"/>
  <c r="A244" i="3"/>
  <c r="A243" i="3"/>
  <c r="A242" i="3"/>
  <c r="A241" i="3"/>
  <c r="A240" i="3"/>
  <c r="A239" i="3"/>
  <c r="A238" i="3"/>
  <c r="A237" i="3"/>
  <c r="A236" i="3"/>
  <c r="A235" i="3"/>
  <c r="A234" i="3"/>
  <c r="A233" i="3"/>
  <c r="A232" i="3"/>
  <c r="A231" i="3"/>
  <c r="A230" i="3"/>
  <c r="A229" i="3"/>
  <c r="A228" i="3"/>
  <c r="A227" i="3"/>
  <c r="A226" i="3"/>
  <c r="A225" i="3"/>
  <c r="A224" i="3"/>
  <c r="A223" i="3"/>
  <c r="A222" i="3"/>
  <c r="A221" i="3"/>
  <c r="A220" i="3"/>
  <c r="A219" i="3"/>
  <c r="A218" i="3"/>
  <c r="A217" i="3"/>
  <c r="A216" i="3"/>
  <c r="A215" i="3"/>
  <c r="A214" i="3"/>
  <c r="A213" i="3"/>
  <c r="A212" i="3"/>
  <c r="A211" i="3"/>
  <c r="A210" i="3"/>
  <c r="A209" i="3"/>
  <c r="A208" i="3"/>
  <c r="A207" i="3"/>
  <c r="A206" i="3"/>
  <c r="A205" i="3"/>
  <c r="A204" i="3"/>
  <c r="A203" i="3"/>
  <c r="A202" i="3"/>
  <c r="A201" i="3"/>
  <c r="A200" i="3"/>
  <c r="A199" i="3"/>
  <c r="A198" i="3"/>
  <c r="A197" i="3"/>
  <c r="A196" i="3"/>
  <c r="A195" i="3"/>
  <c r="A194" i="3"/>
  <c r="A193" i="3"/>
  <c r="A192" i="3"/>
  <c r="A191" i="3"/>
  <c r="A190" i="3"/>
  <c r="A189" i="3"/>
  <c r="A188" i="3"/>
  <c r="A187" i="3"/>
  <c r="A186" i="3"/>
  <c r="A185" i="3"/>
  <c r="A184" i="3"/>
  <c r="A183" i="3"/>
  <c r="A182" i="3"/>
  <c r="A181" i="3"/>
  <c r="A180" i="3"/>
  <c r="A179" i="3"/>
  <c r="A178" i="3"/>
  <c r="A177" i="3"/>
  <c r="A176" i="3"/>
  <c r="A175" i="3"/>
  <c r="A174" i="3"/>
  <c r="A173" i="3"/>
  <c r="A172" i="3"/>
  <c r="A171" i="3"/>
  <c r="A170" i="3"/>
  <c r="A169" i="3"/>
  <c r="A168"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9" i="3"/>
  <c r="A98" i="3"/>
  <c r="A97" i="3"/>
  <c r="A96" i="3"/>
  <c r="A95" i="3"/>
  <c r="A94" i="3"/>
  <c r="A93" i="3"/>
  <c r="A92" i="3"/>
  <c r="A91" i="3"/>
  <c r="A90" i="3"/>
  <c r="A89"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7" i="3"/>
  <c r="A6" i="3"/>
  <c r="A5" i="3"/>
  <c r="A4" i="3"/>
  <c r="A3" i="3"/>
  <c r="A2" i="3"/>
  <c r="AL201" i="2"/>
  <c r="AK201" i="2"/>
  <c r="T201" i="2"/>
  <c r="R201" i="2"/>
  <c r="Q201" i="2"/>
  <c r="P201" i="2"/>
  <c r="O201" i="2"/>
  <c r="N201" i="2"/>
  <c r="M201" i="2"/>
  <c r="L201" i="2"/>
  <c r="K201" i="2"/>
  <c r="J201" i="2"/>
  <c r="I201" i="2"/>
  <c r="H201" i="2"/>
  <c r="G201" i="2"/>
  <c r="F201" i="2"/>
  <c r="E201" i="2"/>
  <c r="D201" i="2"/>
  <c r="C201" i="2"/>
  <c r="B201" i="2"/>
  <c r="AL200" i="2"/>
  <c r="AK200" i="2"/>
  <c r="AF200" i="2"/>
  <c r="AE200" i="2"/>
  <c r="AD200" i="2"/>
  <c r="AC200" i="2"/>
  <c r="AB200" i="2"/>
  <c r="AA200" i="2"/>
  <c r="Z200" i="2"/>
  <c r="Y200" i="2"/>
  <c r="X200" i="2"/>
  <c r="W200" i="2"/>
  <c r="V200" i="2"/>
  <c r="U200" i="2"/>
  <c r="T200" i="2"/>
  <c r="S200" i="2"/>
  <c r="R200" i="2"/>
  <c r="Q200" i="2"/>
  <c r="P200" i="2"/>
  <c r="O200" i="2"/>
  <c r="N200" i="2"/>
  <c r="M200" i="2"/>
  <c r="L200" i="2"/>
  <c r="K200" i="2"/>
  <c r="J200" i="2"/>
  <c r="I200" i="2"/>
  <c r="H200" i="2"/>
  <c r="G200" i="2"/>
  <c r="F200" i="2"/>
  <c r="E200" i="2"/>
  <c r="D200" i="2"/>
  <c r="C200" i="2"/>
  <c r="B200" i="2"/>
  <c r="AL199" i="2"/>
  <c r="AK199" i="2"/>
  <c r="AG199" i="2"/>
  <c r="AF199" i="2"/>
  <c r="AE199" i="2"/>
  <c r="AD199" i="2"/>
  <c r="AC199" i="2"/>
  <c r="AB199" i="2"/>
  <c r="AA199" i="2"/>
  <c r="Z199" i="2"/>
  <c r="Y199" i="2"/>
  <c r="X199" i="2"/>
  <c r="W199" i="2"/>
  <c r="V199" i="2"/>
  <c r="U199" i="2"/>
  <c r="T199" i="2"/>
  <c r="S199" i="2"/>
  <c r="R199" i="2"/>
  <c r="Q199" i="2"/>
  <c r="P199" i="2"/>
  <c r="O199" i="2"/>
  <c r="N199" i="2"/>
  <c r="M199" i="2"/>
  <c r="L199" i="2"/>
  <c r="K199" i="2"/>
  <c r="J199" i="2"/>
  <c r="I199" i="2"/>
  <c r="H199" i="2"/>
  <c r="G199" i="2"/>
  <c r="F199" i="2"/>
  <c r="E199" i="2"/>
  <c r="D199" i="2"/>
  <c r="C199" i="2"/>
  <c r="B199" i="2"/>
  <c r="AL198" i="2"/>
  <c r="AK198" i="2"/>
  <c r="AD198" i="2"/>
  <c r="AC198" i="2"/>
  <c r="AB198" i="2"/>
  <c r="AA198" i="2"/>
  <c r="Z198" i="2"/>
  <c r="Y198" i="2"/>
  <c r="X198" i="2"/>
  <c r="W198" i="2"/>
  <c r="V198" i="2"/>
  <c r="U198" i="2"/>
  <c r="T198" i="2"/>
  <c r="S198" i="2"/>
  <c r="R198" i="2"/>
  <c r="Q198" i="2"/>
  <c r="P198" i="2"/>
  <c r="O198" i="2"/>
  <c r="N198" i="2"/>
  <c r="M198" i="2"/>
  <c r="L198" i="2"/>
  <c r="K198" i="2"/>
  <c r="J198" i="2"/>
  <c r="I198" i="2"/>
  <c r="H198" i="2"/>
  <c r="G198" i="2"/>
  <c r="F198" i="2"/>
  <c r="E198" i="2"/>
  <c r="D198" i="2"/>
  <c r="C198" i="2"/>
  <c r="B198" i="2"/>
  <c r="AL197" i="2"/>
  <c r="AK197" i="2"/>
  <c r="AD197" i="2"/>
  <c r="AC197" i="2"/>
  <c r="AB197" i="2"/>
  <c r="AA197" i="2"/>
  <c r="Z197" i="2"/>
  <c r="Y197" i="2"/>
  <c r="X197" i="2"/>
  <c r="W197" i="2"/>
  <c r="V197" i="2"/>
  <c r="U197" i="2"/>
  <c r="T197" i="2"/>
  <c r="S197" i="2"/>
  <c r="R197" i="2"/>
  <c r="Q197" i="2"/>
  <c r="P197" i="2"/>
  <c r="O197" i="2"/>
  <c r="N197" i="2"/>
  <c r="M197" i="2"/>
  <c r="L197" i="2"/>
  <c r="K197" i="2"/>
  <c r="J197" i="2"/>
  <c r="I197" i="2"/>
  <c r="H197" i="2"/>
  <c r="G197" i="2"/>
  <c r="F197" i="2"/>
  <c r="E197" i="2"/>
  <c r="D197" i="2"/>
  <c r="C197" i="2"/>
  <c r="B197" i="2"/>
  <c r="AL196" i="2"/>
  <c r="AK196" i="2"/>
  <c r="AF196" i="2"/>
  <c r="AE196" i="2"/>
  <c r="AD196" i="2"/>
  <c r="AC196" i="2"/>
  <c r="AB196" i="2"/>
  <c r="AA196" i="2"/>
  <c r="Z196" i="2"/>
  <c r="Y196" i="2"/>
  <c r="X196" i="2"/>
  <c r="W196" i="2"/>
  <c r="V196" i="2"/>
  <c r="U196" i="2"/>
  <c r="T196" i="2"/>
  <c r="S196" i="2"/>
  <c r="R196" i="2"/>
  <c r="Q196" i="2"/>
  <c r="P196" i="2"/>
  <c r="O196" i="2"/>
  <c r="N196" i="2"/>
  <c r="M196" i="2"/>
  <c r="L196" i="2"/>
  <c r="K196" i="2"/>
  <c r="J196" i="2"/>
  <c r="I196" i="2"/>
  <c r="H196" i="2"/>
  <c r="G196" i="2"/>
  <c r="F196" i="2"/>
  <c r="E196" i="2"/>
  <c r="D196" i="2"/>
  <c r="C196" i="2"/>
  <c r="B196" i="2"/>
  <c r="AL195" i="2"/>
  <c r="AK195" i="2"/>
  <c r="AG195" i="2"/>
  <c r="AF195" i="2"/>
  <c r="AE195" i="2"/>
  <c r="AD195" i="2"/>
  <c r="AC195" i="2"/>
  <c r="AB195" i="2"/>
  <c r="AA195" i="2"/>
  <c r="Z195" i="2"/>
  <c r="Y195" i="2"/>
  <c r="X195" i="2"/>
  <c r="W195" i="2"/>
  <c r="V195" i="2"/>
  <c r="U195" i="2"/>
  <c r="T195" i="2"/>
  <c r="S195" i="2"/>
  <c r="R195" i="2"/>
  <c r="Q195" i="2"/>
  <c r="P195" i="2"/>
  <c r="O195" i="2"/>
  <c r="N195" i="2"/>
  <c r="M195" i="2"/>
  <c r="L195" i="2"/>
  <c r="K195" i="2"/>
  <c r="J195" i="2"/>
  <c r="I195" i="2"/>
  <c r="H195" i="2"/>
  <c r="G195" i="2"/>
  <c r="F195" i="2"/>
  <c r="E195" i="2"/>
  <c r="D195" i="2"/>
  <c r="C195" i="2"/>
  <c r="B195" i="2"/>
  <c r="AL194" i="2"/>
  <c r="AK194" i="2"/>
  <c r="AG194" i="2"/>
  <c r="AF194" i="2"/>
  <c r="AE194" i="2"/>
  <c r="AD194" i="2"/>
  <c r="AC194" i="2"/>
  <c r="AB194" i="2"/>
  <c r="AA194" i="2"/>
  <c r="Z194" i="2"/>
  <c r="Y194" i="2"/>
  <c r="X194" i="2"/>
  <c r="W194" i="2"/>
  <c r="V194" i="2"/>
  <c r="U194" i="2"/>
  <c r="T194" i="2"/>
  <c r="S194" i="2"/>
  <c r="R194" i="2"/>
  <c r="Q194" i="2"/>
  <c r="P194" i="2"/>
  <c r="O194" i="2"/>
  <c r="N194" i="2"/>
  <c r="M194" i="2"/>
  <c r="L194" i="2"/>
  <c r="K194" i="2"/>
  <c r="J194" i="2"/>
  <c r="I194" i="2"/>
  <c r="H194" i="2"/>
  <c r="G194" i="2"/>
  <c r="F194" i="2"/>
  <c r="E194" i="2"/>
  <c r="D194" i="2"/>
  <c r="C194" i="2"/>
  <c r="B194" i="2"/>
  <c r="AL193" i="2"/>
  <c r="AK193" i="2"/>
  <c r="AF193" i="2"/>
  <c r="AE193" i="2"/>
  <c r="AD193" i="2"/>
  <c r="AC193" i="2"/>
  <c r="AB193" i="2"/>
  <c r="AA193" i="2"/>
  <c r="Z193" i="2"/>
  <c r="Y193" i="2"/>
  <c r="X193" i="2"/>
  <c r="W193" i="2"/>
  <c r="V193" i="2"/>
  <c r="U193" i="2"/>
  <c r="T193" i="2"/>
  <c r="S193" i="2"/>
  <c r="R193" i="2"/>
  <c r="Q193" i="2"/>
  <c r="P193" i="2"/>
  <c r="O193" i="2"/>
  <c r="N193" i="2"/>
  <c r="M193" i="2"/>
  <c r="L193" i="2"/>
  <c r="K193" i="2"/>
  <c r="J193" i="2"/>
  <c r="I193" i="2"/>
  <c r="H193" i="2"/>
  <c r="G193" i="2"/>
  <c r="F193" i="2"/>
  <c r="E193" i="2"/>
  <c r="D193" i="2"/>
  <c r="C193" i="2"/>
  <c r="B193" i="2"/>
  <c r="AL192" i="2"/>
  <c r="AK192" i="2"/>
  <c r="AF192" i="2"/>
  <c r="AE192" i="2"/>
  <c r="AC192" i="2"/>
  <c r="AB192" i="2"/>
  <c r="AA192" i="2"/>
  <c r="Z192" i="2"/>
  <c r="Y192" i="2"/>
  <c r="X192" i="2"/>
  <c r="W192" i="2"/>
  <c r="V192" i="2"/>
  <c r="U192" i="2"/>
  <c r="T192" i="2"/>
  <c r="S192" i="2"/>
  <c r="R192" i="2"/>
  <c r="Q192" i="2"/>
  <c r="P192" i="2"/>
  <c r="O192" i="2"/>
  <c r="N192" i="2"/>
  <c r="M192" i="2"/>
  <c r="L192" i="2"/>
  <c r="K192" i="2"/>
  <c r="J192" i="2"/>
  <c r="I192" i="2"/>
  <c r="H192" i="2"/>
  <c r="G192" i="2"/>
  <c r="F192" i="2"/>
  <c r="E192" i="2"/>
  <c r="D192" i="2"/>
  <c r="C192" i="2"/>
  <c r="B192" i="2"/>
  <c r="AL191" i="2"/>
  <c r="AK191" i="2"/>
  <c r="AG191" i="2"/>
  <c r="AF191" i="2"/>
  <c r="AE191" i="2"/>
  <c r="AD191" i="2"/>
  <c r="AC191" i="2"/>
  <c r="AB191" i="2"/>
  <c r="AA191" i="2"/>
  <c r="Z191" i="2"/>
  <c r="Y191" i="2"/>
  <c r="X191" i="2"/>
  <c r="W191" i="2"/>
  <c r="V191" i="2"/>
  <c r="U191" i="2"/>
  <c r="T191" i="2"/>
  <c r="S191" i="2"/>
  <c r="R191" i="2"/>
  <c r="Q191" i="2"/>
  <c r="P191" i="2"/>
  <c r="O191" i="2"/>
  <c r="N191" i="2"/>
  <c r="M191" i="2"/>
  <c r="L191" i="2"/>
  <c r="K191" i="2"/>
  <c r="J191" i="2"/>
  <c r="I191" i="2"/>
  <c r="H191" i="2"/>
  <c r="G191" i="2"/>
  <c r="F191" i="2"/>
  <c r="E191" i="2"/>
  <c r="D191" i="2"/>
  <c r="C191" i="2"/>
  <c r="B191" i="2"/>
  <c r="AL190" i="2"/>
  <c r="AK190" i="2"/>
  <c r="AI190" i="2" s="1"/>
  <c r="AH190" i="2"/>
  <c r="AG190" i="2"/>
  <c r="AF190" i="2"/>
  <c r="AE190" i="2"/>
  <c r="AD190" i="2"/>
  <c r="AC190" i="2"/>
  <c r="AB190" i="2"/>
  <c r="AA190" i="2"/>
  <c r="Z190" i="2"/>
  <c r="Y190" i="2"/>
  <c r="X190" i="2"/>
  <c r="W190" i="2"/>
  <c r="V190" i="2"/>
  <c r="U190" i="2"/>
  <c r="T190" i="2"/>
  <c r="S190" i="2"/>
  <c r="R190" i="2"/>
  <c r="Q190" i="2"/>
  <c r="P190" i="2"/>
  <c r="O190" i="2"/>
  <c r="N190" i="2"/>
  <c r="M190" i="2"/>
  <c r="L190" i="2"/>
  <c r="K190" i="2"/>
  <c r="J190" i="2"/>
  <c r="I190" i="2"/>
  <c r="H190" i="2"/>
  <c r="G190" i="2"/>
  <c r="F190" i="2"/>
  <c r="E190" i="2"/>
  <c r="D190" i="2"/>
  <c r="C190" i="2"/>
  <c r="B190" i="2"/>
  <c r="AL189" i="2"/>
  <c r="AK189" i="2"/>
  <c r="AI189" i="2" s="1"/>
  <c r="AH189" i="2"/>
  <c r="AG189" i="2"/>
  <c r="AF189" i="2"/>
  <c r="AE189" i="2"/>
  <c r="AD189" i="2"/>
  <c r="AC189" i="2"/>
  <c r="AB189" i="2"/>
  <c r="AA189" i="2"/>
  <c r="Z189" i="2"/>
  <c r="Y189" i="2"/>
  <c r="X189" i="2"/>
  <c r="W189" i="2"/>
  <c r="V189" i="2"/>
  <c r="U189" i="2"/>
  <c r="T189" i="2"/>
  <c r="S189" i="2"/>
  <c r="R189" i="2"/>
  <c r="Q189" i="2"/>
  <c r="P189" i="2"/>
  <c r="O189" i="2"/>
  <c r="N189" i="2"/>
  <c r="M189" i="2"/>
  <c r="L189" i="2"/>
  <c r="K189" i="2"/>
  <c r="J189" i="2"/>
  <c r="I189" i="2"/>
  <c r="H189" i="2"/>
  <c r="G189" i="2"/>
  <c r="F189" i="2"/>
  <c r="E189" i="2"/>
  <c r="D189" i="2"/>
  <c r="C189" i="2"/>
  <c r="B189" i="2"/>
  <c r="AL188" i="2"/>
  <c r="AK188" i="2"/>
  <c r="AG188" i="2"/>
  <c r="AF188" i="2"/>
  <c r="AE188" i="2"/>
  <c r="AD188" i="2"/>
  <c r="AC188" i="2"/>
  <c r="AB188" i="2"/>
  <c r="AA188" i="2"/>
  <c r="Z188" i="2"/>
  <c r="Y188" i="2"/>
  <c r="X188" i="2"/>
  <c r="W188" i="2"/>
  <c r="V188" i="2"/>
  <c r="U188" i="2"/>
  <c r="T188" i="2"/>
  <c r="S188" i="2"/>
  <c r="R188" i="2"/>
  <c r="Q188" i="2"/>
  <c r="P188" i="2"/>
  <c r="O188" i="2"/>
  <c r="N188" i="2"/>
  <c r="M188" i="2"/>
  <c r="L188" i="2"/>
  <c r="K188" i="2"/>
  <c r="J188" i="2"/>
  <c r="I188" i="2"/>
  <c r="H188" i="2"/>
  <c r="G188" i="2"/>
  <c r="F188" i="2"/>
  <c r="E188" i="2"/>
  <c r="D188" i="2"/>
  <c r="C188" i="2"/>
  <c r="B188" i="2"/>
  <c r="AL187" i="2"/>
  <c r="AK187" i="2"/>
  <c r="AE187" i="2"/>
  <c r="AD187" i="2"/>
  <c r="AC187" i="2"/>
  <c r="AB187" i="2"/>
  <c r="AA187" i="2"/>
  <c r="Z187" i="2"/>
  <c r="Y187" i="2"/>
  <c r="X187" i="2"/>
  <c r="W187" i="2"/>
  <c r="V187" i="2"/>
  <c r="U187" i="2"/>
  <c r="T187" i="2"/>
  <c r="S187" i="2"/>
  <c r="R187" i="2"/>
  <c r="Q187" i="2"/>
  <c r="P187" i="2"/>
  <c r="O187" i="2"/>
  <c r="N187" i="2"/>
  <c r="AL186" i="2"/>
  <c r="AK186" i="2"/>
  <c r="AE186" i="2"/>
  <c r="AD186" i="2"/>
  <c r="AC186" i="2"/>
  <c r="AB186" i="2"/>
  <c r="AA186" i="2"/>
  <c r="Z186" i="2"/>
  <c r="Y186" i="2"/>
  <c r="X186" i="2"/>
  <c r="W186" i="2"/>
  <c r="V186" i="2"/>
  <c r="U186" i="2"/>
  <c r="T186" i="2"/>
  <c r="S186" i="2"/>
  <c r="R186" i="2"/>
  <c r="Q186" i="2"/>
  <c r="P186" i="2"/>
  <c r="O186" i="2"/>
  <c r="N186" i="2"/>
  <c r="M186" i="2"/>
  <c r="L186" i="2"/>
  <c r="K186" i="2"/>
  <c r="J186" i="2"/>
  <c r="I186" i="2"/>
  <c r="H186" i="2"/>
  <c r="G186" i="2"/>
  <c r="F186" i="2"/>
  <c r="E186" i="2"/>
  <c r="D186" i="2"/>
  <c r="C186" i="2"/>
  <c r="B186" i="2"/>
  <c r="AL185" i="2"/>
  <c r="AK185" i="2"/>
  <c r="AI185" i="2"/>
  <c r="AH185" i="2"/>
  <c r="AG185" i="2"/>
  <c r="AF185" i="2"/>
  <c r="AE185" i="2"/>
  <c r="AD185" i="2"/>
  <c r="AC185" i="2"/>
  <c r="AB185" i="2"/>
  <c r="AA185" i="2"/>
  <c r="Z185" i="2"/>
  <c r="Y185" i="2"/>
  <c r="X185" i="2"/>
  <c r="W185" i="2"/>
  <c r="V185" i="2"/>
  <c r="U185" i="2"/>
  <c r="T185" i="2"/>
  <c r="S185" i="2"/>
  <c r="R185" i="2"/>
  <c r="Q185" i="2"/>
  <c r="P185" i="2"/>
  <c r="O185" i="2"/>
  <c r="N185" i="2"/>
  <c r="M185" i="2"/>
  <c r="L185" i="2"/>
  <c r="K185" i="2"/>
  <c r="J185" i="2"/>
  <c r="I185" i="2"/>
  <c r="H185" i="2"/>
  <c r="G185" i="2"/>
  <c r="F185" i="2"/>
  <c r="E185" i="2"/>
  <c r="D185" i="2"/>
  <c r="C185" i="2"/>
  <c r="B185" i="2"/>
  <c r="AL184" i="2"/>
  <c r="AK184" i="2"/>
  <c r="AE184" i="2"/>
  <c r="AD184" i="2"/>
  <c r="AC184" i="2"/>
  <c r="AB184" i="2"/>
  <c r="AA184" i="2"/>
  <c r="Z184" i="2"/>
  <c r="Y184" i="2"/>
  <c r="X184" i="2"/>
  <c r="W184" i="2"/>
  <c r="V184" i="2"/>
  <c r="U184" i="2"/>
  <c r="T184" i="2"/>
  <c r="S184" i="2"/>
  <c r="R184" i="2"/>
  <c r="Q184" i="2"/>
  <c r="P184" i="2"/>
  <c r="O184" i="2"/>
  <c r="N184" i="2"/>
  <c r="M184" i="2"/>
  <c r="L184" i="2"/>
  <c r="K184" i="2"/>
  <c r="J184" i="2"/>
  <c r="I184" i="2"/>
  <c r="H184" i="2"/>
  <c r="G184" i="2"/>
  <c r="F184" i="2"/>
  <c r="E184" i="2"/>
  <c r="D184" i="2"/>
  <c r="C184" i="2"/>
  <c r="B184" i="2"/>
  <c r="AL183" i="2"/>
  <c r="AK183" i="2"/>
  <c r="AF183" i="2"/>
  <c r="AD183" i="2"/>
  <c r="AC183" i="2"/>
  <c r="AB183" i="2"/>
  <c r="AA183" i="2"/>
  <c r="Z183" i="2"/>
  <c r="Y183" i="2"/>
  <c r="X183" i="2"/>
  <c r="W183" i="2"/>
  <c r="V183" i="2"/>
  <c r="U183" i="2"/>
  <c r="T183" i="2"/>
  <c r="S183" i="2"/>
  <c r="R183" i="2"/>
  <c r="Q183" i="2"/>
  <c r="P183" i="2"/>
  <c r="O183" i="2"/>
  <c r="N183" i="2"/>
  <c r="M183" i="2"/>
  <c r="L183" i="2"/>
  <c r="K183" i="2"/>
  <c r="J183" i="2"/>
  <c r="I183" i="2"/>
  <c r="H183" i="2"/>
  <c r="G183" i="2"/>
  <c r="F183" i="2"/>
  <c r="E183" i="2"/>
  <c r="D183" i="2"/>
  <c r="C183" i="2"/>
  <c r="B183" i="2"/>
  <c r="AL182" i="2"/>
  <c r="AK182" i="2"/>
  <c r="AI182" i="2"/>
  <c r="AH182" i="2"/>
  <c r="AG182" i="2"/>
  <c r="AF182" i="2"/>
  <c r="AE182" i="2"/>
  <c r="AD182" i="2"/>
  <c r="AC182" i="2"/>
  <c r="AB182" i="2"/>
  <c r="AA182" i="2"/>
  <c r="Z182" i="2"/>
  <c r="Y182" i="2"/>
  <c r="X182" i="2"/>
  <c r="W182" i="2"/>
  <c r="V182" i="2"/>
  <c r="U182" i="2"/>
  <c r="T182" i="2"/>
  <c r="S182" i="2"/>
  <c r="R182" i="2"/>
  <c r="Q182" i="2"/>
  <c r="P182" i="2"/>
  <c r="O182" i="2"/>
  <c r="N182" i="2"/>
  <c r="M182" i="2"/>
  <c r="L182" i="2"/>
  <c r="K182" i="2"/>
  <c r="J182" i="2"/>
  <c r="I182" i="2"/>
  <c r="H182" i="2"/>
  <c r="G182" i="2"/>
  <c r="F182" i="2"/>
  <c r="E182" i="2"/>
  <c r="D182" i="2"/>
  <c r="C182" i="2"/>
  <c r="B182" i="2"/>
  <c r="AL181" i="2"/>
  <c r="AK181" i="2"/>
  <c r="AI181" i="2" s="1"/>
  <c r="AH181" i="2"/>
  <c r="AG181" i="2"/>
  <c r="AF181" i="2"/>
  <c r="AE181" i="2"/>
  <c r="AD181" i="2"/>
  <c r="AC181" i="2"/>
  <c r="AB181" i="2"/>
  <c r="AA181" i="2"/>
  <c r="Z181" i="2"/>
  <c r="Y181" i="2"/>
  <c r="X181" i="2"/>
  <c r="W181" i="2"/>
  <c r="V181" i="2"/>
  <c r="U181" i="2"/>
  <c r="T181" i="2"/>
  <c r="S181" i="2"/>
  <c r="R181" i="2"/>
  <c r="Q181" i="2"/>
  <c r="P181" i="2"/>
  <c r="O181" i="2"/>
  <c r="N181" i="2"/>
  <c r="M181" i="2"/>
  <c r="L181" i="2"/>
  <c r="K181" i="2"/>
  <c r="J181" i="2"/>
  <c r="I181" i="2"/>
  <c r="H181" i="2"/>
  <c r="G181" i="2"/>
  <c r="F181" i="2"/>
  <c r="E181" i="2"/>
  <c r="D181" i="2"/>
  <c r="C181" i="2"/>
  <c r="B181" i="2"/>
  <c r="AL180" i="2"/>
  <c r="AK180" i="2"/>
  <c r="AF180" i="2"/>
  <c r="AE180" i="2"/>
  <c r="AD180" i="2"/>
  <c r="AC180" i="2"/>
  <c r="AB180" i="2"/>
  <c r="AA180" i="2"/>
  <c r="Z180" i="2"/>
  <c r="Y180" i="2"/>
  <c r="X180" i="2"/>
  <c r="W180" i="2"/>
  <c r="V180" i="2"/>
  <c r="U180" i="2"/>
  <c r="T180" i="2"/>
  <c r="S180" i="2"/>
  <c r="R180" i="2"/>
  <c r="Q180" i="2"/>
  <c r="P180" i="2"/>
  <c r="O180" i="2"/>
  <c r="N180" i="2"/>
  <c r="M180" i="2"/>
  <c r="L180" i="2"/>
  <c r="K180" i="2"/>
  <c r="J180" i="2"/>
  <c r="I180" i="2"/>
  <c r="H180" i="2"/>
  <c r="G180" i="2"/>
  <c r="F180" i="2"/>
  <c r="E180" i="2"/>
  <c r="D180" i="2"/>
  <c r="C180" i="2"/>
  <c r="B180" i="2"/>
  <c r="AL179" i="2"/>
  <c r="AK179" i="2"/>
  <c r="AG179" i="2"/>
  <c r="AF179" i="2"/>
  <c r="AE179" i="2"/>
  <c r="AD179" i="2"/>
  <c r="AC179" i="2"/>
  <c r="AB179" i="2"/>
  <c r="AA179" i="2"/>
  <c r="Z179" i="2"/>
  <c r="Y179" i="2"/>
  <c r="X179" i="2"/>
  <c r="W179" i="2"/>
  <c r="V179" i="2"/>
  <c r="U179" i="2"/>
  <c r="T179" i="2"/>
  <c r="S179" i="2"/>
  <c r="R179" i="2"/>
  <c r="Q179" i="2"/>
  <c r="P179" i="2"/>
  <c r="O179" i="2"/>
  <c r="N179" i="2"/>
  <c r="M179" i="2"/>
  <c r="L179" i="2"/>
  <c r="K179" i="2"/>
  <c r="J179" i="2"/>
  <c r="I179" i="2"/>
  <c r="H179" i="2"/>
  <c r="G179" i="2"/>
  <c r="F179" i="2"/>
  <c r="E179" i="2"/>
  <c r="D179" i="2"/>
  <c r="C179" i="2"/>
  <c r="B179" i="2"/>
  <c r="AL178" i="2"/>
  <c r="AK178" i="2"/>
  <c r="AF178" i="2"/>
  <c r="AE178" i="2"/>
  <c r="AD178" i="2"/>
  <c r="AC178" i="2"/>
  <c r="AB178" i="2"/>
  <c r="AA178" i="2"/>
  <c r="Z178" i="2"/>
  <c r="Y178" i="2"/>
  <c r="X178" i="2"/>
  <c r="W178" i="2"/>
  <c r="V178" i="2"/>
  <c r="U178" i="2"/>
  <c r="T178" i="2"/>
  <c r="S178" i="2"/>
  <c r="R178" i="2"/>
  <c r="Q178" i="2"/>
  <c r="P178" i="2"/>
  <c r="O178" i="2"/>
  <c r="N178" i="2"/>
  <c r="M178" i="2"/>
  <c r="L178" i="2"/>
  <c r="K178" i="2"/>
  <c r="J178" i="2"/>
  <c r="I178" i="2"/>
  <c r="H178" i="2"/>
  <c r="G178" i="2"/>
  <c r="F178" i="2"/>
  <c r="E178" i="2"/>
  <c r="D178" i="2"/>
  <c r="C178" i="2"/>
  <c r="B178" i="2"/>
  <c r="AL177" i="2"/>
  <c r="AK177" i="2"/>
  <c r="AG177" i="2"/>
  <c r="AF177" i="2"/>
  <c r="AE177" i="2"/>
  <c r="AD177" i="2"/>
  <c r="AC177" i="2"/>
  <c r="AB177" i="2"/>
  <c r="AA177" i="2"/>
  <c r="Z177" i="2"/>
  <c r="Y177" i="2"/>
  <c r="X177" i="2"/>
  <c r="W177" i="2"/>
  <c r="V177" i="2"/>
  <c r="U177" i="2"/>
  <c r="T177" i="2"/>
  <c r="S177" i="2"/>
  <c r="R177" i="2"/>
  <c r="Q177" i="2"/>
  <c r="P177" i="2"/>
  <c r="O177" i="2"/>
  <c r="N177" i="2"/>
  <c r="M177" i="2"/>
  <c r="L177" i="2"/>
  <c r="K177" i="2"/>
  <c r="J177" i="2"/>
  <c r="I177" i="2"/>
  <c r="H177" i="2"/>
  <c r="G177" i="2"/>
  <c r="F177" i="2"/>
  <c r="E177" i="2"/>
  <c r="D177" i="2"/>
  <c r="C177" i="2"/>
  <c r="B177" i="2"/>
  <c r="AL176" i="2"/>
  <c r="AK176" i="2"/>
  <c r="AG176" i="2"/>
  <c r="AF176" i="2"/>
  <c r="AE176" i="2"/>
  <c r="AD176" i="2"/>
  <c r="AC176" i="2"/>
  <c r="AB176" i="2"/>
  <c r="AA176" i="2"/>
  <c r="Z176" i="2"/>
  <c r="Y176" i="2"/>
  <c r="X176" i="2"/>
  <c r="W176" i="2"/>
  <c r="V176" i="2"/>
  <c r="U176" i="2"/>
  <c r="T176" i="2"/>
  <c r="S176" i="2"/>
  <c r="R176" i="2"/>
  <c r="Q176" i="2"/>
  <c r="P176" i="2"/>
  <c r="O176" i="2"/>
  <c r="N176" i="2"/>
  <c r="M176" i="2"/>
  <c r="L176" i="2"/>
  <c r="K176" i="2"/>
  <c r="J176" i="2"/>
  <c r="I176" i="2"/>
  <c r="H176" i="2"/>
  <c r="G176" i="2"/>
  <c r="F176" i="2"/>
  <c r="E176" i="2"/>
  <c r="D176" i="2"/>
  <c r="C176" i="2"/>
  <c r="B176" i="2"/>
  <c r="AL175" i="2"/>
  <c r="AK175" i="2"/>
  <c r="AG175" i="2"/>
  <c r="AF175" i="2"/>
  <c r="AE175" i="2"/>
  <c r="AD175" i="2"/>
  <c r="AC175" i="2"/>
  <c r="AB175" i="2"/>
  <c r="AA175" i="2"/>
  <c r="Z175" i="2"/>
  <c r="Y175" i="2"/>
  <c r="X175" i="2"/>
  <c r="W175" i="2"/>
  <c r="V175" i="2"/>
  <c r="U175" i="2"/>
  <c r="T175" i="2"/>
  <c r="S175" i="2"/>
  <c r="R175" i="2"/>
  <c r="Q175" i="2"/>
  <c r="P175" i="2"/>
  <c r="O175" i="2"/>
  <c r="N175" i="2"/>
  <c r="M175" i="2"/>
  <c r="L175" i="2"/>
  <c r="K175" i="2"/>
  <c r="J175" i="2"/>
  <c r="I175" i="2"/>
  <c r="H175" i="2"/>
  <c r="G175" i="2"/>
  <c r="F175" i="2"/>
  <c r="E175" i="2"/>
  <c r="D175" i="2"/>
  <c r="C175" i="2"/>
  <c r="B175" i="2"/>
  <c r="AL174" i="2"/>
  <c r="AK174" i="2"/>
  <c r="AG174" i="2"/>
  <c r="AF174" i="2"/>
  <c r="AE174" i="2"/>
  <c r="AD174" i="2"/>
  <c r="AC174" i="2"/>
  <c r="AB174" i="2"/>
  <c r="AA174" i="2"/>
  <c r="Z174" i="2"/>
  <c r="Y174" i="2"/>
  <c r="X174" i="2"/>
  <c r="W174" i="2"/>
  <c r="V174" i="2"/>
  <c r="U174" i="2"/>
  <c r="T174" i="2"/>
  <c r="S174" i="2"/>
  <c r="R174" i="2"/>
  <c r="Q174" i="2"/>
  <c r="P174" i="2"/>
  <c r="O174" i="2"/>
  <c r="N174" i="2"/>
  <c r="M174" i="2"/>
  <c r="L174" i="2"/>
  <c r="K174" i="2"/>
  <c r="J174" i="2"/>
  <c r="I174" i="2"/>
  <c r="H174" i="2"/>
  <c r="G174" i="2"/>
  <c r="F174" i="2"/>
  <c r="E174" i="2"/>
  <c r="D174" i="2"/>
  <c r="C174" i="2"/>
  <c r="B174" i="2"/>
  <c r="AL173" i="2"/>
  <c r="AL172" i="2"/>
  <c r="AL171" i="2"/>
  <c r="AL170" i="2"/>
  <c r="AK170" i="2"/>
  <c r="AI170" i="2"/>
  <c r="AH170" i="2"/>
  <c r="AG170" i="2"/>
  <c r="AF170" i="2"/>
  <c r="AE170" i="2"/>
  <c r="AD170" i="2"/>
  <c r="AC170" i="2"/>
  <c r="AB170" i="2"/>
  <c r="AA170" i="2"/>
  <c r="Z170" i="2"/>
  <c r="Y170" i="2"/>
  <c r="X170" i="2"/>
  <c r="W170" i="2"/>
  <c r="V170" i="2"/>
  <c r="U170" i="2"/>
  <c r="T170" i="2"/>
  <c r="S170" i="2"/>
  <c r="R170" i="2"/>
  <c r="Q170" i="2"/>
  <c r="P170" i="2"/>
  <c r="O170" i="2"/>
  <c r="N170" i="2"/>
  <c r="M170" i="2"/>
  <c r="L170" i="2"/>
  <c r="K170" i="2"/>
  <c r="J170" i="2"/>
  <c r="I170" i="2"/>
  <c r="H170" i="2"/>
  <c r="G170" i="2"/>
  <c r="F170" i="2"/>
  <c r="E170" i="2"/>
  <c r="D170" i="2"/>
  <c r="C170" i="2"/>
  <c r="B170" i="2"/>
  <c r="AL169" i="2"/>
  <c r="AL168" i="2"/>
  <c r="AL167" i="2"/>
  <c r="AK167" i="2"/>
  <c r="Z167" i="2"/>
  <c r="Y167" i="2"/>
  <c r="X167" i="2"/>
  <c r="W167" i="2"/>
  <c r="V167" i="2"/>
  <c r="U167" i="2"/>
  <c r="T167" i="2"/>
  <c r="S167" i="2"/>
  <c r="R167" i="2"/>
  <c r="Q167" i="2"/>
  <c r="P167" i="2"/>
  <c r="O167" i="2"/>
  <c r="N167" i="2"/>
  <c r="M167" i="2"/>
  <c r="L167" i="2"/>
  <c r="K167" i="2"/>
  <c r="J167" i="2"/>
  <c r="I167" i="2"/>
  <c r="H167" i="2"/>
  <c r="G167" i="2"/>
  <c r="F167" i="2"/>
  <c r="E167" i="2"/>
  <c r="D167" i="2"/>
  <c r="C167" i="2"/>
  <c r="B167" i="2"/>
  <c r="AL166" i="2"/>
  <c r="AL165" i="2"/>
  <c r="AL164" i="2"/>
  <c r="AL163" i="2"/>
  <c r="AL162" i="2"/>
  <c r="AL161" i="2"/>
  <c r="AK161" i="2"/>
  <c r="AG161" i="2"/>
  <c r="AF161" i="2"/>
  <c r="AE161" i="2"/>
  <c r="AD161" i="2"/>
  <c r="AC161" i="2"/>
  <c r="AB161" i="2"/>
  <c r="AA161" i="2"/>
  <c r="Z161" i="2"/>
  <c r="Y161" i="2"/>
  <c r="X161" i="2"/>
  <c r="W161" i="2"/>
  <c r="V161" i="2"/>
  <c r="U161" i="2"/>
  <c r="T161" i="2"/>
  <c r="S161" i="2"/>
  <c r="R161" i="2"/>
  <c r="Q161" i="2"/>
  <c r="P161" i="2"/>
  <c r="O161" i="2"/>
  <c r="N161" i="2"/>
  <c r="M161" i="2"/>
  <c r="L161" i="2"/>
  <c r="K161" i="2"/>
  <c r="J161" i="2"/>
  <c r="I161" i="2"/>
  <c r="H161" i="2"/>
  <c r="G161" i="2"/>
  <c r="F161" i="2"/>
  <c r="E161" i="2"/>
  <c r="D161" i="2"/>
  <c r="C161" i="2"/>
  <c r="B161" i="2"/>
  <c r="AL160" i="2"/>
  <c r="AL159" i="2"/>
  <c r="AL158" i="2"/>
  <c r="AL157" i="2"/>
  <c r="AL156" i="2"/>
  <c r="AL155" i="2"/>
  <c r="AL154" i="2"/>
  <c r="AL153" i="2"/>
  <c r="AL152" i="2"/>
  <c r="AL151" i="2"/>
  <c r="AL150" i="2"/>
  <c r="AL149" i="2"/>
  <c r="AL148" i="2"/>
  <c r="AK148" i="2"/>
  <c r="AI148" i="2"/>
  <c r="AH148" i="2"/>
  <c r="AG148" i="2"/>
  <c r="AF148" i="2"/>
  <c r="AE148" i="2"/>
  <c r="AD148" i="2"/>
  <c r="AC148" i="2"/>
  <c r="AB148" i="2"/>
  <c r="AA148" i="2"/>
  <c r="Z148" i="2"/>
  <c r="Y148" i="2"/>
  <c r="X148" i="2"/>
  <c r="W148" i="2"/>
  <c r="V148" i="2"/>
  <c r="U148" i="2"/>
  <c r="T148" i="2"/>
  <c r="S148" i="2"/>
  <c r="R148" i="2"/>
  <c r="Q148" i="2"/>
  <c r="P148" i="2"/>
  <c r="O148" i="2"/>
  <c r="N148" i="2"/>
  <c r="M148" i="2"/>
  <c r="L148" i="2"/>
  <c r="K148" i="2"/>
  <c r="J148" i="2"/>
  <c r="I148" i="2"/>
  <c r="H148" i="2"/>
  <c r="G148" i="2"/>
  <c r="F148" i="2"/>
  <c r="E148" i="2"/>
  <c r="D148" i="2"/>
  <c r="C148" i="2"/>
  <c r="B148" i="2"/>
  <c r="AL147" i="2"/>
  <c r="AK147" i="2"/>
  <c r="AI147" i="2" s="1"/>
  <c r="AH147" i="2"/>
  <c r="AG147" i="2"/>
  <c r="AF147" i="2"/>
  <c r="AE147" i="2"/>
  <c r="AD147" i="2"/>
  <c r="AC147" i="2"/>
  <c r="AB147" i="2"/>
  <c r="AA147" i="2"/>
  <c r="Z147" i="2"/>
  <c r="Y147" i="2"/>
  <c r="X147" i="2"/>
  <c r="W147" i="2"/>
  <c r="V147" i="2"/>
  <c r="U147" i="2"/>
  <c r="T147" i="2"/>
  <c r="S147" i="2"/>
  <c r="R147" i="2"/>
  <c r="Q147" i="2"/>
  <c r="P147" i="2"/>
  <c r="O147" i="2"/>
  <c r="N147" i="2"/>
  <c r="M147" i="2"/>
  <c r="L147" i="2"/>
  <c r="K147" i="2"/>
  <c r="J147" i="2"/>
  <c r="I147" i="2"/>
  <c r="H147" i="2"/>
  <c r="G147" i="2"/>
  <c r="F147" i="2"/>
  <c r="E147" i="2"/>
  <c r="D147" i="2"/>
  <c r="C147" i="2"/>
  <c r="B147" i="2"/>
  <c r="AL146" i="2"/>
  <c r="AK146" i="2"/>
  <c r="AE146" i="2"/>
  <c r="AD146" i="2"/>
  <c r="AC146" i="2"/>
  <c r="AB146" i="2"/>
  <c r="AA146" i="2"/>
  <c r="Z146" i="2"/>
  <c r="Y146" i="2"/>
  <c r="X146" i="2"/>
  <c r="W146" i="2"/>
  <c r="V146" i="2"/>
  <c r="U146" i="2"/>
  <c r="T146" i="2"/>
  <c r="S146" i="2"/>
  <c r="R146" i="2"/>
  <c r="Q146" i="2"/>
  <c r="P146" i="2"/>
  <c r="O146" i="2"/>
  <c r="N146" i="2"/>
  <c r="M146" i="2"/>
  <c r="L146" i="2"/>
  <c r="K146" i="2"/>
  <c r="J146" i="2"/>
  <c r="I146" i="2"/>
  <c r="H146" i="2"/>
  <c r="G146" i="2"/>
  <c r="F146" i="2"/>
  <c r="E146" i="2"/>
  <c r="D146" i="2"/>
  <c r="C146" i="2"/>
  <c r="B146" i="2"/>
  <c r="AL145" i="2"/>
  <c r="AK145" i="2"/>
  <c r="AF145" i="2"/>
  <c r="AE145" i="2"/>
  <c r="AD145" i="2"/>
  <c r="AC145" i="2"/>
  <c r="AB145" i="2"/>
  <c r="AA145" i="2"/>
  <c r="Z145" i="2"/>
  <c r="Y145" i="2"/>
  <c r="X145" i="2"/>
  <c r="W145" i="2"/>
  <c r="V145" i="2"/>
  <c r="U145" i="2"/>
  <c r="T145" i="2"/>
  <c r="S145" i="2"/>
  <c r="R145" i="2"/>
  <c r="Q145" i="2"/>
  <c r="P145" i="2"/>
  <c r="O145" i="2"/>
  <c r="N145" i="2"/>
  <c r="M145" i="2"/>
  <c r="L145" i="2"/>
  <c r="K145" i="2"/>
  <c r="J145" i="2"/>
  <c r="I145" i="2"/>
  <c r="H145" i="2"/>
  <c r="G145" i="2"/>
  <c r="F145" i="2"/>
  <c r="E145" i="2"/>
  <c r="D145" i="2"/>
  <c r="C145" i="2"/>
  <c r="B145" i="2"/>
  <c r="AL144" i="2"/>
  <c r="AK144" i="2"/>
  <c r="AC144" i="2"/>
  <c r="AB144" i="2"/>
  <c r="AA144" i="2"/>
  <c r="Z144" i="2"/>
  <c r="Y144" i="2"/>
  <c r="X144" i="2"/>
  <c r="W144" i="2"/>
  <c r="V144" i="2"/>
  <c r="U144" i="2"/>
  <c r="T144" i="2"/>
  <c r="S144" i="2"/>
  <c r="R144" i="2"/>
  <c r="Q144" i="2"/>
  <c r="P144" i="2"/>
  <c r="O144" i="2"/>
  <c r="N144" i="2"/>
  <c r="M144" i="2"/>
  <c r="L144" i="2"/>
  <c r="K144" i="2"/>
  <c r="J144" i="2"/>
  <c r="I144" i="2"/>
  <c r="H144" i="2"/>
  <c r="G144" i="2"/>
  <c r="F144" i="2"/>
  <c r="E144" i="2"/>
  <c r="D144" i="2"/>
  <c r="C144" i="2"/>
  <c r="B144" i="2"/>
  <c r="AL143" i="2"/>
  <c r="AK143" i="2"/>
  <c r="AF143" i="2"/>
  <c r="AE143" i="2"/>
  <c r="AD143" i="2"/>
  <c r="AC143" i="2"/>
  <c r="AB143" i="2"/>
  <c r="AA143" i="2"/>
  <c r="Z143" i="2"/>
  <c r="Y143" i="2"/>
  <c r="X143" i="2"/>
  <c r="W143" i="2"/>
  <c r="V143" i="2"/>
  <c r="U143" i="2"/>
  <c r="T143" i="2"/>
  <c r="S143" i="2"/>
  <c r="R143" i="2"/>
  <c r="Q143" i="2"/>
  <c r="P143" i="2"/>
  <c r="O143" i="2"/>
  <c r="N143" i="2"/>
  <c r="M143" i="2"/>
  <c r="L143" i="2"/>
  <c r="K143" i="2"/>
  <c r="J143" i="2"/>
  <c r="I143" i="2"/>
  <c r="H143" i="2"/>
  <c r="G143" i="2"/>
  <c r="F143" i="2"/>
  <c r="E143" i="2"/>
  <c r="D143" i="2"/>
  <c r="C143" i="2"/>
  <c r="B143" i="2"/>
  <c r="AL142" i="2"/>
  <c r="AK142" i="2"/>
  <c r="AI142" i="2" s="1"/>
  <c r="AH142" i="2"/>
  <c r="AG142" i="2"/>
  <c r="AF142" i="2"/>
  <c r="AE142" i="2"/>
  <c r="AD142" i="2"/>
  <c r="AC142" i="2"/>
  <c r="AB142" i="2"/>
  <c r="AA142" i="2"/>
  <c r="Z142" i="2"/>
  <c r="Y142" i="2"/>
  <c r="X142" i="2"/>
  <c r="W142" i="2"/>
  <c r="V142" i="2"/>
  <c r="U142" i="2"/>
  <c r="T142" i="2"/>
  <c r="S142" i="2"/>
  <c r="R142" i="2"/>
  <c r="Q142" i="2"/>
  <c r="P142" i="2"/>
  <c r="O142" i="2"/>
  <c r="N142" i="2"/>
  <c r="M142" i="2"/>
  <c r="L142" i="2"/>
  <c r="K142" i="2"/>
  <c r="J142" i="2"/>
  <c r="I142" i="2"/>
  <c r="H142" i="2"/>
  <c r="G142" i="2"/>
  <c r="F142" i="2"/>
  <c r="E142" i="2"/>
  <c r="D142" i="2"/>
  <c r="C142" i="2"/>
  <c r="B142" i="2"/>
  <c r="AL141" i="2"/>
  <c r="AK141" i="2"/>
  <c r="AF141" i="2"/>
  <c r="AE141" i="2"/>
  <c r="AD141" i="2"/>
  <c r="AC141" i="2"/>
  <c r="AB141" i="2"/>
  <c r="AA141" i="2"/>
  <c r="Z141" i="2"/>
  <c r="Y141" i="2"/>
  <c r="X141" i="2"/>
  <c r="W141" i="2"/>
  <c r="V141" i="2"/>
  <c r="U141" i="2"/>
  <c r="T141" i="2"/>
  <c r="S141" i="2"/>
  <c r="R141" i="2"/>
  <c r="Q141" i="2"/>
  <c r="P141" i="2"/>
  <c r="O141" i="2"/>
  <c r="N141" i="2"/>
  <c r="M141" i="2"/>
  <c r="L141" i="2"/>
  <c r="K141" i="2"/>
  <c r="J141" i="2"/>
  <c r="I141" i="2"/>
  <c r="H141" i="2"/>
  <c r="G141" i="2"/>
  <c r="F141" i="2"/>
  <c r="E141" i="2"/>
  <c r="D141" i="2"/>
  <c r="C141" i="2"/>
  <c r="B141" i="2"/>
  <c r="AL140" i="2"/>
  <c r="AK140" i="2"/>
  <c r="AG140" i="2"/>
  <c r="AF140" i="2"/>
  <c r="AE140" i="2"/>
  <c r="AD140" i="2"/>
  <c r="AC140" i="2"/>
  <c r="AB140" i="2"/>
  <c r="AA140" i="2"/>
  <c r="Z140" i="2"/>
  <c r="Y140" i="2"/>
  <c r="X140" i="2"/>
  <c r="W140" i="2"/>
  <c r="V140" i="2"/>
  <c r="U140" i="2"/>
  <c r="T140" i="2"/>
  <c r="S140" i="2"/>
  <c r="R140" i="2"/>
  <c r="Q140" i="2"/>
  <c r="P140" i="2"/>
  <c r="O140" i="2"/>
  <c r="N140" i="2"/>
  <c r="M140" i="2"/>
  <c r="L140" i="2"/>
  <c r="K140" i="2"/>
  <c r="J140" i="2"/>
  <c r="I140" i="2"/>
  <c r="H140" i="2"/>
  <c r="G140" i="2"/>
  <c r="F140" i="2"/>
  <c r="E140" i="2"/>
  <c r="D140" i="2"/>
  <c r="C140" i="2"/>
  <c r="B140" i="2"/>
  <c r="AL139" i="2"/>
  <c r="AK139" i="2"/>
  <c r="AE139" i="2"/>
  <c r="AD139" i="2"/>
  <c r="AC139" i="2"/>
  <c r="AB139" i="2"/>
  <c r="AA139" i="2"/>
  <c r="Z139" i="2"/>
  <c r="Y139" i="2"/>
  <c r="X139" i="2"/>
  <c r="W139" i="2"/>
  <c r="V139" i="2"/>
  <c r="U139" i="2"/>
  <c r="T139" i="2"/>
  <c r="S139" i="2"/>
  <c r="R139" i="2"/>
  <c r="Q139" i="2"/>
  <c r="P139" i="2"/>
  <c r="O139" i="2"/>
  <c r="N139" i="2"/>
  <c r="M139" i="2"/>
  <c r="L139" i="2"/>
  <c r="K139" i="2"/>
  <c r="J139" i="2"/>
  <c r="I139" i="2"/>
  <c r="H139" i="2"/>
  <c r="G139" i="2"/>
  <c r="F139" i="2"/>
  <c r="E139" i="2"/>
  <c r="D139" i="2"/>
  <c r="C139" i="2"/>
  <c r="B139" i="2"/>
  <c r="AL138" i="2"/>
  <c r="AL137" i="2"/>
  <c r="AL136" i="2"/>
  <c r="AL135" i="2"/>
  <c r="AL134" i="2"/>
  <c r="AL133" i="2"/>
  <c r="AL132" i="2"/>
  <c r="AL131" i="2"/>
  <c r="AL130" i="2"/>
  <c r="AK130" i="2"/>
  <c r="AI130" i="2"/>
  <c r="AH130" i="2"/>
  <c r="AG130" i="2"/>
  <c r="AF130" i="2"/>
  <c r="AE130" i="2"/>
  <c r="AD130" i="2"/>
  <c r="AC130" i="2"/>
  <c r="AB130" i="2"/>
  <c r="AA130" i="2"/>
  <c r="Z130" i="2"/>
  <c r="Y130" i="2"/>
  <c r="X130" i="2"/>
  <c r="W130" i="2"/>
  <c r="V130" i="2"/>
  <c r="U130" i="2"/>
  <c r="T130" i="2"/>
  <c r="S130" i="2"/>
  <c r="R130" i="2"/>
  <c r="Q130" i="2"/>
  <c r="P130" i="2"/>
  <c r="O130" i="2"/>
  <c r="N130" i="2"/>
  <c r="M130" i="2"/>
  <c r="L130" i="2"/>
  <c r="K130" i="2"/>
  <c r="J130" i="2"/>
  <c r="I130" i="2"/>
  <c r="H130" i="2"/>
  <c r="G130" i="2"/>
  <c r="F130" i="2"/>
  <c r="E130" i="2"/>
  <c r="D130" i="2"/>
  <c r="C130" i="2"/>
  <c r="B130" i="2"/>
  <c r="AL129" i="2"/>
  <c r="AK129" i="2"/>
  <c r="AF129" i="2"/>
  <c r="AD129" i="2"/>
  <c r="AC129" i="2"/>
  <c r="AB129" i="2"/>
  <c r="AA129" i="2"/>
  <c r="Z129" i="2"/>
  <c r="Y129" i="2"/>
  <c r="X129" i="2"/>
  <c r="W129" i="2"/>
  <c r="V129" i="2"/>
  <c r="U129" i="2"/>
  <c r="T129" i="2"/>
  <c r="S129" i="2"/>
  <c r="R129" i="2"/>
  <c r="Q129" i="2"/>
  <c r="P129" i="2"/>
  <c r="O129" i="2"/>
  <c r="N129" i="2"/>
  <c r="M129" i="2"/>
  <c r="L129" i="2"/>
  <c r="K129" i="2"/>
  <c r="J129" i="2"/>
  <c r="I129" i="2"/>
  <c r="H129" i="2"/>
  <c r="G129" i="2"/>
  <c r="F129" i="2"/>
  <c r="E129" i="2"/>
  <c r="D129" i="2"/>
  <c r="C129" i="2"/>
  <c r="B129" i="2"/>
  <c r="AL128" i="2"/>
  <c r="AK128" i="2"/>
  <c r="AE128" i="2"/>
  <c r="AD128" i="2"/>
  <c r="AC128" i="2"/>
  <c r="AB128" i="2"/>
  <c r="AA128" i="2"/>
  <c r="Z128" i="2"/>
  <c r="Y128" i="2"/>
  <c r="X128" i="2"/>
  <c r="W128" i="2"/>
  <c r="V128" i="2"/>
  <c r="U128" i="2"/>
  <c r="T128" i="2"/>
  <c r="S128" i="2"/>
  <c r="R128" i="2"/>
  <c r="Q128" i="2"/>
  <c r="P128" i="2"/>
  <c r="O128" i="2"/>
  <c r="N128" i="2"/>
  <c r="M128" i="2"/>
  <c r="L128" i="2"/>
  <c r="K128" i="2"/>
  <c r="J128" i="2"/>
  <c r="I128" i="2"/>
  <c r="H128" i="2"/>
  <c r="G128" i="2"/>
  <c r="F128" i="2"/>
  <c r="E128" i="2"/>
  <c r="D128" i="2"/>
  <c r="C128" i="2"/>
  <c r="B128" i="2"/>
  <c r="AL127" i="2"/>
  <c r="AL126" i="2"/>
  <c r="AL125" i="2"/>
  <c r="AL124" i="2"/>
  <c r="AL123" i="2"/>
  <c r="AL122" i="2"/>
  <c r="AL121" i="2"/>
  <c r="AL120" i="2"/>
  <c r="AL119" i="2"/>
  <c r="AL118" i="2"/>
  <c r="AL117" i="2"/>
  <c r="AL116" i="2"/>
  <c r="AL115" i="2"/>
  <c r="AL114" i="2"/>
  <c r="AL113" i="2"/>
  <c r="AL112" i="2"/>
  <c r="AL111" i="2"/>
  <c r="AK111" i="2"/>
  <c r="AI111" i="2"/>
  <c r="AH111" i="2"/>
  <c r="AG111" i="2"/>
  <c r="AF111" i="2"/>
  <c r="AE111" i="2"/>
  <c r="AD111" i="2"/>
  <c r="AC111" i="2"/>
  <c r="AB111" i="2"/>
  <c r="AA111" i="2"/>
  <c r="Z111" i="2"/>
  <c r="Y111" i="2"/>
  <c r="X111" i="2"/>
  <c r="W111" i="2"/>
  <c r="V111" i="2"/>
  <c r="U111" i="2"/>
  <c r="T111" i="2"/>
  <c r="S111" i="2"/>
  <c r="R111" i="2"/>
  <c r="Q111" i="2"/>
  <c r="P111" i="2"/>
  <c r="O111" i="2"/>
  <c r="N111" i="2"/>
  <c r="M111" i="2"/>
  <c r="L111" i="2"/>
  <c r="K111" i="2"/>
  <c r="J111" i="2"/>
  <c r="I111" i="2"/>
  <c r="H111" i="2"/>
  <c r="G111" i="2"/>
  <c r="F111" i="2"/>
  <c r="E111" i="2"/>
  <c r="D111" i="2"/>
  <c r="C111" i="2"/>
  <c r="B111" i="2"/>
  <c r="AL110" i="2"/>
  <c r="AK110" i="2"/>
  <c r="AE110" i="2"/>
  <c r="AD110" i="2"/>
  <c r="AC110" i="2"/>
  <c r="AB110" i="2"/>
  <c r="AA110" i="2"/>
  <c r="Z110" i="2"/>
  <c r="Y110" i="2"/>
  <c r="X110" i="2"/>
  <c r="W110" i="2"/>
  <c r="V110" i="2"/>
  <c r="U110" i="2"/>
  <c r="T110" i="2"/>
  <c r="S110" i="2"/>
  <c r="R110" i="2"/>
  <c r="Q110" i="2"/>
  <c r="P110" i="2"/>
  <c r="O110" i="2"/>
  <c r="N110" i="2"/>
  <c r="M110" i="2"/>
  <c r="L110" i="2"/>
  <c r="K110" i="2"/>
  <c r="J110" i="2"/>
  <c r="I110" i="2"/>
  <c r="H110" i="2"/>
  <c r="G110" i="2"/>
  <c r="F110" i="2"/>
  <c r="E110" i="2"/>
  <c r="D110" i="2"/>
  <c r="C110" i="2"/>
  <c r="B110" i="2"/>
  <c r="AL109" i="2"/>
  <c r="AK109" i="2"/>
  <c r="AF109" i="2"/>
  <c r="AE109" i="2"/>
  <c r="AD109" i="2"/>
  <c r="AC109" i="2"/>
  <c r="AB109" i="2"/>
  <c r="AA109" i="2"/>
  <c r="Z109" i="2"/>
  <c r="Y109" i="2"/>
  <c r="X109" i="2"/>
  <c r="W109" i="2"/>
  <c r="V109" i="2"/>
  <c r="U109" i="2"/>
  <c r="T109" i="2"/>
  <c r="S109" i="2"/>
  <c r="R109" i="2"/>
  <c r="Q109" i="2"/>
  <c r="P109" i="2"/>
  <c r="O109" i="2"/>
  <c r="N109" i="2"/>
  <c r="M109" i="2"/>
  <c r="L109" i="2"/>
  <c r="K109" i="2"/>
  <c r="J109" i="2"/>
  <c r="I109" i="2"/>
  <c r="H109" i="2"/>
  <c r="G109" i="2"/>
  <c r="F109" i="2"/>
  <c r="E109" i="2"/>
  <c r="D109" i="2"/>
  <c r="C109" i="2"/>
  <c r="B109" i="2"/>
  <c r="AL108" i="2"/>
  <c r="AK108" i="2"/>
  <c r="AG108" i="2"/>
  <c r="AF108" i="2"/>
  <c r="AE108" i="2"/>
  <c r="AD108" i="2"/>
  <c r="AC108" i="2"/>
  <c r="AB108" i="2"/>
  <c r="AA108" i="2"/>
  <c r="Z108" i="2"/>
  <c r="Y108" i="2"/>
  <c r="X108" i="2"/>
  <c r="W108" i="2"/>
  <c r="V108" i="2"/>
  <c r="U108" i="2"/>
  <c r="T108" i="2"/>
  <c r="S108" i="2"/>
  <c r="R108" i="2"/>
  <c r="Q108" i="2"/>
  <c r="P108" i="2"/>
  <c r="O108" i="2"/>
  <c r="N108" i="2"/>
  <c r="M108" i="2"/>
  <c r="L108" i="2"/>
  <c r="K108" i="2"/>
  <c r="J108" i="2"/>
  <c r="I108" i="2"/>
  <c r="H108" i="2"/>
  <c r="G108" i="2"/>
  <c r="F108" i="2"/>
  <c r="E108" i="2"/>
  <c r="D108" i="2"/>
  <c r="C108" i="2"/>
  <c r="B108" i="2"/>
  <c r="AL107" i="2"/>
  <c r="AK107" i="2"/>
  <c r="AG107" i="2"/>
  <c r="AF107" i="2"/>
  <c r="AE107" i="2"/>
  <c r="AD107" i="2"/>
  <c r="AC107" i="2"/>
  <c r="AB107" i="2"/>
  <c r="AA107" i="2"/>
  <c r="Z107" i="2"/>
  <c r="Y107" i="2"/>
  <c r="X107" i="2"/>
  <c r="W107" i="2"/>
  <c r="V107" i="2"/>
  <c r="U107" i="2"/>
  <c r="T107" i="2"/>
  <c r="S107" i="2"/>
  <c r="R107" i="2"/>
  <c r="Q107" i="2"/>
  <c r="P107" i="2"/>
  <c r="O107" i="2"/>
  <c r="N107" i="2"/>
  <c r="M107" i="2"/>
  <c r="L107" i="2"/>
  <c r="K107" i="2"/>
  <c r="J107" i="2"/>
  <c r="I107" i="2"/>
  <c r="H107" i="2"/>
  <c r="G107" i="2"/>
  <c r="F107" i="2"/>
  <c r="E107" i="2"/>
  <c r="D107" i="2"/>
  <c r="C107" i="2"/>
  <c r="B107" i="2"/>
  <c r="AL106" i="2"/>
  <c r="AK106" i="2"/>
  <c r="AH106" i="2"/>
  <c r="AF106" i="2"/>
  <c r="AE106" i="2"/>
  <c r="AD106" i="2"/>
  <c r="AC106" i="2"/>
  <c r="AB106" i="2"/>
  <c r="AA106" i="2"/>
  <c r="Z106" i="2"/>
  <c r="Y106" i="2"/>
  <c r="X106" i="2"/>
  <c r="W106" i="2"/>
  <c r="V106" i="2"/>
  <c r="U106" i="2"/>
  <c r="T106" i="2"/>
  <c r="S106" i="2"/>
  <c r="R106" i="2"/>
  <c r="Q106" i="2"/>
  <c r="P106" i="2"/>
  <c r="O106" i="2"/>
  <c r="N106" i="2"/>
  <c r="M106" i="2"/>
  <c r="L106" i="2"/>
  <c r="K106" i="2"/>
  <c r="J106" i="2"/>
  <c r="I106" i="2"/>
  <c r="H106" i="2"/>
  <c r="G106" i="2"/>
  <c r="F106" i="2"/>
  <c r="E106" i="2"/>
  <c r="D106" i="2"/>
  <c r="C106" i="2"/>
  <c r="B106" i="2"/>
  <c r="AL105" i="2"/>
  <c r="AK105" i="2"/>
  <c r="AI105" i="2" s="1"/>
  <c r="AH105" i="2"/>
  <c r="AG105" i="2"/>
  <c r="AF105" i="2"/>
  <c r="AE105" i="2"/>
  <c r="AD105" i="2"/>
  <c r="AC105" i="2"/>
  <c r="AB105" i="2"/>
  <c r="AA105" i="2"/>
  <c r="Z105" i="2"/>
  <c r="Y105" i="2"/>
  <c r="X105" i="2"/>
  <c r="W105" i="2"/>
  <c r="V105" i="2"/>
  <c r="U105" i="2"/>
  <c r="T105" i="2"/>
  <c r="S105" i="2"/>
  <c r="R105" i="2"/>
  <c r="Q105" i="2"/>
  <c r="P105" i="2"/>
  <c r="O105" i="2"/>
  <c r="N105" i="2"/>
  <c r="M105" i="2"/>
  <c r="L105" i="2"/>
  <c r="K105" i="2"/>
  <c r="J105" i="2"/>
  <c r="I105" i="2"/>
  <c r="H105" i="2"/>
  <c r="G105" i="2"/>
  <c r="F105" i="2"/>
  <c r="E105" i="2"/>
  <c r="D105" i="2"/>
  <c r="C105" i="2"/>
  <c r="B105" i="2"/>
  <c r="AL104" i="2"/>
  <c r="AK104" i="2"/>
  <c r="AE104" i="2"/>
  <c r="AD104" i="2"/>
  <c r="AC104" i="2"/>
  <c r="AB104" i="2"/>
  <c r="AA104" i="2"/>
  <c r="Z104" i="2"/>
  <c r="Y104" i="2"/>
  <c r="X104" i="2"/>
  <c r="W104" i="2"/>
  <c r="V104" i="2"/>
  <c r="U104" i="2"/>
  <c r="T104" i="2"/>
  <c r="S104" i="2"/>
  <c r="R104" i="2"/>
  <c r="Q104" i="2"/>
  <c r="P104" i="2"/>
  <c r="O104" i="2"/>
  <c r="N104" i="2"/>
  <c r="M104" i="2"/>
  <c r="L104" i="2"/>
  <c r="K104" i="2"/>
  <c r="J104" i="2"/>
  <c r="I104" i="2"/>
  <c r="H104" i="2"/>
  <c r="G104" i="2"/>
  <c r="F104" i="2"/>
  <c r="E104" i="2"/>
  <c r="D104" i="2"/>
  <c r="C104" i="2"/>
  <c r="B104" i="2"/>
  <c r="AL103" i="2"/>
  <c r="AK103" i="2"/>
  <c r="AF103" i="2"/>
  <c r="AE103" i="2"/>
  <c r="AD103" i="2"/>
  <c r="AC103" i="2"/>
  <c r="AB103" i="2"/>
  <c r="AA103" i="2"/>
  <c r="Z103" i="2"/>
  <c r="Y103" i="2"/>
  <c r="X103" i="2"/>
  <c r="W103" i="2"/>
  <c r="V103" i="2"/>
  <c r="U103" i="2"/>
  <c r="T103" i="2"/>
  <c r="S103" i="2"/>
  <c r="R103" i="2"/>
  <c r="Q103" i="2"/>
  <c r="P103" i="2"/>
  <c r="O103" i="2"/>
  <c r="N103" i="2"/>
  <c r="M103" i="2"/>
  <c r="L103" i="2"/>
  <c r="K103" i="2"/>
  <c r="J103" i="2"/>
  <c r="I103" i="2"/>
  <c r="H103" i="2"/>
  <c r="G103" i="2"/>
  <c r="F103" i="2"/>
  <c r="E103" i="2"/>
  <c r="D103" i="2"/>
  <c r="C103" i="2"/>
  <c r="B103" i="2"/>
  <c r="AL102" i="2"/>
  <c r="AK102" i="2"/>
  <c r="AF102" i="2"/>
  <c r="AE102" i="2"/>
  <c r="AD102" i="2"/>
  <c r="AC102" i="2"/>
  <c r="AB102" i="2"/>
  <c r="AA102" i="2"/>
  <c r="Z102" i="2"/>
  <c r="Y102" i="2"/>
  <c r="X102" i="2"/>
  <c r="W102" i="2"/>
  <c r="V102" i="2"/>
  <c r="U102" i="2"/>
  <c r="T102" i="2"/>
  <c r="S102" i="2"/>
  <c r="R102" i="2"/>
  <c r="Q102" i="2"/>
  <c r="P102" i="2"/>
  <c r="O102" i="2"/>
  <c r="N102" i="2"/>
  <c r="M102" i="2"/>
  <c r="L102" i="2"/>
  <c r="K102" i="2"/>
  <c r="J102" i="2"/>
  <c r="I102" i="2"/>
  <c r="H102" i="2"/>
  <c r="G102" i="2"/>
  <c r="F102" i="2"/>
  <c r="E102" i="2"/>
  <c r="D102" i="2"/>
  <c r="C102" i="2"/>
  <c r="B102" i="2"/>
  <c r="AL101" i="2"/>
  <c r="AK101" i="2"/>
  <c r="AF101" i="2"/>
  <c r="AE101" i="2"/>
  <c r="AD101" i="2"/>
  <c r="AC101" i="2"/>
  <c r="AB101" i="2"/>
  <c r="AA101" i="2"/>
  <c r="Z101" i="2"/>
  <c r="Y101" i="2"/>
  <c r="X101" i="2"/>
  <c r="W101" i="2"/>
  <c r="V101" i="2"/>
  <c r="U101" i="2"/>
  <c r="T101" i="2"/>
  <c r="S101" i="2"/>
  <c r="R101" i="2"/>
  <c r="Q101" i="2"/>
  <c r="P101" i="2"/>
  <c r="O101" i="2"/>
  <c r="N101" i="2"/>
  <c r="M101" i="2"/>
  <c r="L101" i="2"/>
  <c r="K101" i="2"/>
  <c r="J101" i="2"/>
  <c r="I101" i="2"/>
  <c r="H101" i="2"/>
  <c r="G101" i="2"/>
  <c r="F101" i="2"/>
  <c r="E101" i="2"/>
  <c r="D101" i="2"/>
  <c r="C101" i="2"/>
  <c r="B101" i="2"/>
  <c r="AL100" i="2"/>
  <c r="AK100" i="2"/>
  <c r="AF100" i="2"/>
  <c r="AE100" i="2"/>
  <c r="AD100" i="2"/>
  <c r="AC100" i="2"/>
  <c r="AB100" i="2"/>
  <c r="AA100" i="2"/>
  <c r="Z100" i="2"/>
  <c r="Y100" i="2"/>
  <c r="X100" i="2"/>
  <c r="W100" i="2"/>
  <c r="V100" i="2"/>
  <c r="U100" i="2"/>
  <c r="T100" i="2"/>
  <c r="S100" i="2"/>
  <c r="R100" i="2"/>
  <c r="Q100" i="2"/>
  <c r="P100" i="2"/>
  <c r="O100" i="2"/>
  <c r="N100" i="2"/>
  <c r="M100" i="2"/>
  <c r="L100" i="2"/>
  <c r="K100" i="2"/>
  <c r="J100" i="2"/>
  <c r="I100" i="2"/>
  <c r="H100" i="2"/>
  <c r="G100" i="2"/>
  <c r="F100" i="2"/>
  <c r="E100" i="2"/>
  <c r="D100" i="2"/>
  <c r="C100" i="2"/>
  <c r="B100" i="2"/>
  <c r="AL99" i="2"/>
  <c r="AK99" i="2"/>
  <c r="AI99" i="2" s="1"/>
  <c r="AH99" i="2"/>
  <c r="AG99" i="2"/>
  <c r="AF99" i="2"/>
  <c r="AE99" i="2"/>
  <c r="AD99" i="2"/>
  <c r="AC99" i="2"/>
  <c r="AB99" i="2"/>
  <c r="AA99" i="2"/>
  <c r="Z99" i="2"/>
  <c r="Y99" i="2"/>
  <c r="X99" i="2"/>
  <c r="W99" i="2"/>
  <c r="V99" i="2"/>
  <c r="U99" i="2"/>
  <c r="T99" i="2"/>
  <c r="S99" i="2"/>
  <c r="R99" i="2"/>
  <c r="Q99" i="2"/>
  <c r="P99" i="2"/>
  <c r="O99" i="2"/>
  <c r="N99" i="2"/>
  <c r="M99" i="2"/>
  <c r="L99" i="2"/>
  <c r="K99" i="2"/>
  <c r="J99" i="2"/>
  <c r="I99" i="2"/>
  <c r="H99" i="2"/>
  <c r="G99" i="2"/>
  <c r="F99" i="2"/>
  <c r="E99" i="2"/>
  <c r="D99" i="2"/>
  <c r="C99" i="2"/>
  <c r="B99" i="2"/>
  <c r="AL98" i="2"/>
  <c r="AK98" i="2"/>
  <c r="AF98" i="2"/>
  <c r="AE98" i="2"/>
  <c r="AD98" i="2"/>
  <c r="AC98" i="2"/>
  <c r="AB98" i="2"/>
  <c r="AA98" i="2"/>
  <c r="Z98" i="2"/>
  <c r="Y98" i="2"/>
  <c r="X98" i="2"/>
  <c r="W98" i="2"/>
  <c r="V98" i="2"/>
  <c r="U98" i="2"/>
  <c r="T98" i="2"/>
  <c r="S98" i="2"/>
  <c r="R98" i="2"/>
  <c r="Q98" i="2"/>
  <c r="P98" i="2"/>
  <c r="O98" i="2"/>
  <c r="N98" i="2"/>
  <c r="M98" i="2"/>
  <c r="L98" i="2"/>
  <c r="K98" i="2"/>
  <c r="J98" i="2"/>
  <c r="I98" i="2"/>
  <c r="H98" i="2"/>
  <c r="G98" i="2"/>
  <c r="F98" i="2"/>
  <c r="E98" i="2"/>
  <c r="D98" i="2"/>
  <c r="C98" i="2"/>
  <c r="B98" i="2"/>
  <c r="AL97" i="2"/>
  <c r="AK97" i="2"/>
  <c r="AG97" i="2"/>
  <c r="AF97" i="2"/>
  <c r="AE97" i="2"/>
  <c r="AD97" i="2"/>
  <c r="AC97" i="2"/>
  <c r="AB97" i="2"/>
  <c r="AA97" i="2"/>
  <c r="Z97" i="2"/>
  <c r="Y97" i="2"/>
  <c r="X97" i="2"/>
  <c r="W97" i="2"/>
  <c r="V97" i="2"/>
  <c r="U97" i="2"/>
  <c r="T97" i="2"/>
  <c r="S97" i="2"/>
  <c r="R97" i="2"/>
  <c r="Q97" i="2"/>
  <c r="P97" i="2"/>
  <c r="O97" i="2"/>
  <c r="N97" i="2"/>
  <c r="M97" i="2"/>
  <c r="L97" i="2"/>
  <c r="K97" i="2"/>
  <c r="J97" i="2"/>
  <c r="I97" i="2"/>
  <c r="H97" i="2"/>
  <c r="G97" i="2"/>
  <c r="F97" i="2"/>
  <c r="E97" i="2"/>
  <c r="D97" i="2"/>
  <c r="C97" i="2"/>
  <c r="B97" i="2"/>
  <c r="AL96" i="2"/>
  <c r="AK96" i="2"/>
  <c r="AF96" i="2"/>
  <c r="AE96" i="2"/>
  <c r="AD96" i="2"/>
  <c r="AC96" i="2"/>
  <c r="AB96" i="2"/>
  <c r="AA96" i="2"/>
  <c r="Z96" i="2"/>
  <c r="Y96" i="2"/>
  <c r="X96" i="2"/>
  <c r="W96" i="2"/>
  <c r="V96" i="2"/>
  <c r="U96" i="2"/>
  <c r="T96" i="2"/>
  <c r="S96" i="2"/>
  <c r="R96" i="2"/>
  <c r="Q96" i="2"/>
  <c r="P96" i="2"/>
  <c r="O96" i="2"/>
  <c r="N96" i="2"/>
  <c r="M96" i="2"/>
  <c r="L96" i="2"/>
  <c r="K96" i="2"/>
  <c r="J96" i="2"/>
  <c r="I96" i="2"/>
  <c r="H96" i="2"/>
  <c r="G96" i="2"/>
  <c r="F96" i="2"/>
  <c r="E96" i="2"/>
  <c r="D96" i="2"/>
  <c r="C96" i="2"/>
  <c r="B96" i="2"/>
  <c r="AL95" i="2"/>
  <c r="AK95" i="2"/>
  <c r="AI95" i="2" s="1"/>
  <c r="AH95" i="2"/>
  <c r="AG95" i="2"/>
  <c r="AF95" i="2"/>
  <c r="AE95" i="2"/>
  <c r="AD95" i="2"/>
  <c r="AC95" i="2"/>
  <c r="AB95" i="2"/>
  <c r="AA95" i="2"/>
  <c r="Z95" i="2"/>
  <c r="Y95" i="2"/>
  <c r="X95" i="2"/>
  <c r="W95" i="2"/>
  <c r="V95" i="2"/>
  <c r="U95" i="2"/>
  <c r="T95" i="2"/>
  <c r="S95" i="2"/>
  <c r="R95" i="2"/>
  <c r="Q95" i="2"/>
  <c r="P95" i="2"/>
  <c r="O95" i="2"/>
  <c r="N95" i="2"/>
  <c r="M95" i="2"/>
  <c r="L95" i="2"/>
  <c r="K95" i="2"/>
  <c r="J95" i="2"/>
  <c r="I95" i="2"/>
  <c r="H95" i="2"/>
  <c r="G95" i="2"/>
  <c r="F95" i="2"/>
  <c r="E95" i="2"/>
  <c r="D95" i="2"/>
  <c r="C95" i="2"/>
  <c r="B95" i="2"/>
  <c r="AL94" i="2"/>
  <c r="AK94" i="2"/>
  <c r="AF94" i="2"/>
  <c r="AE94" i="2"/>
  <c r="AD94" i="2"/>
  <c r="AC94" i="2"/>
  <c r="AB94" i="2"/>
  <c r="AA94" i="2"/>
  <c r="Z94" i="2"/>
  <c r="Y94" i="2"/>
  <c r="X94" i="2"/>
  <c r="W94" i="2"/>
  <c r="V94" i="2"/>
  <c r="U94" i="2"/>
  <c r="T94" i="2"/>
  <c r="S94" i="2"/>
  <c r="R94" i="2"/>
  <c r="Q94" i="2"/>
  <c r="P94" i="2"/>
  <c r="O94" i="2"/>
  <c r="N94" i="2"/>
  <c r="M94" i="2"/>
  <c r="L94" i="2"/>
  <c r="K94" i="2"/>
  <c r="J94" i="2"/>
  <c r="I94" i="2"/>
  <c r="H94" i="2"/>
  <c r="G94" i="2"/>
  <c r="F94" i="2"/>
  <c r="E94" i="2"/>
  <c r="D94" i="2"/>
  <c r="C94" i="2"/>
  <c r="B94" i="2"/>
  <c r="AL93" i="2"/>
  <c r="AK93" i="2"/>
  <c r="AF93" i="2"/>
  <c r="AE93" i="2"/>
  <c r="AD93" i="2"/>
  <c r="AC93" i="2"/>
  <c r="AB93" i="2"/>
  <c r="AL92" i="2"/>
  <c r="AK92" i="2"/>
  <c r="AI92" i="2"/>
  <c r="AH92" i="2"/>
  <c r="AG92" i="2"/>
  <c r="AF92" i="2"/>
  <c r="AE92" i="2"/>
  <c r="AD92" i="2"/>
  <c r="AC92" i="2"/>
  <c r="AB92" i="2"/>
  <c r="AA92" i="2"/>
  <c r="Z92" i="2"/>
  <c r="Y92" i="2"/>
  <c r="X92" i="2"/>
  <c r="W92" i="2"/>
  <c r="V92" i="2"/>
  <c r="U92" i="2"/>
  <c r="T92" i="2"/>
  <c r="S92" i="2"/>
  <c r="R92" i="2"/>
  <c r="Q92" i="2"/>
  <c r="P92" i="2"/>
  <c r="O92" i="2"/>
  <c r="N92" i="2"/>
  <c r="M92" i="2"/>
  <c r="L92" i="2"/>
  <c r="K92" i="2"/>
  <c r="J92" i="2"/>
  <c r="I92" i="2"/>
  <c r="H92" i="2"/>
  <c r="G92" i="2"/>
  <c r="F92" i="2"/>
  <c r="E92" i="2"/>
  <c r="D92" i="2"/>
  <c r="C92" i="2"/>
  <c r="B92" i="2"/>
  <c r="AL91" i="2"/>
  <c r="AK91" i="2"/>
  <c r="AE91" i="2"/>
  <c r="AD91" i="2"/>
  <c r="AC91" i="2"/>
  <c r="AB91" i="2"/>
  <c r="AA91" i="2"/>
  <c r="Z91" i="2"/>
  <c r="Y91" i="2"/>
  <c r="X91" i="2"/>
  <c r="W91" i="2"/>
  <c r="V91" i="2"/>
  <c r="U91" i="2"/>
  <c r="T91" i="2"/>
  <c r="S91" i="2"/>
  <c r="R91" i="2"/>
  <c r="Q91" i="2"/>
  <c r="P91" i="2"/>
  <c r="O91" i="2"/>
  <c r="N91" i="2"/>
  <c r="M91" i="2"/>
  <c r="L91" i="2"/>
  <c r="K91" i="2"/>
  <c r="J91" i="2"/>
  <c r="I91" i="2"/>
  <c r="H91" i="2"/>
  <c r="G91" i="2"/>
  <c r="F91" i="2"/>
  <c r="E91" i="2"/>
  <c r="D91" i="2"/>
  <c r="C91" i="2"/>
  <c r="B91" i="2"/>
  <c r="AL90" i="2"/>
  <c r="AK90" i="2"/>
  <c r="AG90" i="2"/>
  <c r="AF90" i="2"/>
  <c r="AE90" i="2"/>
  <c r="AD90" i="2"/>
  <c r="AC90" i="2"/>
  <c r="AB90" i="2"/>
  <c r="AA90" i="2"/>
  <c r="Z90" i="2"/>
  <c r="Y90" i="2"/>
  <c r="X90" i="2"/>
  <c r="W90" i="2"/>
  <c r="V90" i="2"/>
  <c r="U90" i="2"/>
  <c r="T90" i="2"/>
  <c r="S90" i="2"/>
  <c r="R90" i="2"/>
  <c r="Q90" i="2"/>
  <c r="P90" i="2"/>
  <c r="O90" i="2"/>
  <c r="N90" i="2"/>
  <c r="M90" i="2"/>
  <c r="L90" i="2"/>
  <c r="K90" i="2"/>
  <c r="J90" i="2"/>
  <c r="I90" i="2"/>
  <c r="H90" i="2"/>
  <c r="G90" i="2"/>
  <c r="F90" i="2"/>
  <c r="E90" i="2"/>
  <c r="D90" i="2"/>
  <c r="C90" i="2"/>
  <c r="B90" i="2"/>
  <c r="AL89" i="2"/>
  <c r="AK89" i="2"/>
  <c r="AE89" i="2"/>
  <c r="AD89" i="2"/>
  <c r="AC89" i="2"/>
  <c r="AB89" i="2"/>
  <c r="AA89" i="2"/>
  <c r="Z89" i="2"/>
  <c r="Y89" i="2"/>
  <c r="X89" i="2"/>
  <c r="W89" i="2"/>
  <c r="V89" i="2"/>
  <c r="U89" i="2"/>
  <c r="T89" i="2"/>
  <c r="S89" i="2"/>
  <c r="R89" i="2"/>
  <c r="Q89" i="2"/>
  <c r="P89" i="2"/>
  <c r="O89" i="2"/>
  <c r="N89" i="2"/>
  <c r="M89" i="2"/>
  <c r="L89" i="2"/>
  <c r="K89" i="2"/>
  <c r="J89" i="2"/>
  <c r="I89" i="2"/>
  <c r="H89" i="2"/>
  <c r="G89" i="2"/>
  <c r="F89" i="2"/>
  <c r="E89" i="2"/>
  <c r="D89" i="2"/>
  <c r="C89" i="2"/>
  <c r="B89" i="2"/>
  <c r="AL88" i="2"/>
  <c r="AK88" i="2"/>
  <c r="AG88" i="2"/>
  <c r="AF88" i="2"/>
  <c r="AE88" i="2"/>
  <c r="AD88" i="2"/>
  <c r="AC88" i="2"/>
  <c r="AB88" i="2"/>
  <c r="AA88" i="2"/>
  <c r="Z88" i="2"/>
  <c r="Y88" i="2"/>
  <c r="X88" i="2"/>
  <c r="W88" i="2"/>
  <c r="V88" i="2"/>
  <c r="U88" i="2"/>
  <c r="T88" i="2"/>
  <c r="S88" i="2"/>
  <c r="R88" i="2"/>
  <c r="Q88" i="2"/>
  <c r="P88" i="2"/>
  <c r="O88" i="2"/>
  <c r="N88" i="2"/>
  <c r="M88" i="2"/>
  <c r="L88" i="2"/>
  <c r="K88" i="2"/>
  <c r="J88" i="2"/>
  <c r="I88" i="2"/>
  <c r="H88" i="2"/>
  <c r="G88" i="2"/>
  <c r="F88" i="2"/>
  <c r="E88" i="2"/>
  <c r="D88" i="2"/>
  <c r="C88" i="2"/>
  <c r="B88" i="2"/>
  <c r="AL87" i="2"/>
  <c r="AK87" i="2"/>
  <c r="AI87" i="2" s="1"/>
  <c r="AH87" i="2"/>
  <c r="AG87" i="2"/>
  <c r="AF87" i="2"/>
  <c r="AE87" i="2"/>
  <c r="AD87" i="2"/>
  <c r="AC87" i="2"/>
  <c r="AB87" i="2"/>
  <c r="AA87" i="2"/>
  <c r="Z87" i="2"/>
  <c r="Y87" i="2"/>
  <c r="X87" i="2"/>
  <c r="W87" i="2"/>
  <c r="V87" i="2"/>
  <c r="U87" i="2"/>
  <c r="T87" i="2"/>
  <c r="S87" i="2"/>
  <c r="R87" i="2"/>
  <c r="Q87" i="2"/>
  <c r="P87" i="2"/>
  <c r="O87" i="2"/>
  <c r="N87" i="2"/>
  <c r="M87" i="2"/>
  <c r="L87" i="2"/>
  <c r="K87" i="2"/>
  <c r="J87" i="2"/>
  <c r="I87" i="2"/>
  <c r="H87" i="2"/>
  <c r="G87" i="2"/>
  <c r="F87" i="2"/>
  <c r="E87" i="2"/>
  <c r="D87" i="2"/>
  <c r="C87" i="2"/>
  <c r="B87" i="2"/>
  <c r="AL86" i="2"/>
  <c r="AK86" i="2"/>
  <c r="AI86" i="2"/>
  <c r="AH86" i="2"/>
  <c r="AG86" i="2"/>
  <c r="AF86" i="2"/>
  <c r="AE86" i="2"/>
  <c r="AD86" i="2"/>
  <c r="AC86" i="2"/>
  <c r="AB86" i="2"/>
  <c r="AA86" i="2"/>
  <c r="Z86" i="2"/>
  <c r="Y86" i="2"/>
  <c r="X86" i="2"/>
  <c r="W86" i="2"/>
  <c r="V86" i="2"/>
  <c r="U86" i="2"/>
  <c r="T86" i="2"/>
  <c r="S86" i="2"/>
  <c r="R86" i="2"/>
  <c r="Q86" i="2"/>
  <c r="P86" i="2"/>
  <c r="O86" i="2"/>
  <c r="N86" i="2"/>
  <c r="M86" i="2"/>
  <c r="L86" i="2"/>
  <c r="K86" i="2"/>
  <c r="J86" i="2"/>
  <c r="I86" i="2"/>
  <c r="H86" i="2"/>
  <c r="G86" i="2"/>
  <c r="F86" i="2"/>
  <c r="E86" i="2"/>
  <c r="D86" i="2"/>
  <c r="C86" i="2"/>
  <c r="B86" i="2"/>
  <c r="AL85" i="2"/>
  <c r="AK85" i="2"/>
  <c r="AF85" i="2"/>
  <c r="AE85" i="2"/>
  <c r="AD85" i="2"/>
  <c r="AC85" i="2"/>
  <c r="AB85" i="2"/>
  <c r="AA85" i="2"/>
  <c r="Z85" i="2"/>
  <c r="Y85" i="2"/>
  <c r="X85" i="2"/>
  <c r="W85" i="2"/>
  <c r="V85" i="2"/>
  <c r="U85" i="2"/>
  <c r="T85" i="2"/>
  <c r="S85" i="2"/>
  <c r="R85" i="2"/>
  <c r="Q85" i="2"/>
  <c r="P85" i="2"/>
  <c r="O85" i="2"/>
  <c r="N85" i="2"/>
  <c r="M85" i="2"/>
  <c r="L85" i="2"/>
  <c r="K85" i="2"/>
  <c r="J85" i="2"/>
  <c r="I85" i="2"/>
  <c r="H85" i="2"/>
  <c r="G85" i="2"/>
  <c r="F85" i="2"/>
  <c r="E85" i="2"/>
  <c r="D85" i="2"/>
  <c r="C85" i="2"/>
  <c r="B85" i="2"/>
  <c r="AL84" i="2"/>
  <c r="AK84" i="2"/>
  <c r="AG84" i="2"/>
  <c r="AF84" i="2"/>
  <c r="AE84" i="2"/>
  <c r="AD84" i="2"/>
  <c r="AC84" i="2"/>
  <c r="AB84" i="2"/>
  <c r="AA84" i="2"/>
  <c r="Z84" i="2"/>
  <c r="Y84" i="2"/>
  <c r="X84" i="2"/>
  <c r="W84" i="2"/>
  <c r="V84" i="2"/>
  <c r="U84" i="2"/>
  <c r="T84" i="2"/>
  <c r="S84" i="2"/>
  <c r="R84" i="2"/>
  <c r="Q84" i="2"/>
  <c r="P84" i="2"/>
  <c r="O84" i="2"/>
  <c r="N84" i="2"/>
  <c r="M84" i="2"/>
  <c r="L84" i="2"/>
  <c r="K84" i="2"/>
  <c r="J84" i="2"/>
  <c r="I84" i="2"/>
  <c r="H84" i="2"/>
  <c r="G84" i="2"/>
  <c r="F84" i="2"/>
  <c r="E84" i="2"/>
  <c r="D84" i="2"/>
  <c r="C84" i="2"/>
  <c r="B84" i="2"/>
  <c r="AL83" i="2"/>
  <c r="AK83" i="2"/>
  <c r="AI83" i="2"/>
  <c r="AH83" i="2"/>
  <c r="AG83" i="2"/>
  <c r="AF83" i="2"/>
  <c r="AE83" i="2"/>
  <c r="AD83" i="2"/>
  <c r="AC83" i="2"/>
  <c r="AB83" i="2"/>
  <c r="AA83" i="2"/>
  <c r="Z83" i="2"/>
  <c r="Y83" i="2"/>
  <c r="X83" i="2"/>
  <c r="W83" i="2"/>
  <c r="V83" i="2"/>
  <c r="U83" i="2"/>
  <c r="T83" i="2"/>
  <c r="S83" i="2"/>
  <c r="R83" i="2"/>
  <c r="Q83" i="2"/>
  <c r="P83" i="2"/>
  <c r="O83" i="2"/>
  <c r="N83" i="2"/>
  <c r="M83" i="2"/>
  <c r="L83" i="2"/>
  <c r="K83" i="2"/>
  <c r="J83" i="2"/>
  <c r="I83" i="2"/>
  <c r="H83" i="2"/>
  <c r="G83" i="2"/>
  <c r="F83" i="2"/>
  <c r="E83" i="2"/>
  <c r="D83" i="2"/>
  <c r="C83" i="2"/>
  <c r="B83" i="2"/>
  <c r="AL82" i="2"/>
  <c r="AK82" i="2"/>
  <c r="AD82" i="2"/>
  <c r="AC82" i="2"/>
  <c r="AB82" i="2"/>
  <c r="AA82" i="2"/>
  <c r="Z82" i="2"/>
  <c r="Y82" i="2"/>
  <c r="X82" i="2"/>
  <c r="W82" i="2"/>
  <c r="V82" i="2"/>
  <c r="U82" i="2"/>
  <c r="T82" i="2"/>
  <c r="S82" i="2"/>
  <c r="R82" i="2"/>
  <c r="Q82" i="2"/>
  <c r="P82" i="2"/>
  <c r="O82" i="2"/>
  <c r="N82" i="2"/>
  <c r="M82" i="2"/>
  <c r="L82" i="2"/>
  <c r="K82" i="2"/>
  <c r="J82" i="2"/>
  <c r="I82" i="2"/>
  <c r="H82" i="2"/>
  <c r="G82" i="2"/>
  <c r="F82" i="2"/>
  <c r="E82" i="2"/>
  <c r="D82" i="2"/>
  <c r="C82" i="2"/>
  <c r="B82" i="2"/>
  <c r="AL81" i="2"/>
  <c r="AK81" i="2"/>
  <c r="AG81" i="2"/>
  <c r="AF81" i="2"/>
  <c r="AE81" i="2"/>
  <c r="AD81" i="2"/>
  <c r="AC81" i="2"/>
  <c r="AB81" i="2"/>
  <c r="AA81" i="2"/>
  <c r="Z81" i="2"/>
  <c r="Y81" i="2"/>
  <c r="X81" i="2"/>
  <c r="W81" i="2"/>
  <c r="V81" i="2"/>
  <c r="U81" i="2"/>
  <c r="T81" i="2"/>
  <c r="S81" i="2"/>
  <c r="R81" i="2"/>
  <c r="Q81" i="2"/>
  <c r="P81" i="2"/>
  <c r="O81" i="2"/>
  <c r="N81" i="2"/>
  <c r="M81" i="2"/>
  <c r="L81" i="2"/>
  <c r="K81" i="2"/>
  <c r="J81" i="2"/>
  <c r="I81" i="2"/>
  <c r="H81" i="2"/>
  <c r="G81" i="2"/>
  <c r="F81" i="2"/>
  <c r="E81" i="2"/>
  <c r="D81" i="2"/>
  <c r="C81" i="2"/>
  <c r="B81" i="2"/>
  <c r="AL80" i="2"/>
  <c r="AK80" i="2"/>
  <c r="AI80" i="2"/>
  <c r="AH80" i="2"/>
  <c r="AG80" i="2"/>
  <c r="AF80" i="2"/>
  <c r="AE80" i="2"/>
  <c r="AD80" i="2"/>
  <c r="AC80" i="2"/>
  <c r="AB80" i="2"/>
  <c r="AA80" i="2"/>
  <c r="Z80" i="2"/>
  <c r="Y80" i="2"/>
  <c r="X80" i="2"/>
  <c r="W80" i="2"/>
  <c r="V80" i="2"/>
  <c r="U80" i="2"/>
  <c r="T80" i="2"/>
  <c r="S80" i="2"/>
  <c r="R80" i="2"/>
  <c r="Q80" i="2"/>
  <c r="P80" i="2"/>
  <c r="O80" i="2"/>
  <c r="N80" i="2"/>
  <c r="M80" i="2"/>
  <c r="L80" i="2"/>
  <c r="K80" i="2"/>
  <c r="J80" i="2"/>
  <c r="I80" i="2"/>
  <c r="H80" i="2"/>
  <c r="G80" i="2"/>
  <c r="F80" i="2"/>
  <c r="E80" i="2"/>
  <c r="D80" i="2"/>
  <c r="C80" i="2"/>
  <c r="B80" i="2"/>
  <c r="AL79" i="2"/>
  <c r="AK79" i="2"/>
  <c r="AG79" i="2"/>
  <c r="AF79" i="2"/>
  <c r="AE79" i="2"/>
  <c r="AD79" i="2"/>
  <c r="AC79" i="2"/>
  <c r="AB79" i="2"/>
  <c r="AA79" i="2"/>
  <c r="Z79" i="2"/>
  <c r="Y79" i="2"/>
  <c r="X79" i="2"/>
  <c r="W79" i="2"/>
  <c r="V79" i="2"/>
  <c r="U79" i="2"/>
  <c r="T79" i="2"/>
  <c r="S79" i="2"/>
  <c r="R79" i="2"/>
  <c r="Q79" i="2"/>
  <c r="P79" i="2"/>
  <c r="O79" i="2"/>
  <c r="N79" i="2"/>
  <c r="M79" i="2"/>
  <c r="L79" i="2"/>
  <c r="K79" i="2"/>
  <c r="J79" i="2"/>
  <c r="I79" i="2"/>
  <c r="H79" i="2"/>
  <c r="G79" i="2"/>
  <c r="F79" i="2"/>
  <c r="E79" i="2"/>
  <c r="D79" i="2"/>
  <c r="C79" i="2"/>
  <c r="B79" i="2"/>
  <c r="AL78" i="2"/>
  <c r="AK78" i="2"/>
  <c r="AG78" i="2"/>
  <c r="AF78" i="2"/>
  <c r="AE78" i="2"/>
  <c r="AD78" i="2"/>
  <c r="AC78" i="2"/>
  <c r="AB78" i="2"/>
  <c r="AA78" i="2"/>
  <c r="Z78" i="2"/>
  <c r="Y78" i="2"/>
  <c r="X78" i="2"/>
  <c r="W78" i="2"/>
  <c r="V78" i="2"/>
  <c r="U78" i="2"/>
  <c r="T78" i="2"/>
  <c r="S78" i="2"/>
  <c r="R78" i="2"/>
  <c r="Q78" i="2"/>
  <c r="P78" i="2"/>
  <c r="O78" i="2"/>
  <c r="N78" i="2"/>
  <c r="M78" i="2"/>
  <c r="L78" i="2"/>
  <c r="K78" i="2"/>
  <c r="J78" i="2"/>
  <c r="I78" i="2"/>
  <c r="H78" i="2"/>
  <c r="G78" i="2"/>
  <c r="F78" i="2"/>
  <c r="E78" i="2"/>
  <c r="D78" i="2"/>
  <c r="C78" i="2"/>
  <c r="B78" i="2"/>
  <c r="AL77" i="2"/>
  <c r="AK77" i="2"/>
  <c r="AI77" i="2"/>
  <c r="AH77" i="2"/>
  <c r="AG77" i="2"/>
  <c r="AF77" i="2"/>
  <c r="AE77" i="2"/>
  <c r="AD77" i="2"/>
  <c r="AC77" i="2"/>
  <c r="AB77" i="2"/>
  <c r="AA77" i="2"/>
  <c r="Z77" i="2"/>
  <c r="Y77" i="2"/>
  <c r="X77" i="2"/>
  <c r="W77" i="2"/>
  <c r="V77" i="2"/>
  <c r="U77" i="2"/>
  <c r="T77" i="2"/>
  <c r="S77" i="2"/>
  <c r="R77" i="2"/>
  <c r="Q77" i="2"/>
  <c r="P77" i="2"/>
  <c r="O77" i="2"/>
  <c r="N77" i="2"/>
  <c r="M77" i="2"/>
  <c r="L77" i="2"/>
  <c r="K77" i="2"/>
  <c r="J77" i="2"/>
  <c r="I77" i="2"/>
  <c r="H77" i="2"/>
  <c r="G77" i="2"/>
  <c r="F77" i="2"/>
  <c r="E77" i="2"/>
  <c r="D77" i="2"/>
  <c r="C77" i="2"/>
  <c r="B77" i="2"/>
  <c r="AL76" i="2"/>
  <c r="AK76" i="2"/>
  <c r="AD76" i="2"/>
  <c r="AC76" i="2"/>
  <c r="AB76" i="2"/>
  <c r="AA76" i="2"/>
  <c r="Z76" i="2"/>
  <c r="Y76" i="2"/>
  <c r="X76" i="2"/>
  <c r="W76" i="2"/>
  <c r="V76" i="2"/>
  <c r="U76" i="2"/>
  <c r="T76" i="2"/>
  <c r="S76" i="2"/>
  <c r="R76" i="2"/>
  <c r="Q76" i="2"/>
  <c r="P76" i="2"/>
  <c r="O76" i="2"/>
  <c r="N76" i="2"/>
  <c r="M76" i="2"/>
  <c r="L76" i="2"/>
  <c r="K76" i="2"/>
  <c r="J76" i="2"/>
  <c r="I76" i="2"/>
  <c r="H76" i="2"/>
  <c r="G76" i="2"/>
  <c r="F76" i="2"/>
  <c r="E76" i="2"/>
  <c r="D76" i="2"/>
  <c r="C76" i="2"/>
  <c r="B76" i="2"/>
  <c r="AL75" i="2"/>
  <c r="AK75" i="2"/>
  <c r="AE75" i="2"/>
  <c r="AD75" i="2"/>
  <c r="AC75" i="2"/>
  <c r="AB75" i="2"/>
  <c r="AA75" i="2"/>
  <c r="Z75" i="2"/>
  <c r="Y75" i="2"/>
  <c r="X75" i="2"/>
  <c r="W75" i="2"/>
  <c r="V75" i="2"/>
  <c r="U75" i="2"/>
  <c r="T75" i="2"/>
  <c r="S75" i="2"/>
  <c r="R75" i="2"/>
  <c r="Q75" i="2"/>
  <c r="P75" i="2"/>
  <c r="O75" i="2"/>
  <c r="N75" i="2"/>
  <c r="M75" i="2"/>
  <c r="L75" i="2"/>
  <c r="K75" i="2"/>
  <c r="J75" i="2"/>
  <c r="I75" i="2"/>
  <c r="H75" i="2"/>
  <c r="G75" i="2"/>
  <c r="F75" i="2"/>
  <c r="E75" i="2"/>
  <c r="D75" i="2"/>
  <c r="C75" i="2"/>
  <c r="B75" i="2"/>
  <c r="AL74" i="2"/>
  <c r="AL73" i="2"/>
  <c r="AK73" i="2"/>
  <c r="AI73" i="2"/>
  <c r="AH73" i="2"/>
  <c r="AG73" i="2"/>
  <c r="AF73" i="2"/>
  <c r="AE73" i="2"/>
  <c r="AD73" i="2"/>
  <c r="AC73" i="2"/>
  <c r="AB73" i="2"/>
  <c r="AA73" i="2"/>
  <c r="Z73" i="2"/>
  <c r="Y73" i="2"/>
  <c r="X73" i="2"/>
  <c r="W73" i="2"/>
  <c r="V73" i="2"/>
  <c r="U73" i="2"/>
  <c r="T73" i="2"/>
  <c r="S73" i="2"/>
  <c r="R73" i="2"/>
  <c r="Q73" i="2"/>
  <c r="P73" i="2"/>
  <c r="O73" i="2"/>
  <c r="N73" i="2"/>
  <c r="M73" i="2"/>
  <c r="L73" i="2"/>
  <c r="K73" i="2"/>
  <c r="J73" i="2"/>
  <c r="I73" i="2"/>
  <c r="H73" i="2"/>
  <c r="G73" i="2"/>
  <c r="F73" i="2"/>
  <c r="E73" i="2"/>
  <c r="D73" i="2"/>
  <c r="C73" i="2"/>
  <c r="B73" i="2"/>
  <c r="AL72" i="2"/>
  <c r="AK72" i="2"/>
  <c r="AF72" i="2"/>
  <c r="AE72" i="2"/>
  <c r="AD72" i="2"/>
  <c r="AC72" i="2"/>
  <c r="AB72" i="2"/>
  <c r="AA72" i="2"/>
  <c r="Z72" i="2"/>
  <c r="Y72" i="2"/>
  <c r="X72" i="2"/>
  <c r="W72" i="2"/>
  <c r="V72" i="2"/>
  <c r="U72" i="2"/>
  <c r="T72" i="2"/>
  <c r="S72" i="2"/>
  <c r="R72" i="2"/>
  <c r="Q72" i="2"/>
  <c r="P72" i="2"/>
  <c r="O72" i="2"/>
  <c r="N72" i="2"/>
  <c r="M72" i="2"/>
  <c r="L72" i="2"/>
  <c r="K72" i="2"/>
  <c r="J72" i="2"/>
  <c r="I72" i="2"/>
  <c r="H72" i="2"/>
  <c r="G72" i="2"/>
  <c r="F72" i="2"/>
  <c r="E72" i="2"/>
  <c r="D72" i="2"/>
  <c r="C72" i="2"/>
  <c r="B72" i="2"/>
  <c r="AL71" i="2"/>
  <c r="AK71" i="2"/>
  <c r="AI71" i="2" s="1"/>
  <c r="AH71" i="2"/>
  <c r="AG71" i="2"/>
  <c r="AF71" i="2"/>
  <c r="AE71" i="2"/>
  <c r="AD71" i="2"/>
  <c r="AC71" i="2"/>
  <c r="AB71" i="2"/>
  <c r="AA71" i="2"/>
  <c r="Z71" i="2"/>
  <c r="Y71" i="2"/>
  <c r="X71" i="2"/>
  <c r="W71" i="2"/>
  <c r="V71" i="2"/>
  <c r="U71" i="2"/>
  <c r="T71" i="2"/>
  <c r="S71" i="2"/>
  <c r="R71" i="2"/>
  <c r="Q71" i="2"/>
  <c r="P71" i="2"/>
  <c r="O71" i="2"/>
  <c r="N71" i="2"/>
  <c r="M71" i="2"/>
  <c r="L71" i="2"/>
  <c r="K71" i="2"/>
  <c r="J71" i="2"/>
  <c r="I71" i="2"/>
  <c r="H71" i="2"/>
  <c r="G71" i="2"/>
  <c r="F71" i="2"/>
  <c r="E71" i="2"/>
  <c r="D71" i="2"/>
  <c r="C71" i="2"/>
  <c r="B71" i="2"/>
  <c r="AL70" i="2"/>
  <c r="AK70" i="2"/>
  <c r="AE70" i="2"/>
  <c r="AD70" i="2"/>
  <c r="AC70" i="2"/>
  <c r="AB70" i="2"/>
  <c r="AA70" i="2"/>
  <c r="Z70" i="2"/>
  <c r="Y70" i="2"/>
  <c r="X70" i="2"/>
  <c r="W70" i="2"/>
  <c r="V70" i="2"/>
  <c r="U70" i="2"/>
  <c r="T70" i="2"/>
  <c r="S70" i="2"/>
  <c r="R70" i="2"/>
  <c r="Q70" i="2"/>
  <c r="P70" i="2"/>
  <c r="O70" i="2"/>
  <c r="N70" i="2"/>
  <c r="M70" i="2"/>
  <c r="L70" i="2"/>
  <c r="K70" i="2"/>
  <c r="J70" i="2"/>
  <c r="I70" i="2"/>
  <c r="H70" i="2"/>
  <c r="G70" i="2"/>
  <c r="F70" i="2"/>
  <c r="E70" i="2"/>
  <c r="D70" i="2"/>
  <c r="C70" i="2"/>
  <c r="B70" i="2"/>
  <c r="AL69" i="2"/>
  <c r="AK69" i="2"/>
  <c r="AG69" i="2"/>
  <c r="AF69" i="2"/>
  <c r="AE69" i="2"/>
  <c r="AD69" i="2"/>
  <c r="AC69" i="2"/>
  <c r="AB69" i="2"/>
  <c r="AA69" i="2"/>
  <c r="Z69" i="2"/>
  <c r="Y69" i="2"/>
  <c r="X69" i="2"/>
  <c r="W69" i="2"/>
  <c r="V69" i="2"/>
  <c r="U69" i="2"/>
  <c r="T69" i="2"/>
  <c r="S69" i="2"/>
  <c r="R69" i="2"/>
  <c r="Q69" i="2"/>
  <c r="P69" i="2"/>
  <c r="O69" i="2"/>
  <c r="N69" i="2"/>
  <c r="M69" i="2"/>
  <c r="L69" i="2"/>
  <c r="K69" i="2"/>
  <c r="J69" i="2"/>
  <c r="I69" i="2"/>
  <c r="H69" i="2"/>
  <c r="G69" i="2"/>
  <c r="F69" i="2"/>
  <c r="E69" i="2"/>
  <c r="D69" i="2"/>
  <c r="C69" i="2"/>
  <c r="B69" i="2"/>
  <c r="AL68" i="2"/>
  <c r="AK68" i="2"/>
  <c r="AF68" i="2"/>
  <c r="AE68" i="2"/>
  <c r="AD68" i="2"/>
  <c r="AC68" i="2"/>
  <c r="AB68" i="2"/>
  <c r="AA68" i="2"/>
  <c r="Z68" i="2"/>
  <c r="Y68" i="2"/>
  <c r="X68" i="2"/>
  <c r="W68" i="2"/>
  <c r="V68" i="2"/>
  <c r="U68" i="2"/>
  <c r="T68" i="2"/>
  <c r="S68" i="2"/>
  <c r="R68" i="2"/>
  <c r="Q68" i="2"/>
  <c r="P68" i="2"/>
  <c r="O68" i="2"/>
  <c r="N68" i="2"/>
  <c r="M68" i="2"/>
  <c r="L68" i="2"/>
  <c r="K68" i="2"/>
  <c r="J68" i="2"/>
  <c r="I68" i="2"/>
  <c r="H68" i="2"/>
  <c r="G68" i="2"/>
  <c r="F68" i="2"/>
  <c r="E68" i="2"/>
  <c r="D68" i="2"/>
  <c r="C68" i="2"/>
  <c r="B68" i="2"/>
  <c r="AL67" i="2"/>
  <c r="AK67" i="2"/>
  <c r="AE67" i="2"/>
  <c r="AD67" i="2"/>
  <c r="AC67" i="2"/>
  <c r="AB67" i="2"/>
  <c r="AA67" i="2"/>
  <c r="Z67" i="2"/>
  <c r="Y67" i="2"/>
  <c r="X67" i="2"/>
  <c r="W67" i="2"/>
  <c r="V67" i="2"/>
  <c r="U67" i="2"/>
  <c r="T67" i="2"/>
  <c r="S67" i="2"/>
  <c r="R67" i="2"/>
  <c r="Q67" i="2"/>
  <c r="P67" i="2"/>
  <c r="O67" i="2"/>
  <c r="N67" i="2"/>
  <c r="M67" i="2"/>
  <c r="L67" i="2"/>
  <c r="K67" i="2"/>
  <c r="J67" i="2"/>
  <c r="I67" i="2"/>
  <c r="H67" i="2"/>
  <c r="G67" i="2"/>
  <c r="F67" i="2"/>
  <c r="E67" i="2"/>
  <c r="D67" i="2"/>
  <c r="C67" i="2"/>
  <c r="B67" i="2"/>
  <c r="AL66" i="2"/>
  <c r="AK66" i="2"/>
  <c r="AE66" i="2"/>
  <c r="AD66" i="2"/>
  <c r="AC66" i="2"/>
  <c r="AB66" i="2"/>
  <c r="AA66" i="2"/>
  <c r="Z66" i="2"/>
  <c r="Y66" i="2"/>
  <c r="X66" i="2"/>
  <c r="W66" i="2"/>
  <c r="V66" i="2"/>
  <c r="U66" i="2"/>
  <c r="T66" i="2"/>
  <c r="S66" i="2"/>
  <c r="R66" i="2"/>
  <c r="Q66" i="2"/>
  <c r="P66" i="2"/>
  <c r="O66" i="2"/>
  <c r="N66" i="2"/>
  <c r="M66" i="2"/>
  <c r="L66" i="2"/>
  <c r="K66" i="2"/>
  <c r="J66" i="2"/>
  <c r="I66" i="2"/>
  <c r="H66" i="2"/>
  <c r="G66" i="2"/>
  <c r="F66" i="2"/>
  <c r="E66" i="2"/>
  <c r="D66" i="2"/>
  <c r="C66" i="2"/>
  <c r="B66" i="2"/>
  <c r="AL65" i="2"/>
  <c r="AK65" i="2"/>
  <c r="AG65" i="2"/>
  <c r="AF65" i="2"/>
  <c r="AE65" i="2"/>
  <c r="AD65" i="2"/>
  <c r="AC65" i="2"/>
  <c r="AB65" i="2"/>
  <c r="AA65" i="2"/>
  <c r="Z65" i="2"/>
  <c r="Y65" i="2"/>
  <c r="X65" i="2"/>
  <c r="W65" i="2"/>
  <c r="V65" i="2"/>
  <c r="U65" i="2"/>
  <c r="T65" i="2"/>
  <c r="S65" i="2"/>
  <c r="R65" i="2"/>
  <c r="Q65" i="2"/>
  <c r="P65" i="2"/>
  <c r="O65" i="2"/>
  <c r="N65" i="2"/>
  <c r="M65" i="2"/>
  <c r="L65" i="2"/>
  <c r="K65" i="2"/>
  <c r="J65" i="2"/>
  <c r="I65" i="2"/>
  <c r="H65" i="2"/>
  <c r="G65" i="2"/>
  <c r="F65" i="2"/>
  <c r="E65" i="2"/>
  <c r="D65" i="2"/>
  <c r="C65" i="2"/>
  <c r="B65" i="2"/>
  <c r="AL64" i="2"/>
  <c r="AK64" i="2"/>
  <c r="AE64" i="2"/>
  <c r="AD64" i="2"/>
  <c r="AC64" i="2"/>
  <c r="AB64" i="2"/>
  <c r="AA64" i="2"/>
  <c r="Z64" i="2"/>
  <c r="Y64" i="2"/>
  <c r="X64" i="2"/>
  <c r="W64" i="2"/>
  <c r="V64" i="2"/>
  <c r="U64" i="2"/>
  <c r="T64" i="2"/>
  <c r="S64" i="2"/>
  <c r="R64" i="2"/>
  <c r="Q64" i="2"/>
  <c r="P64" i="2"/>
  <c r="O64" i="2"/>
  <c r="N64" i="2"/>
  <c r="M64" i="2"/>
  <c r="L64" i="2"/>
  <c r="K64" i="2"/>
  <c r="J64" i="2"/>
  <c r="I64" i="2"/>
  <c r="H64" i="2"/>
  <c r="G64" i="2"/>
  <c r="F64" i="2"/>
  <c r="E64" i="2"/>
  <c r="D64" i="2"/>
  <c r="C64" i="2"/>
  <c r="B64" i="2"/>
  <c r="AL63" i="2"/>
  <c r="AK63" i="2"/>
  <c r="AI63" i="2" s="1"/>
  <c r="AH63" i="2"/>
  <c r="AG63" i="2"/>
  <c r="AF63" i="2"/>
  <c r="AE63" i="2"/>
  <c r="AD63" i="2"/>
  <c r="AC63" i="2"/>
  <c r="AB63" i="2"/>
  <c r="AA63" i="2"/>
  <c r="Z63" i="2"/>
  <c r="Y63" i="2"/>
  <c r="X63" i="2"/>
  <c r="W63" i="2"/>
  <c r="V63" i="2"/>
  <c r="U63" i="2"/>
  <c r="T63" i="2"/>
  <c r="S63" i="2"/>
  <c r="R63" i="2"/>
  <c r="Q63" i="2"/>
  <c r="P63" i="2"/>
  <c r="O63" i="2"/>
  <c r="N63" i="2"/>
  <c r="M63" i="2"/>
  <c r="L63" i="2"/>
  <c r="K63" i="2"/>
  <c r="J63" i="2"/>
  <c r="I63" i="2"/>
  <c r="H63" i="2"/>
  <c r="G63" i="2"/>
  <c r="F63" i="2"/>
  <c r="E63" i="2"/>
  <c r="D63" i="2"/>
  <c r="C63" i="2"/>
  <c r="B63" i="2"/>
  <c r="AL62" i="2"/>
  <c r="AK62" i="2"/>
  <c r="AG62" i="2"/>
  <c r="AF62" i="2"/>
  <c r="AE62" i="2"/>
  <c r="AD62" i="2"/>
  <c r="AC62" i="2"/>
  <c r="AB62" i="2"/>
  <c r="AA62" i="2"/>
  <c r="Z62" i="2"/>
  <c r="Y62" i="2"/>
  <c r="X62" i="2"/>
  <c r="W62" i="2"/>
  <c r="V62" i="2"/>
  <c r="U62" i="2"/>
  <c r="T62" i="2"/>
  <c r="S62" i="2"/>
  <c r="R62" i="2"/>
  <c r="Q62" i="2"/>
  <c r="P62" i="2"/>
  <c r="O62" i="2"/>
  <c r="N62" i="2"/>
  <c r="M62" i="2"/>
  <c r="L62" i="2"/>
  <c r="K62" i="2"/>
  <c r="J62" i="2"/>
  <c r="I62" i="2"/>
  <c r="H62" i="2"/>
  <c r="G62" i="2"/>
  <c r="F62" i="2"/>
  <c r="E62" i="2"/>
  <c r="D62" i="2"/>
  <c r="C62" i="2"/>
  <c r="B62" i="2"/>
  <c r="AL61" i="2"/>
  <c r="AL60" i="2"/>
  <c r="AL59" i="2"/>
  <c r="AL58" i="2"/>
  <c r="AL57" i="2"/>
  <c r="AL56" i="2"/>
  <c r="AL55" i="2"/>
  <c r="AL54" i="2"/>
  <c r="AL53" i="2"/>
  <c r="AL52" i="2"/>
  <c r="AL51" i="2"/>
  <c r="AL50" i="2"/>
  <c r="AL49" i="2"/>
  <c r="AK49" i="2" s="1"/>
  <c r="AL48" i="2"/>
  <c r="AL47" i="2"/>
  <c r="AL46" i="2"/>
  <c r="AL45" i="2"/>
  <c r="AL44" i="2"/>
  <c r="AL43" i="2"/>
  <c r="AL42" i="2"/>
  <c r="AL41" i="2"/>
  <c r="AL40" i="2"/>
  <c r="AL39" i="2"/>
  <c r="AL38" i="2"/>
  <c r="AL37" i="2"/>
  <c r="AL36" i="2"/>
  <c r="AL35" i="2"/>
  <c r="AL34" i="2"/>
  <c r="AL33" i="2"/>
  <c r="AL32" i="2"/>
  <c r="AK32" i="2"/>
  <c r="AF32" i="2"/>
  <c r="AE32" i="2"/>
  <c r="AC32" i="2"/>
  <c r="AB32" i="2"/>
  <c r="AA32" i="2"/>
  <c r="Z32" i="2"/>
  <c r="Y32" i="2"/>
  <c r="X32" i="2"/>
  <c r="W32" i="2"/>
  <c r="V32" i="2"/>
  <c r="U32" i="2"/>
  <c r="T32" i="2"/>
  <c r="S32" i="2"/>
  <c r="R32" i="2"/>
  <c r="Q32" i="2"/>
  <c r="P32" i="2"/>
  <c r="O32" i="2"/>
  <c r="N32" i="2"/>
  <c r="M32" i="2"/>
  <c r="L32" i="2"/>
  <c r="K32" i="2"/>
  <c r="J32" i="2"/>
  <c r="I32" i="2"/>
  <c r="H32" i="2"/>
  <c r="G32" i="2"/>
  <c r="F32" i="2"/>
  <c r="E32" i="2"/>
  <c r="D32" i="2"/>
  <c r="C32" i="2"/>
  <c r="B32" i="2"/>
  <c r="AL31" i="2"/>
  <c r="AL30" i="2"/>
  <c r="AL29" i="2"/>
  <c r="AL28" i="2"/>
  <c r="AK28" i="2" s="1"/>
  <c r="AL27" i="2"/>
  <c r="AL26" i="2"/>
  <c r="AL25" i="2"/>
  <c r="AL24" i="2"/>
  <c r="AL23" i="2"/>
  <c r="AL22" i="2"/>
  <c r="AL21" i="2"/>
  <c r="AL20" i="2"/>
  <c r="AL19" i="2"/>
  <c r="AL18" i="2"/>
  <c r="AK18" i="2"/>
  <c r="AI18" i="2"/>
  <c r="AH18" i="2"/>
  <c r="AG18" i="2"/>
  <c r="AF18" i="2"/>
  <c r="AE18" i="2"/>
  <c r="AD18" i="2"/>
  <c r="AC18" i="2"/>
  <c r="AB18" i="2"/>
  <c r="AA18" i="2"/>
  <c r="Z18" i="2"/>
  <c r="Y18" i="2"/>
  <c r="X18" i="2"/>
  <c r="W18" i="2"/>
  <c r="V18" i="2"/>
  <c r="U18" i="2"/>
  <c r="T18" i="2"/>
  <c r="S18" i="2"/>
  <c r="R18" i="2"/>
  <c r="Q18" i="2"/>
  <c r="P18" i="2"/>
  <c r="O18" i="2"/>
  <c r="N18" i="2"/>
  <c r="M18" i="2"/>
  <c r="L18" i="2"/>
  <c r="K18" i="2"/>
  <c r="J18" i="2"/>
  <c r="I18" i="2"/>
  <c r="H18" i="2"/>
  <c r="G18" i="2"/>
  <c r="F18" i="2"/>
  <c r="E18" i="2"/>
  <c r="D18" i="2"/>
  <c r="C18" i="2"/>
  <c r="B18" i="2"/>
  <c r="AL17" i="2"/>
  <c r="AK17" i="2"/>
  <c r="AH17" i="2" s="1"/>
  <c r="AI17" i="2"/>
  <c r="AG17" i="2"/>
  <c r="AF17" i="2"/>
  <c r="AE17" i="2"/>
  <c r="AD17" i="2"/>
  <c r="AC17" i="2"/>
  <c r="AB17" i="2"/>
  <c r="AA17" i="2"/>
  <c r="Z17" i="2"/>
  <c r="Y17" i="2"/>
  <c r="X17" i="2"/>
  <c r="W17" i="2"/>
  <c r="V17" i="2"/>
  <c r="U17" i="2"/>
  <c r="T17" i="2"/>
  <c r="S17" i="2"/>
  <c r="R17" i="2"/>
  <c r="Q17" i="2"/>
  <c r="P17" i="2"/>
  <c r="O17" i="2"/>
  <c r="N17" i="2"/>
  <c r="M17" i="2"/>
  <c r="L17" i="2"/>
  <c r="K17" i="2"/>
  <c r="J17" i="2"/>
  <c r="I17" i="2"/>
  <c r="H17" i="2"/>
  <c r="G17" i="2"/>
  <c r="F17" i="2"/>
  <c r="E17" i="2"/>
  <c r="D17" i="2"/>
  <c r="C17" i="2"/>
  <c r="B17" i="2"/>
  <c r="AL16" i="2"/>
  <c r="AK16" i="2"/>
  <c r="AE16" i="2"/>
  <c r="AD16" i="2"/>
  <c r="AC16" i="2"/>
  <c r="AB16" i="2"/>
  <c r="AA16" i="2"/>
  <c r="Z16" i="2"/>
  <c r="Y16" i="2"/>
  <c r="X16" i="2"/>
  <c r="W16" i="2"/>
  <c r="V16" i="2"/>
  <c r="U16" i="2"/>
  <c r="T16" i="2"/>
  <c r="S16" i="2"/>
  <c r="R16" i="2"/>
  <c r="Q16" i="2"/>
  <c r="P16" i="2"/>
  <c r="O16" i="2"/>
  <c r="N16" i="2"/>
  <c r="M16" i="2"/>
  <c r="L16" i="2"/>
  <c r="K16" i="2"/>
  <c r="J16" i="2"/>
  <c r="I16" i="2"/>
  <c r="H16" i="2"/>
  <c r="G16" i="2"/>
  <c r="F16" i="2"/>
  <c r="E16" i="2"/>
  <c r="D16" i="2"/>
  <c r="C16" i="2"/>
  <c r="B16" i="2"/>
  <c r="AL15" i="2"/>
  <c r="AK15" i="2"/>
  <c r="AF15" i="2"/>
  <c r="AE15" i="2"/>
  <c r="AD15" i="2"/>
  <c r="AC15" i="2"/>
  <c r="AB15" i="2"/>
  <c r="AA15" i="2"/>
  <c r="Z15" i="2"/>
  <c r="Y15" i="2"/>
  <c r="X15" i="2"/>
  <c r="W15" i="2"/>
  <c r="V15" i="2"/>
  <c r="U15" i="2"/>
  <c r="T15" i="2"/>
  <c r="S15" i="2"/>
  <c r="R15" i="2"/>
  <c r="Q15" i="2"/>
  <c r="P15" i="2"/>
  <c r="O15" i="2"/>
  <c r="N15" i="2"/>
  <c r="M15" i="2"/>
  <c r="L15" i="2"/>
  <c r="K15" i="2"/>
  <c r="J15" i="2"/>
  <c r="I15" i="2"/>
  <c r="H15" i="2"/>
  <c r="G15" i="2"/>
  <c r="F15" i="2"/>
  <c r="E15" i="2"/>
  <c r="D15" i="2"/>
  <c r="C15" i="2"/>
  <c r="B15" i="2"/>
  <c r="AL14" i="2"/>
  <c r="AK14" i="2"/>
  <c r="AE14" i="2"/>
  <c r="AD14" i="2"/>
  <c r="AC14" i="2"/>
  <c r="AB14" i="2"/>
  <c r="AA14" i="2"/>
  <c r="Z14" i="2"/>
  <c r="Y14" i="2"/>
  <c r="X14" i="2"/>
  <c r="W14" i="2"/>
  <c r="V14" i="2"/>
  <c r="U14" i="2"/>
  <c r="T14" i="2"/>
  <c r="S14" i="2"/>
  <c r="R14" i="2"/>
  <c r="Q14" i="2"/>
  <c r="P14" i="2"/>
  <c r="O14" i="2"/>
  <c r="N14" i="2"/>
  <c r="M14" i="2"/>
  <c r="L14" i="2"/>
  <c r="K14" i="2"/>
  <c r="J14" i="2"/>
  <c r="I14" i="2"/>
  <c r="H14" i="2"/>
  <c r="G14" i="2"/>
  <c r="F14" i="2"/>
  <c r="E14" i="2"/>
  <c r="D14" i="2"/>
  <c r="C14" i="2"/>
  <c r="B14" i="2"/>
  <c r="AL13" i="2"/>
  <c r="AK13" i="2"/>
  <c r="AD13" i="2"/>
  <c r="AC13" i="2"/>
  <c r="AA13" i="2"/>
  <c r="Z13" i="2"/>
  <c r="Y13" i="2"/>
  <c r="X13" i="2"/>
  <c r="W13" i="2"/>
  <c r="V13" i="2"/>
  <c r="U13" i="2"/>
  <c r="T13" i="2"/>
  <c r="S13" i="2"/>
  <c r="R13" i="2"/>
  <c r="Q13" i="2"/>
  <c r="P13" i="2"/>
  <c r="O13" i="2"/>
  <c r="N13" i="2"/>
  <c r="M13" i="2"/>
  <c r="L13" i="2"/>
  <c r="K13" i="2"/>
  <c r="J13" i="2"/>
  <c r="I13" i="2"/>
  <c r="H13" i="2"/>
  <c r="G13" i="2"/>
  <c r="F13" i="2"/>
  <c r="E13" i="2"/>
  <c r="D13" i="2"/>
  <c r="C13" i="2"/>
  <c r="B13" i="2"/>
  <c r="AL12" i="2"/>
  <c r="AK12" i="2"/>
  <c r="AI12" i="2"/>
  <c r="AH12" i="2"/>
  <c r="AG12" i="2"/>
  <c r="AF12" i="2"/>
  <c r="AE12" i="2"/>
  <c r="AD12" i="2"/>
  <c r="AC12" i="2"/>
  <c r="AB12" i="2"/>
  <c r="AA12" i="2"/>
  <c r="Z12" i="2"/>
  <c r="Y12" i="2"/>
  <c r="X12" i="2"/>
  <c r="W12" i="2"/>
  <c r="V12" i="2"/>
  <c r="U12" i="2"/>
  <c r="T12" i="2"/>
  <c r="S12" i="2"/>
  <c r="R12" i="2"/>
  <c r="Q12" i="2"/>
  <c r="P12" i="2"/>
  <c r="O12" i="2"/>
  <c r="N12" i="2"/>
  <c r="M12" i="2"/>
  <c r="L12" i="2"/>
  <c r="K12" i="2"/>
  <c r="J12" i="2"/>
  <c r="I12" i="2"/>
  <c r="H12" i="2"/>
  <c r="G12" i="2"/>
  <c r="F12" i="2"/>
  <c r="E12" i="2"/>
  <c r="D12" i="2"/>
  <c r="C12" i="2"/>
  <c r="B12" i="2"/>
  <c r="AL11" i="2"/>
  <c r="AK11" i="2"/>
  <c r="AF11" i="2"/>
  <c r="AE11" i="2"/>
  <c r="AD11" i="2"/>
  <c r="AC11" i="2"/>
  <c r="AB11" i="2"/>
  <c r="AA11" i="2"/>
  <c r="Z11" i="2"/>
  <c r="Y11" i="2"/>
  <c r="X11" i="2"/>
  <c r="W11" i="2"/>
  <c r="V11" i="2"/>
  <c r="U11" i="2"/>
  <c r="T11" i="2"/>
  <c r="S11" i="2"/>
  <c r="R11" i="2"/>
  <c r="Q11" i="2"/>
  <c r="P11" i="2"/>
  <c r="O11" i="2"/>
  <c r="N11" i="2"/>
  <c r="M11" i="2"/>
  <c r="L11" i="2"/>
  <c r="K11" i="2"/>
  <c r="J11" i="2"/>
  <c r="I11" i="2"/>
  <c r="H11" i="2"/>
  <c r="G11" i="2"/>
  <c r="F11" i="2"/>
  <c r="E11" i="2"/>
  <c r="D11" i="2"/>
  <c r="C11" i="2"/>
  <c r="B11" i="2"/>
  <c r="AL10" i="2"/>
  <c r="AK10" i="2"/>
  <c r="AF10" i="2"/>
  <c r="AE10" i="2"/>
  <c r="AD10" i="2"/>
  <c r="AC10" i="2"/>
  <c r="AB10" i="2"/>
  <c r="AA10" i="2"/>
  <c r="Z10" i="2"/>
  <c r="Y10" i="2"/>
  <c r="X10" i="2"/>
  <c r="W10" i="2"/>
  <c r="V10" i="2"/>
  <c r="U10" i="2"/>
  <c r="T10" i="2"/>
  <c r="S10" i="2"/>
  <c r="R10" i="2"/>
  <c r="Q10" i="2"/>
  <c r="P10" i="2"/>
  <c r="O10" i="2"/>
  <c r="N10" i="2"/>
  <c r="M10" i="2"/>
  <c r="L10" i="2"/>
  <c r="K10" i="2"/>
  <c r="J10" i="2"/>
  <c r="I10" i="2"/>
  <c r="H10" i="2"/>
  <c r="G10" i="2"/>
  <c r="F10" i="2"/>
  <c r="E10" i="2"/>
  <c r="D10" i="2"/>
  <c r="C10" i="2"/>
  <c r="B10" i="2"/>
  <c r="AL9" i="2"/>
  <c r="AK9" i="2"/>
  <c r="AF9" i="2"/>
  <c r="AE9" i="2"/>
  <c r="AD9" i="2"/>
  <c r="AC9" i="2"/>
  <c r="AB9" i="2"/>
  <c r="AA9" i="2"/>
  <c r="Z9" i="2"/>
  <c r="Y9" i="2"/>
  <c r="X9" i="2"/>
  <c r="W9" i="2"/>
  <c r="V9" i="2"/>
  <c r="U9" i="2"/>
  <c r="T9" i="2"/>
  <c r="S9" i="2"/>
  <c r="R9" i="2"/>
  <c r="Q9" i="2"/>
  <c r="P9" i="2"/>
  <c r="O9" i="2"/>
  <c r="N9" i="2"/>
  <c r="M9" i="2"/>
  <c r="L9" i="2"/>
  <c r="K9" i="2"/>
  <c r="J9" i="2"/>
  <c r="I9" i="2"/>
  <c r="H9" i="2"/>
  <c r="G9" i="2"/>
  <c r="F9" i="2"/>
  <c r="E9" i="2"/>
  <c r="D9" i="2"/>
  <c r="C9" i="2"/>
  <c r="B9" i="2"/>
  <c r="AL8" i="2"/>
  <c r="AK8" i="2"/>
  <c r="AE8" i="2"/>
  <c r="AD8" i="2"/>
  <c r="AC8" i="2"/>
  <c r="AB8" i="2"/>
  <c r="AA8" i="2"/>
  <c r="Z8" i="2"/>
  <c r="Y8" i="2"/>
  <c r="X8" i="2"/>
  <c r="W8" i="2"/>
  <c r="V8" i="2"/>
  <c r="U8" i="2"/>
  <c r="T8" i="2"/>
  <c r="S8" i="2"/>
  <c r="R8" i="2"/>
  <c r="Q8" i="2"/>
  <c r="P8" i="2"/>
  <c r="O8" i="2"/>
  <c r="N8" i="2"/>
  <c r="M8" i="2"/>
  <c r="L8" i="2"/>
  <c r="K8" i="2"/>
  <c r="J8" i="2"/>
  <c r="I8" i="2"/>
  <c r="H8" i="2"/>
  <c r="G8" i="2"/>
  <c r="F8" i="2"/>
  <c r="E8" i="2"/>
  <c r="D8" i="2"/>
  <c r="C8" i="2"/>
  <c r="B8" i="2"/>
  <c r="AL7" i="2"/>
  <c r="AK7" i="2"/>
  <c r="AE7" i="2"/>
  <c r="AD7" i="2"/>
  <c r="AC7" i="2"/>
  <c r="AB7" i="2"/>
  <c r="AA7" i="2"/>
  <c r="Z7" i="2"/>
  <c r="Y7" i="2"/>
  <c r="X7" i="2"/>
  <c r="W7" i="2"/>
  <c r="V7" i="2"/>
  <c r="U7" i="2"/>
  <c r="T7" i="2"/>
  <c r="S7" i="2"/>
  <c r="R7" i="2"/>
  <c r="Q7" i="2"/>
  <c r="P7" i="2"/>
  <c r="O7" i="2"/>
  <c r="N7" i="2"/>
  <c r="M7" i="2"/>
  <c r="L7" i="2"/>
  <c r="K7" i="2"/>
  <c r="J7" i="2"/>
  <c r="I7" i="2"/>
  <c r="H7" i="2"/>
  <c r="G7" i="2"/>
  <c r="F7" i="2"/>
  <c r="E7" i="2"/>
  <c r="D7" i="2"/>
  <c r="C7" i="2"/>
  <c r="B7" i="2"/>
  <c r="AL6" i="2"/>
  <c r="AK6" i="2"/>
  <c r="AH6" i="2"/>
  <c r="AF6" i="2"/>
  <c r="AE6" i="2"/>
  <c r="AD6" i="2"/>
  <c r="AC6" i="2"/>
  <c r="AB6" i="2"/>
  <c r="AA6" i="2"/>
  <c r="Z6" i="2"/>
  <c r="Y6" i="2"/>
  <c r="X6" i="2"/>
  <c r="W6" i="2"/>
  <c r="V6" i="2"/>
  <c r="U6" i="2"/>
  <c r="T6" i="2"/>
  <c r="S6" i="2"/>
  <c r="R6" i="2"/>
  <c r="Q6" i="2"/>
  <c r="P6" i="2"/>
  <c r="O6" i="2"/>
  <c r="N6" i="2"/>
  <c r="M6" i="2"/>
  <c r="L6" i="2"/>
  <c r="K6" i="2"/>
  <c r="J6" i="2"/>
  <c r="I6" i="2"/>
  <c r="H6" i="2"/>
  <c r="G6" i="2"/>
  <c r="F6" i="2"/>
  <c r="E6" i="2"/>
  <c r="D6" i="2"/>
  <c r="C6" i="2"/>
  <c r="B6" i="2"/>
  <c r="AL5" i="2"/>
  <c r="AK5" i="2"/>
  <c r="AG5" i="2"/>
  <c r="AF5" i="2"/>
  <c r="AE5" i="2"/>
  <c r="AD5" i="2"/>
  <c r="AC5" i="2"/>
  <c r="AB5" i="2"/>
  <c r="AA5" i="2"/>
  <c r="Z5" i="2"/>
  <c r="Y5" i="2"/>
  <c r="X5" i="2"/>
  <c r="W5" i="2"/>
  <c r="V5" i="2"/>
  <c r="U5" i="2"/>
  <c r="T5" i="2"/>
  <c r="S5" i="2"/>
  <c r="R5" i="2"/>
  <c r="Q5" i="2"/>
  <c r="P5" i="2"/>
  <c r="O5" i="2"/>
  <c r="N5" i="2"/>
  <c r="M5" i="2"/>
  <c r="L5" i="2"/>
  <c r="K5" i="2"/>
  <c r="J5" i="2"/>
  <c r="I5" i="2"/>
  <c r="H5" i="2"/>
  <c r="G5" i="2"/>
  <c r="F5" i="2"/>
  <c r="E5" i="2"/>
  <c r="D5" i="2"/>
  <c r="C5" i="2"/>
  <c r="B5" i="2"/>
  <c r="AL4" i="2"/>
  <c r="AK4" i="2"/>
  <c r="AD4" i="2"/>
  <c r="AC4" i="2"/>
  <c r="AB4" i="2"/>
  <c r="AA4" i="2"/>
  <c r="Z4" i="2"/>
  <c r="Y4" i="2"/>
  <c r="X4" i="2"/>
  <c r="W4" i="2"/>
  <c r="V4" i="2"/>
  <c r="U4" i="2"/>
  <c r="T4" i="2"/>
  <c r="S4" i="2"/>
  <c r="R4" i="2"/>
  <c r="Q4" i="2"/>
  <c r="P4" i="2"/>
  <c r="O4" i="2"/>
  <c r="N4" i="2"/>
  <c r="M4" i="2"/>
  <c r="L4" i="2"/>
  <c r="K4" i="2"/>
  <c r="J4" i="2"/>
  <c r="I4" i="2"/>
  <c r="H4" i="2"/>
  <c r="G4" i="2"/>
  <c r="F4" i="2"/>
  <c r="E4" i="2"/>
  <c r="D4" i="2"/>
  <c r="C4" i="2"/>
  <c r="B4" i="2"/>
  <c r="AL3" i="2"/>
  <c r="AK3" i="2"/>
  <c r="AF3" i="2"/>
  <c r="AE3" i="2"/>
  <c r="AD3" i="2"/>
  <c r="AC3" i="2"/>
  <c r="AB3" i="2"/>
  <c r="AA3" i="2"/>
  <c r="Z3" i="2"/>
  <c r="Y3" i="2"/>
  <c r="X3" i="2"/>
  <c r="W3" i="2"/>
  <c r="V3" i="2"/>
  <c r="U3" i="2"/>
  <c r="T3" i="2"/>
  <c r="S3" i="2"/>
  <c r="R3" i="2"/>
  <c r="Q3" i="2"/>
  <c r="P3" i="2"/>
  <c r="O3" i="2"/>
  <c r="N3" i="2"/>
  <c r="M3" i="2"/>
  <c r="L3" i="2"/>
  <c r="K3" i="2"/>
  <c r="J3" i="2"/>
  <c r="I3" i="2"/>
  <c r="H3" i="2"/>
  <c r="G3" i="2"/>
  <c r="F3" i="2"/>
  <c r="E3" i="2"/>
  <c r="D3" i="2"/>
  <c r="C3" i="2"/>
  <c r="B3" i="2"/>
  <c r="AL2" i="2"/>
  <c r="AM2" i="2" s="1"/>
  <c r="AK2" i="2"/>
  <c r="AF2" i="2"/>
  <c r="AE2" i="2"/>
  <c r="AD2" i="2"/>
  <c r="AC2" i="2"/>
  <c r="AB2" i="2"/>
  <c r="AA2" i="2"/>
  <c r="Z2" i="2"/>
  <c r="Y2" i="2"/>
  <c r="X2" i="2"/>
  <c r="W2" i="2"/>
  <c r="V2" i="2"/>
  <c r="U2" i="2"/>
  <c r="T2" i="2"/>
  <c r="S2" i="2"/>
  <c r="R2" i="2"/>
  <c r="Q2" i="2"/>
  <c r="P2" i="2"/>
  <c r="O2" i="2"/>
  <c r="N2" i="2"/>
  <c r="M2" i="2"/>
  <c r="L2" i="2"/>
  <c r="K2" i="2"/>
  <c r="J2" i="2"/>
  <c r="I2" i="2"/>
  <c r="H2" i="2"/>
  <c r="G2" i="2"/>
  <c r="F2" i="2"/>
  <c r="E2" i="2"/>
  <c r="D2" i="2"/>
  <c r="C2" i="2"/>
  <c r="B2" i="2"/>
  <c r="B13" i="1"/>
  <c r="B12" i="1"/>
  <c r="B11" i="1"/>
  <c r="H9" i="1"/>
  <c r="H8" i="1"/>
  <c r="H7" i="1"/>
  <c r="H6" i="1"/>
  <c r="H5" i="1"/>
  <c r="AI201" i="2" l="1"/>
  <c r="AD201" i="2"/>
  <c r="V201" i="2"/>
  <c r="X201" i="2"/>
  <c r="AB201" i="2"/>
  <c r="AE201" i="2"/>
  <c r="AG201" i="2"/>
  <c r="S201" i="2"/>
  <c r="Y201" i="2"/>
  <c r="AA201" i="2"/>
  <c r="W201" i="2"/>
  <c r="U201" i="2"/>
  <c r="AH201" i="2"/>
  <c r="AF201" i="2"/>
  <c r="AC201" i="2"/>
  <c r="Z201" i="2"/>
  <c r="AG200" i="2"/>
  <c r="AH200" i="2"/>
  <c r="AI200" i="2"/>
  <c r="AH199" i="2"/>
  <c r="AI199" i="2"/>
  <c r="AI198" i="2"/>
  <c r="AE198" i="2"/>
  <c r="AF198" i="2"/>
  <c r="AG198" i="2"/>
  <c r="AH198" i="2"/>
  <c r="AI197" i="2"/>
  <c r="AH197" i="2"/>
  <c r="AE197" i="2"/>
  <c r="AG197" i="2"/>
  <c r="AF197" i="2"/>
  <c r="AG196" i="2"/>
  <c r="AH196" i="2"/>
  <c r="AI196" i="2"/>
  <c r="AH195" i="2"/>
  <c r="AI195" i="2"/>
  <c r="AH194" i="2"/>
  <c r="AI194" i="2"/>
  <c r="AI193" i="2"/>
  <c r="AG193" i="2"/>
  <c r="AH193" i="2"/>
  <c r="AH192" i="2"/>
  <c r="AD192" i="2"/>
  <c r="AI192" i="2"/>
  <c r="AG192" i="2"/>
  <c r="AI191" i="2"/>
  <c r="AH191" i="2"/>
  <c r="AH188" i="2"/>
  <c r="AI188" i="2"/>
  <c r="AI187" i="2"/>
  <c r="AH187" i="2"/>
  <c r="AG187" i="2"/>
  <c r="AF187" i="2"/>
  <c r="AI186" i="2"/>
  <c r="AH186" i="2"/>
  <c r="AG186" i="2"/>
  <c r="AF186" i="2"/>
  <c r="AG184" i="2"/>
  <c r="AI184" i="2"/>
  <c r="AH184" i="2"/>
  <c r="AF184" i="2"/>
  <c r="AI183" i="2"/>
  <c r="AG183" i="2"/>
  <c r="AE183" i="2"/>
  <c r="AH183" i="2"/>
  <c r="AG180" i="2"/>
  <c r="AI180" i="2"/>
  <c r="AH180" i="2"/>
  <c r="AI179" i="2"/>
  <c r="AH179" i="2"/>
  <c r="AI178" i="2"/>
  <c r="AH178" i="2"/>
  <c r="AG178" i="2"/>
  <c r="AI177" i="2"/>
  <c r="AH177" i="2"/>
  <c r="AI176" i="2"/>
  <c r="AH176" i="2"/>
  <c r="AH175" i="2"/>
  <c r="AI175" i="2"/>
  <c r="AH174" i="2"/>
  <c r="AI174" i="2"/>
  <c r="AH167" i="2"/>
  <c r="AD167" i="2"/>
  <c r="AI167" i="2"/>
  <c r="AF167" i="2"/>
  <c r="AA167" i="2"/>
  <c r="AB167" i="2"/>
  <c r="AE167" i="2"/>
  <c r="AG167" i="2"/>
  <c r="AC167" i="2"/>
  <c r="AG146" i="2"/>
  <c r="AH146" i="2"/>
  <c r="AF146" i="2"/>
  <c r="AI146" i="2"/>
  <c r="AH145" i="2"/>
  <c r="AG145" i="2"/>
  <c r="AI145" i="2"/>
  <c r="AF144" i="2"/>
  <c r="AI144" i="2"/>
  <c r="AG144" i="2"/>
  <c r="AE144" i="2"/>
  <c r="AD144" i="2"/>
  <c r="AH144" i="2"/>
  <c r="AI143" i="2"/>
  <c r="AG143" i="2"/>
  <c r="AH143" i="2"/>
  <c r="AH141" i="2"/>
  <c r="AI141" i="2"/>
  <c r="AG141" i="2"/>
  <c r="AI140" i="2"/>
  <c r="AH140" i="2"/>
  <c r="AI139" i="2"/>
  <c r="AH139" i="2"/>
  <c r="AF139" i="2"/>
  <c r="AG139" i="2"/>
  <c r="AH129" i="2"/>
  <c r="AI129" i="2"/>
  <c r="AG129" i="2"/>
  <c r="AE129" i="2"/>
  <c r="AG128" i="2"/>
  <c r="AI128" i="2"/>
  <c r="AF128" i="2"/>
  <c r="AH128" i="2"/>
  <c r="AH110" i="2"/>
  <c r="AF110" i="2"/>
  <c r="AI110" i="2"/>
  <c r="AG110" i="2"/>
  <c r="AG109" i="2"/>
  <c r="AH109" i="2"/>
  <c r="AI109" i="2"/>
  <c r="AI108" i="2"/>
  <c r="AH108" i="2"/>
  <c r="AI107" i="2"/>
  <c r="AH107" i="2"/>
  <c r="AI106" i="2"/>
  <c r="AG106" i="2"/>
  <c r="AG104" i="2"/>
  <c r="AI104" i="2"/>
  <c r="AF104" i="2"/>
  <c r="AH104" i="2"/>
  <c r="AI103" i="2"/>
  <c r="AG103" i="2"/>
  <c r="AH103" i="2"/>
  <c r="AH102" i="2"/>
  <c r="AG102" i="2"/>
  <c r="AI102" i="2"/>
  <c r="AG101" i="2"/>
  <c r="AI101" i="2"/>
  <c r="AH101" i="2"/>
  <c r="AH100" i="2"/>
  <c r="AG100" i="2"/>
  <c r="AI100" i="2"/>
  <c r="AG98" i="2"/>
  <c r="AI98" i="2"/>
  <c r="AH98" i="2"/>
  <c r="AI97" i="2"/>
  <c r="AH97" i="2"/>
  <c r="AG96" i="2"/>
  <c r="AH96" i="2"/>
  <c r="AI96" i="2"/>
  <c r="AH94" i="2"/>
  <c r="AG94" i="2"/>
  <c r="AI94" i="2"/>
  <c r="AI93" i="2"/>
  <c r="AH93" i="2"/>
  <c r="AG93" i="2"/>
  <c r="AI91" i="2"/>
  <c r="AF91" i="2"/>
  <c r="AG91" i="2"/>
  <c r="AH91" i="2"/>
  <c r="AI90" i="2"/>
  <c r="AH90" i="2"/>
  <c r="AI89" i="2"/>
  <c r="AH89" i="2"/>
  <c r="AG89" i="2"/>
  <c r="AF89" i="2"/>
  <c r="AH88" i="2"/>
  <c r="AI88" i="2"/>
  <c r="AG85" i="2"/>
  <c r="AH85" i="2"/>
  <c r="AI85" i="2"/>
  <c r="AI84" i="2"/>
  <c r="AH84" i="2"/>
  <c r="AH82" i="2"/>
  <c r="AI82" i="2"/>
  <c r="AF82" i="2"/>
  <c r="AG82" i="2"/>
  <c r="AE82" i="2"/>
  <c r="AI81" i="2"/>
  <c r="AH81" i="2"/>
  <c r="AI79" i="2"/>
  <c r="AH79" i="2"/>
  <c r="AI78" i="2"/>
  <c r="AH78" i="2"/>
  <c r="AF76" i="2"/>
  <c r="AE76" i="2"/>
  <c r="AI76" i="2"/>
  <c r="AH76" i="2"/>
  <c r="AG76" i="2"/>
  <c r="AG75" i="2"/>
  <c r="AF75" i="2"/>
  <c r="AH75" i="2"/>
  <c r="AI75" i="2"/>
  <c r="AI72" i="2"/>
  <c r="AH72" i="2"/>
  <c r="AG72" i="2"/>
  <c r="AF70" i="2"/>
  <c r="AI70" i="2"/>
  <c r="AG70" i="2"/>
  <c r="AH70" i="2"/>
  <c r="AH69" i="2"/>
  <c r="AI69" i="2"/>
  <c r="AH68" i="2"/>
  <c r="AG68" i="2"/>
  <c r="AI68" i="2"/>
  <c r="AG67" i="2"/>
  <c r="AF67" i="2"/>
  <c r="AH67" i="2"/>
  <c r="AI67" i="2"/>
  <c r="AH66" i="2"/>
  <c r="AG66" i="2"/>
  <c r="AI66" i="2"/>
  <c r="AF66" i="2"/>
  <c r="AI65" i="2"/>
  <c r="AH65" i="2"/>
  <c r="AI64" i="2"/>
  <c r="AG64" i="2"/>
  <c r="AH64" i="2"/>
  <c r="AF64" i="2"/>
  <c r="AI62" i="2"/>
  <c r="AH62" i="2"/>
  <c r="AG16" i="2"/>
  <c r="AH16" i="2"/>
  <c r="AI16" i="2"/>
  <c r="AF16" i="2"/>
  <c r="AG15" i="2"/>
  <c r="AI15" i="2"/>
  <c r="AH15" i="2"/>
  <c r="AG14" i="2"/>
  <c r="AF14" i="2"/>
  <c r="AH14" i="2"/>
  <c r="AI14" i="2"/>
  <c r="AE13" i="2"/>
  <c r="AI13" i="2"/>
  <c r="AG13" i="2"/>
  <c r="AF13" i="2"/>
  <c r="AB13" i="2"/>
  <c r="AH13" i="2"/>
  <c r="AH11" i="2"/>
  <c r="AG11" i="2"/>
  <c r="AI11" i="2"/>
  <c r="AI10" i="2"/>
  <c r="AG10" i="2"/>
  <c r="AH10" i="2"/>
  <c r="AH9" i="2"/>
  <c r="AI9" i="2"/>
  <c r="AG9" i="2"/>
  <c r="AF8" i="2"/>
  <c r="AI8" i="2"/>
  <c r="AH8" i="2"/>
  <c r="AG8" i="2"/>
  <c r="AI7" i="2"/>
  <c r="AF7" i="2"/>
  <c r="AG7" i="2"/>
  <c r="AH7" i="2"/>
  <c r="AG6" i="2"/>
  <c r="AI6" i="2"/>
  <c r="AI5" i="2"/>
  <c r="AH5" i="2"/>
  <c r="AH4" i="2"/>
  <c r="AI4" i="2"/>
  <c r="AG4" i="2"/>
  <c r="AE4" i="2"/>
  <c r="AF4" i="2"/>
  <c r="AI3" i="2"/>
  <c r="AH3" i="2"/>
  <c r="AG3" i="2"/>
  <c r="AH2" i="2"/>
  <c r="AG2" i="2"/>
  <c r="AI2" i="2"/>
  <c r="G187" i="2"/>
  <c r="H187" i="2"/>
  <c r="I187" i="2"/>
  <c r="J187" i="2"/>
  <c r="K187" i="2"/>
  <c r="F187" i="2"/>
  <c r="M187" i="2"/>
  <c r="E187" i="2"/>
  <c r="D187" i="2"/>
  <c r="B187" i="2"/>
  <c r="C187" i="2"/>
  <c r="L187" i="2"/>
  <c r="AK173" i="2"/>
  <c r="AK172" i="2"/>
  <c r="AK171" i="2"/>
  <c r="AK169" i="2"/>
  <c r="AK168" i="2"/>
  <c r="AK166" i="2"/>
  <c r="AK165" i="2"/>
  <c r="AK164" i="2"/>
  <c r="AK163" i="2"/>
  <c r="AK162" i="2"/>
  <c r="AI161" i="2"/>
  <c r="AH161" i="2"/>
  <c r="AK160" i="2"/>
  <c r="AK159" i="2"/>
  <c r="AK158" i="2"/>
  <c r="AK157" i="2"/>
  <c r="AK156" i="2"/>
  <c r="AK155" i="2"/>
  <c r="AK154" i="2"/>
  <c r="AK153" i="2"/>
  <c r="AK152" i="2"/>
  <c r="AK151" i="2"/>
  <c r="AK150" i="2"/>
  <c r="AK149" i="2"/>
  <c r="AK138" i="2"/>
  <c r="AK137" i="2"/>
  <c r="AK136" i="2"/>
  <c r="AK135" i="2"/>
  <c r="AK134" i="2"/>
  <c r="AK133" i="2"/>
  <c r="AK132" i="2"/>
  <c r="AK131" i="2"/>
  <c r="AK127" i="2"/>
  <c r="AK126" i="2"/>
  <c r="AK125" i="2"/>
  <c r="AK124" i="2"/>
  <c r="AK123" i="2"/>
  <c r="AK122" i="2"/>
  <c r="AK121" i="2"/>
  <c r="AK120" i="2"/>
  <c r="AK119" i="2"/>
  <c r="AK118" i="2"/>
  <c r="AK117" i="2"/>
  <c r="AK116" i="2"/>
  <c r="AK115" i="2"/>
  <c r="AK114" i="2"/>
  <c r="AK113" i="2"/>
  <c r="AK112" i="2"/>
  <c r="G93" i="2"/>
  <c r="M93" i="2"/>
  <c r="AA93" i="2"/>
  <c r="O93" i="2"/>
  <c r="N93" i="2"/>
  <c r="Z93" i="2"/>
  <c r="Y93" i="2"/>
  <c r="E93" i="2"/>
  <c r="D93" i="2"/>
  <c r="C93" i="2"/>
  <c r="B93" i="2"/>
  <c r="X93" i="2"/>
  <c r="W93" i="2"/>
  <c r="V93" i="2"/>
  <c r="U93" i="2"/>
  <c r="T93" i="2"/>
  <c r="J93" i="2"/>
  <c r="K93" i="2"/>
  <c r="S93" i="2"/>
  <c r="L93" i="2"/>
  <c r="R93" i="2"/>
  <c r="Q93" i="2"/>
  <c r="I93" i="2"/>
  <c r="F93" i="2"/>
  <c r="H93" i="2"/>
  <c r="P93" i="2"/>
  <c r="AK74" i="2"/>
  <c r="AK61" i="2"/>
  <c r="AK60" i="2"/>
  <c r="AK59" i="2"/>
  <c r="AK58" i="2"/>
  <c r="AK57" i="2"/>
  <c r="AK56" i="2"/>
  <c r="AK55" i="2"/>
  <c r="AK54" i="2"/>
  <c r="AK53" i="2"/>
  <c r="AK52" i="2"/>
  <c r="AK51" i="2"/>
  <c r="AK50" i="2"/>
  <c r="H49" i="2"/>
  <c r="M49" i="2"/>
  <c r="AB49" i="2"/>
  <c r="AH49" i="2"/>
  <c r="B49" i="2"/>
  <c r="J49" i="2"/>
  <c r="Y49" i="2"/>
  <c r="AC49" i="2"/>
  <c r="AI49" i="2"/>
  <c r="C49" i="2"/>
  <c r="K49" i="2"/>
  <c r="S49" i="2"/>
  <c r="X49" i="2"/>
  <c r="AD49" i="2"/>
  <c r="D49" i="2"/>
  <c r="I49" i="2"/>
  <c r="R49" i="2"/>
  <c r="W49" i="2"/>
  <c r="AE49" i="2"/>
  <c r="L49" i="2"/>
  <c r="O49" i="2"/>
  <c r="V49" i="2"/>
  <c r="Z49" i="2"/>
  <c r="AF49" i="2"/>
  <c r="F49" i="2"/>
  <c r="N49" i="2"/>
  <c r="P49" i="2"/>
  <c r="T49" i="2"/>
  <c r="E49" i="2"/>
  <c r="G49" i="2"/>
  <c r="Q49" i="2"/>
  <c r="U49" i="2"/>
  <c r="AA49" i="2"/>
  <c r="AG49" i="2"/>
  <c r="AK48" i="2"/>
  <c r="AK47" i="2"/>
  <c r="AK46" i="2"/>
  <c r="AK45" i="2"/>
  <c r="AK44" i="2"/>
  <c r="AK43" i="2"/>
  <c r="AK42" i="2"/>
  <c r="AK41" i="2"/>
  <c r="AK40" i="2"/>
  <c r="AK39" i="2"/>
  <c r="AK38" i="2"/>
  <c r="AK37" i="2"/>
  <c r="AK36" i="2"/>
  <c r="AK35" i="2"/>
  <c r="AK34" i="2"/>
  <c r="AK33" i="2"/>
  <c r="AH32" i="2"/>
  <c r="AI32" i="2"/>
  <c r="AD32" i="2"/>
  <c r="AG32" i="2"/>
  <c r="AK31" i="2"/>
  <c r="AK30" i="2"/>
  <c r="AK29" i="2"/>
  <c r="C28" i="2"/>
  <c r="I28" i="2"/>
  <c r="AB28" i="2"/>
  <c r="AD28" i="2"/>
  <c r="AF28" i="2"/>
  <c r="J28" i="2"/>
  <c r="AA28" i="2"/>
  <c r="AI28" i="2"/>
  <c r="K28" i="2"/>
  <c r="O28" i="2"/>
  <c r="T28" i="2"/>
  <c r="D28" i="2"/>
  <c r="Z28" i="2"/>
  <c r="AC28" i="2"/>
  <c r="AH28" i="2"/>
  <c r="H28" i="2"/>
  <c r="AE28" i="2"/>
  <c r="B28" i="2"/>
  <c r="W28" i="2"/>
  <c r="X28" i="2"/>
  <c r="Y28" i="2"/>
  <c r="AG28" i="2"/>
  <c r="G28" i="2"/>
  <c r="M28" i="2"/>
  <c r="S28" i="2"/>
  <c r="L28" i="2"/>
  <c r="Q28" i="2"/>
  <c r="U28" i="2"/>
  <c r="F28" i="2"/>
  <c r="P28" i="2"/>
  <c r="V28" i="2"/>
  <c r="E28" i="2"/>
  <c r="N28" i="2"/>
  <c r="R28" i="2"/>
  <c r="AK27" i="2"/>
  <c r="AK26" i="2"/>
  <c r="AK25" i="2"/>
  <c r="AK24" i="2"/>
  <c r="AK23" i="2"/>
  <c r="AK22" i="2"/>
  <c r="AK21" i="2"/>
  <c r="AK20" i="2"/>
  <c r="AM19" i="2"/>
  <c r="AM20" i="2" s="1"/>
  <c r="AM21" i="2" s="1"/>
  <c r="AM22" i="2" s="1"/>
  <c r="AM23" i="2" s="1"/>
  <c r="AM24" i="2" s="1"/>
  <c r="AM25" i="2" s="1"/>
  <c r="AM26" i="2" s="1"/>
  <c r="AM27" i="2" s="1"/>
  <c r="AM28" i="2" s="1"/>
  <c r="AM29" i="2" s="1"/>
  <c r="AM30" i="2" s="1"/>
  <c r="AM31" i="2" s="1"/>
  <c r="AM32" i="2" s="1"/>
  <c r="AM33" i="2" s="1"/>
  <c r="AM34" i="2" s="1"/>
  <c r="AM35" i="2" s="1"/>
  <c r="AM36" i="2" s="1"/>
  <c r="AM37" i="2" s="1"/>
  <c r="AM38" i="2" s="1"/>
  <c r="AM39" i="2" s="1"/>
  <c r="AM40" i="2" s="1"/>
  <c r="AM41" i="2" s="1"/>
  <c r="AM42" i="2" s="1"/>
  <c r="AM43" i="2" s="1"/>
  <c r="AM44" i="2" s="1"/>
  <c r="AM45" i="2" s="1"/>
  <c r="AM46" i="2" s="1"/>
  <c r="AM47" i="2" s="1"/>
  <c r="AM48" i="2" s="1"/>
  <c r="AM49" i="2" s="1"/>
  <c r="AM50" i="2" s="1"/>
  <c r="AM51" i="2" s="1"/>
  <c r="AM52" i="2" s="1"/>
  <c r="AM53" i="2" s="1"/>
  <c r="AM54" i="2" s="1"/>
  <c r="AM55" i="2" s="1"/>
  <c r="AM56" i="2" s="1"/>
  <c r="AM57" i="2" s="1"/>
  <c r="AM58" i="2" s="1"/>
  <c r="AM59" i="2" s="1"/>
  <c r="AM60" i="2" s="1"/>
  <c r="AM61" i="2" s="1"/>
  <c r="AM62" i="2" s="1"/>
  <c r="AM63" i="2" s="1"/>
  <c r="AM64" i="2" s="1"/>
  <c r="AM65" i="2" s="1"/>
  <c r="AM66" i="2" s="1"/>
  <c r="AM67" i="2" s="1"/>
  <c r="AM68" i="2" s="1"/>
  <c r="AM69" i="2" s="1"/>
  <c r="AM70" i="2" s="1"/>
  <c r="AM71" i="2" s="1"/>
  <c r="AM72" i="2" s="1"/>
  <c r="AM73" i="2" s="1"/>
  <c r="AM74" i="2" s="1"/>
  <c r="AM75" i="2" s="1"/>
  <c r="AM76" i="2" s="1"/>
  <c r="AM77" i="2" s="1"/>
  <c r="AM78" i="2" s="1"/>
  <c r="AM79" i="2" s="1"/>
  <c r="AM80" i="2" s="1"/>
  <c r="AM81" i="2" s="1"/>
  <c r="AM82" i="2" s="1"/>
  <c r="AM83" i="2" s="1"/>
  <c r="AM84" i="2" s="1"/>
  <c r="AM85" i="2" s="1"/>
  <c r="AM86" i="2" s="1"/>
  <c r="AM87" i="2" s="1"/>
  <c r="AM88" i="2" s="1"/>
  <c r="AM89" i="2" s="1"/>
  <c r="AM90" i="2" s="1"/>
  <c r="AM91" i="2" s="1"/>
  <c r="AM92" i="2" s="1"/>
  <c r="AM93" i="2" s="1"/>
  <c r="AM94" i="2" s="1"/>
  <c r="AM95" i="2" s="1"/>
  <c r="AM96" i="2" s="1"/>
  <c r="AM97" i="2" s="1"/>
  <c r="AM98" i="2" s="1"/>
  <c r="AM99" i="2" s="1"/>
  <c r="AM100" i="2" s="1"/>
  <c r="AM101" i="2" s="1"/>
  <c r="AM102" i="2" s="1"/>
  <c r="AM103" i="2" s="1"/>
  <c r="AM104" i="2" s="1"/>
  <c r="AM105" i="2" s="1"/>
  <c r="AM106" i="2" s="1"/>
  <c r="AM107" i="2" s="1"/>
  <c r="AM108" i="2" s="1"/>
  <c r="AM109" i="2" s="1"/>
  <c r="AM110" i="2" s="1"/>
  <c r="AM111" i="2" s="1"/>
  <c r="AM112" i="2" s="1"/>
  <c r="AM113" i="2" s="1"/>
  <c r="AM114" i="2" s="1"/>
  <c r="AM115" i="2" s="1"/>
  <c r="AM116" i="2" s="1"/>
  <c r="AM117" i="2" s="1"/>
  <c r="AM118" i="2" s="1"/>
  <c r="AM119" i="2" s="1"/>
  <c r="AM120" i="2" s="1"/>
  <c r="AM121" i="2" s="1"/>
  <c r="AM122" i="2" s="1"/>
  <c r="AM123" i="2" s="1"/>
  <c r="AM124" i="2" s="1"/>
  <c r="AM125" i="2" s="1"/>
  <c r="AM126" i="2" s="1"/>
  <c r="AM127" i="2" s="1"/>
  <c r="AM128" i="2" s="1"/>
  <c r="AM129" i="2" s="1"/>
  <c r="AM130" i="2" s="1"/>
  <c r="AM131" i="2" s="1"/>
  <c r="AM132" i="2" s="1"/>
  <c r="AM133" i="2" s="1"/>
  <c r="AM134" i="2" s="1"/>
  <c r="AM135" i="2" s="1"/>
  <c r="AM136" i="2" s="1"/>
  <c r="AM137" i="2" s="1"/>
  <c r="AM138" i="2" s="1"/>
  <c r="AM139" i="2" s="1"/>
  <c r="AM140" i="2" s="1"/>
  <c r="AM141" i="2" s="1"/>
  <c r="AM142" i="2" s="1"/>
  <c r="AM143" i="2" s="1"/>
  <c r="AM144" i="2" s="1"/>
  <c r="AM145" i="2" s="1"/>
  <c r="AM146" i="2" s="1"/>
  <c r="AM147" i="2" s="1"/>
  <c r="AM148" i="2" s="1"/>
  <c r="AM149" i="2" s="1"/>
  <c r="AM150" i="2" s="1"/>
  <c r="AM151" i="2" s="1"/>
  <c r="AM152" i="2" s="1"/>
  <c r="AM153" i="2" s="1"/>
  <c r="AM154" i="2" s="1"/>
  <c r="AM155" i="2" s="1"/>
  <c r="AM156" i="2" s="1"/>
  <c r="AM157" i="2" s="1"/>
  <c r="AM158" i="2" s="1"/>
  <c r="AM159" i="2" s="1"/>
  <c r="AM160" i="2" s="1"/>
  <c r="AM161" i="2" s="1"/>
  <c r="AM162" i="2" s="1"/>
  <c r="AM163" i="2" s="1"/>
  <c r="AM164" i="2" s="1"/>
  <c r="AM165" i="2" s="1"/>
  <c r="AM166" i="2" s="1"/>
  <c r="AM167" i="2" s="1"/>
  <c r="AM168" i="2" s="1"/>
  <c r="AM169" i="2" s="1"/>
  <c r="AM170" i="2" s="1"/>
  <c r="AM171" i="2" s="1"/>
  <c r="AM172" i="2" s="1"/>
  <c r="AM173" i="2" s="1"/>
  <c r="AM174" i="2" s="1"/>
  <c r="AM175" i="2" s="1"/>
  <c r="AM176" i="2" s="1"/>
  <c r="AM177" i="2" s="1"/>
  <c r="AM178" i="2" s="1"/>
  <c r="AM179" i="2" s="1"/>
  <c r="AM180" i="2" s="1"/>
  <c r="AM181" i="2" s="1"/>
  <c r="AM182" i="2" s="1"/>
  <c r="AM183" i="2" s="1"/>
  <c r="AM184" i="2" s="1"/>
  <c r="AM185" i="2" s="1"/>
  <c r="AM186" i="2" s="1"/>
  <c r="AM187" i="2" s="1"/>
  <c r="AM188" i="2" s="1"/>
  <c r="AM189" i="2" s="1"/>
  <c r="AM190" i="2" s="1"/>
  <c r="AM191" i="2" s="1"/>
  <c r="AM192" i="2" s="1"/>
  <c r="AM193" i="2" s="1"/>
  <c r="AM194" i="2" s="1"/>
  <c r="AM195" i="2" s="1"/>
  <c r="AM196" i="2" s="1"/>
  <c r="AM197" i="2" s="1"/>
  <c r="AM198" i="2" s="1"/>
  <c r="AM199" i="2" s="1"/>
  <c r="AM200" i="2" s="1"/>
  <c r="AM201" i="2" s="1"/>
  <c r="AN1" i="2" s="1"/>
  <c r="AK19" i="2"/>
  <c r="AM3" i="2"/>
  <c r="AM4" i="2" s="1"/>
  <c r="AM5" i="2" s="1"/>
  <c r="AM6" i="2" s="1"/>
  <c r="AM7" i="2" s="1"/>
  <c r="AM8" i="2" s="1"/>
  <c r="AM9" i="2" s="1"/>
  <c r="AM10" i="2" s="1"/>
  <c r="AM11" i="2" s="1"/>
  <c r="AM12" i="2" s="1"/>
  <c r="AM13" i="2" s="1"/>
  <c r="AM14" i="2" s="1"/>
  <c r="AM15" i="2" s="1"/>
  <c r="AM16" i="2" s="1"/>
  <c r="AM17" i="2" s="1"/>
  <c r="AM18" i="2" s="1"/>
  <c r="B173" i="2" l="1"/>
  <c r="C173" i="2"/>
  <c r="F173" i="2"/>
  <c r="H173" i="2"/>
  <c r="I173" i="2"/>
  <c r="K173" i="2"/>
  <c r="M173" i="2"/>
  <c r="O173" i="2"/>
  <c r="Q173" i="2"/>
  <c r="T173" i="2"/>
  <c r="U173" i="2"/>
  <c r="W173" i="2"/>
  <c r="Y173" i="2"/>
  <c r="AB173" i="2"/>
  <c r="AE173" i="2"/>
  <c r="D173" i="2"/>
  <c r="E173" i="2"/>
  <c r="G173" i="2"/>
  <c r="J173" i="2"/>
  <c r="L173" i="2"/>
  <c r="N173" i="2"/>
  <c r="P173" i="2"/>
  <c r="R173" i="2"/>
  <c r="S173" i="2"/>
  <c r="V173" i="2"/>
  <c r="X173" i="2"/>
  <c r="Z173" i="2"/>
  <c r="AA173" i="2"/>
  <c r="AC173" i="2"/>
  <c r="AD173" i="2"/>
  <c r="AF173" i="2"/>
  <c r="AG173" i="2"/>
  <c r="AH173" i="2"/>
  <c r="AI173" i="2"/>
  <c r="C172" i="2"/>
  <c r="D172" i="2"/>
  <c r="F172" i="2"/>
  <c r="H172" i="2"/>
  <c r="K172" i="2"/>
  <c r="N172" i="2"/>
  <c r="P172" i="2"/>
  <c r="R172" i="2"/>
  <c r="T172" i="2"/>
  <c r="W172" i="2"/>
  <c r="X172" i="2"/>
  <c r="AA172" i="2"/>
  <c r="AC172" i="2"/>
  <c r="AF172" i="2"/>
  <c r="B172" i="2"/>
  <c r="E172" i="2"/>
  <c r="G172" i="2"/>
  <c r="I172" i="2"/>
  <c r="J172" i="2"/>
  <c r="L172" i="2"/>
  <c r="M172" i="2"/>
  <c r="O172" i="2"/>
  <c r="Q172" i="2"/>
  <c r="S172" i="2"/>
  <c r="U172" i="2"/>
  <c r="V172" i="2"/>
  <c r="Y172" i="2"/>
  <c r="Z172" i="2"/>
  <c r="AB172" i="2"/>
  <c r="AD172" i="2"/>
  <c r="AE172" i="2"/>
  <c r="AG172" i="2"/>
  <c r="AH172" i="2"/>
  <c r="AI172" i="2"/>
  <c r="B171" i="2"/>
  <c r="C171" i="2"/>
  <c r="D171" i="2"/>
  <c r="E171" i="2"/>
  <c r="F171" i="2"/>
  <c r="G171" i="2"/>
  <c r="I171" i="2"/>
  <c r="K171" i="2"/>
  <c r="N171" i="2"/>
  <c r="O171" i="2"/>
  <c r="R171" i="2"/>
  <c r="T171" i="2"/>
  <c r="U171" i="2"/>
  <c r="W171" i="2"/>
  <c r="Z171" i="2"/>
  <c r="AB171" i="2"/>
  <c r="AE171" i="2"/>
  <c r="H171" i="2"/>
  <c r="J171" i="2"/>
  <c r="L171" i="2"/>
  <c r="M171" i="2"/>
  <c r="P171" i="2"/>
  <c r="Q171" i="2"/>
  <c r="S171" i="2"/>
  <c r="V171" i="2"/>
  <c r="X171" i="2"/>
  <c r="Y171" i="2"/>
  <c r="AA171" i="2"/>
  <c r="AC171" i="2"/>
  <c r="AD171" i="2"/>
  <c r="AF171" i="2"/>
  <c r="AG171" i="2"/>
  <c r="AH171" i="2"/>
  <c r="AI171" i="2"/>
  <c r="B169" i="2"/>
  <c r="C169" i="2"/>
  <c r="D169" i="2"/>
  <c r="E169" i="2"/>
  <c r="F169" i="2"/>
  <c r="H169" i="2"/>
  <c r="J169" i="2"/>
  <c r="L169" i="2"/>
  <c r="M169" i="2"/>
  <c r="O169" i="2"/>
  <c r="Q169" i="2"/>
  <c r="T169" i="2"/>
  <c r="G169" i="2"/>
  <c r="I169" i="2"/>
  <c r="K169" i="2"/>
  <c r="N169" i="2"/>
  <c r="P169" i="2"/>
  <c r="R169" i="2"/>
  <c r="S169" i="2"/>
  <c r="U169" i="2"/>
  <c r="V169" i="2"/>
  <c r="W169" i="2"/>
  <c r="X169" i="2"/>
  <c r="Y169" i="2"/>
  <c r="Z169" i="2"/>
  <c r="AA169" i="2"/>
  <c r="AB169" i="2"/>
  <c r="AC169" i="2"/>
  <c r="AD169" i="2"/>
  <c r="AE169" i="2"/>
  <c r="AF169" i="2"/>
  <c r="AG169" i="2"/>
  <c r="AH169" i="2"/>
  <c r="AI169" i="2"/>
  <c r="Y168" i="2"/>
  <c r="AA168" i="2"/>
  <c r="AD168" i="2"/>
  <c r="AE168" i="2"/>
  <c r="B168" i="2"/>
  <c r="C168" i="2"/>
  <c r="D168" i="2"/>
  <c r="E168" i="2"/>
  <c r="F168" i="2"/>
  <c r="G168" i="2"/>
  <c r="H168" i="2"/>
  <c r="I168" i="2"/>
  <c r="J168" i="2"/>
  <c r="K168" i="2"/>
  <c r="L168" i="2"/>
  <c r="M168" i="2"/>
  <c r="N168" i="2"/>
  <c r="O168" i="2"/>
  <c r="P168" i="2"/>
  <c r="Q168" i="2"/>
  <c r="R168" i="2"/>
  <c r="S168" i="2"/>
  <c r="T168" i="2"/>
  <c r="U168" i="2"/>
  <c r="V168" i="2"/>
  <c r="W168" i="2"/>
  <c r="X168" i="2"/>
  <c r="Z168" i="2"/>
  <c r="AB168" i="2"/>
  <c r="AC168" i="2"/>
  <c r="AF168" i="2"/>
  <c r="AG168" i="2"/>
  <c r="AH168" i="2"/>
  <c r="AI168" i="2"/>
  <c r="C166" i="2"/>
  <c r="G166" i="2"/>
  <c r="J166" i="2"/>
  <c r="L166" i="2"/>
  <c r="M166" i="2"/>
  <c r="Q166" i="2"/>
  <c r="T166" i="2"/>
  <c r="W166" i="2"/>
  <c r="Z166" i="2"/>
  <c r="AD166" i="2"/>
  <c r="AH166" i="2"/>
  <c r="F166" i="2"/>
  <c r="I166" i="2"/>
  <c r="O166" i="2"/>
  <c r="R166" i="2"/>
  <c r="V166" i="2"/>
  <c r="AA166" i="2"/>
  <c r="AE166" i="2"/>
  <c r="AF166" i="2"/>
  <c r="B166" i="2"/>
  <c r="D166" i="2"/>
  <c r="E166" i="2"/>
  <c r="H166" i="2"/>
  <c r="K166" i="2"/>
  <c r="N166" i="2"/>
  <c r="P166" i="2"/>
  <c r="S166" i="2"/>
  <c r="U166" i="2"/>
  <c r="X166" i="2"/>
  <c r="Y166" i="2"/>
  <c r="AB166" i="2"/>
  <c r="AC166" i="2"/>
  <c r="AG166" i="2"/>
  <c r="AI166" i="2"/>
  <c r="D165" i="2"/>
  <c r="E165" i="2"/>
  <c r="F165" i="2"/>
  <c r="I165" i="2"/>
  <c r="J165" i="2"/>
  <c r="M165" i="2"/>
  <c r="P165" i="2"/>
  <c r="S165" i="2"/>
  <c r="X165" i="2"/>
  <c r="Z165" i="2"/>
  <c r="AB165" i="2"/>
  <c r="AC165" i="2"/>
  <c r="AE165" i="2"/>
  <c r="AF165" i="2"/>
  <c r="AH165" i="2"/>
  <c r="AI165" i="2"/>
  <c r="B165" i="2"/>
  <c r="H165" i="2"/>
  <c r="L165" i="2"/>
  <c r="O165" i="2"/>
  <c r="R165" i="2"/>
  <c r="T165" i="2"/>
  <c r="V165" i="2"/>
  <c r="Y165" i="2"/>
  <c r="AA165" i="2"/>
  <c r="AD165" i="2"/>
  <c r="C165" i="2"/>
  <c r="G165" i="2"/>
  <c r="K165" i="2"/>
  <c r="N165" i="2"/>
  <c r="Q165" i="2"/>
  <c r="U165" i="2"/>
  <c r="W165" i="2"/>
  <c r="AG165" i="2"/>
  <c r="B164" i="2"/>
  <c r="F164" i="2"/>
  <c r="J164" i="2"/>
  <c r="N164" i="2"/>
  <c r="P164" i="2"/>
  <c r="S164" i="2"/>
  <c r="V164" i="2"/>
  <c r="Y164" i="2"/>
  <c r="AC164" i="2"/>
  <c r="AE164" i="2"/>
  <c r="AG164" i="2"/>
  <c r="AI164" i="2"/>
  <c r="D164" i="2"/>
  <c r="H164" i="2"/>
  <c r="L164" i="2"/>
  <c r="M164" i="2"/>
  <c r="R164" i="2"/>
  <c r="U164" i="2"/>
  <c r="W164" i="2"/>
  <c r="Z164" i="2"/>
  <c r="AA164" i="2"/>
  <c r="C164" i="2"/>
  <c r="E164" i="2"/>
  <c r="G164" i="2"/>
  <c r="I164" i="2"/>
  <c r="K164" i="2"/>
  <c r="O164" i="2"/>
  <c r="Q164" i="2"/>
  <c r="T164" i="2"/>
  <c r="X164" i="2"/>
  <c r="AB164" i="2"/>
  <c r="AD164" i="2"/>
  <c r="AF164" i="2"/>
  <c r="AH164" i="2"/>
  <c r="C163" i="2"/>
  <c r="F163" i="2"/>
  <c r="G163" i="2"/>
  <c r="L163" i="2"/>
  <c r="M163" i="2"/>
  <c r="O163" i="2"/>
  <c r="R163" i="2"/>
  <c r="T163" i="2"/>
  <c r="X163" i="2"/>
  <c r="AA163" i="2"/>
  <c r="AC163" i="2"/>
  <c r="AF163" i="2"/>
  <c r="B163" i="2"/>
  <c r="E163" i="2"/>
  <c r="I163" i="2"/>
  <c r="K163" i="2"/>
  <c r="P163" i="2"/>
  <c r="S163" i="2"/>
  <c r="V163" i="2"/>
  <c r="Z163" i="2"/>
  <c r="AD163" i="2"/>
  <c r="AG163" i="2"/>
  <c r="AI163" i="2"/>
  <c r="D163" i="2"/>
  <c r="H163" i="2"/>
  <c r="J163" i="2"/>
  <c r="N163" i="2"/>
  <c r="Q163" i="2"/>
  <c r="U163" i="2"/>
  <c r="W163" i="2"/>
  <c r="Y163" i="2"/>
  <c r="AB163" i="2"/>
  <c r="AE163" i="2"/>
  <c r="AH163" i="2"/>
  <c r="K162" i="2"/>
  <c r="N162" i="2"/>
  <c r="R162" i="2"/>
  <c r="U162" i="2"/>
  <c r="V162" i="2"/>
  <c r="X162" i="2"/>
  <c r="Y162" i="2"/>
  <c r="AA162" i="2"/>
  <c r="AB162" i="2"/>
  <c r="B162" i="2"/>
  <c r="D162" i="2"/>
  <c r="G162" i="2"/>
  <c r="J162" i="2"/>
  <c r="M162" i="2"/>
  <c r="P162" i="2"/>
  <c r="S162" i="2"/>
  <c r="W162" i="2"/>
  <c r="Z162" i="2"/>
  <c r="AC162" i="2"/>
  <c r="AE162" i="2"/>
  <c r="AH162" i="2"/>
  <c r="AI162" i="2"/>
  <c r="C162" i="2"/>
  <c r="E162" i="2"/>
  <c r="F162" i="2"/>
  <c r="H162" i="2"/>
  <c r="I162" i="2"/>
  <c r="L162" i="2"/>
  <c r="O162" i="2"/>
  <c r="Q162" i="2"/>
  <c r="T162" i="2"/>
  <c r="AD162" i="2"/>
  <c r="AF162" i="2"/>
  <c r="AG162" i="2"/>
  <c r="B160" i="2"/>
  <c r="F160" i="2"/>
  <c r="I160" i="2"/>
  <c r="K160" i="2"/>
  <c r="L160" i="2"/>
  <c r="N160" i="2"/>
  <c r="P160" i="2"/>
  <c r="Q160" i="2"/>
  <c r="S160" i="2"/>
  <c r="T160" i="2"/>
  <c r="AA160" i="2"/>
  <c r="AC160" i="2"/>
  <c r="AE160" i="2"/>
  <c r="AG160" i="2"/>
  <c r="AI160" i="2"/>
  <c r="C160" i="2"/>
  <c r="E160" i="2"/>
  <c r="G160" i="2"/>
  <c r="J160" i="2"/>
  <c r="M160" i="2"/>
  <c r="O160" i="2"/>
  <c r="R160" i="2"/>
  <c r="X160" i="2"/>
  <c r="Z160" i="2"/>
  <c r="AB160" i="2"/>
  <c r="AF160" i="2"/>
  <c r="D160" i="2"/>
  <c r="H160" i="2"/>
  <c r="U160" i="2"/>
  <c r="V160" i="2"/>
  <c r="W160" i="2"/>
  <c r="Y160" i="2"/>
  <c r="AD160" i="2"/>
  <c r="AH160" i="2"/>
  <c r="C159" i="2"/>
  <c r="F159" i="2"/>
  <c r="G159" i="2"/>
  <c r="J159" i="2"/>
  <c r="M159" i="2"/>
  <c r="P159" i="2"/>
  <c r="T159" i="2"/>
  <c r="W159" i="2"/>
  <c r="AC159" i="2"/>
  <c r="B159" i="2"/>
  <c r="I159" i="2"/>
  <c r="L159" i="2"/>
  <c r="O159" i="2"/>
  <c r="Q159" i="2"/>
  <c r="R159" i="2"/>
  <c r="V159" i="2"/>
  <c r="Y159" i="2"/>
  <c r="AA159" i="2"/>
  <c r="AD159" i="2"/>
  <c r="AE159" i="2"/>
  <c r="AG159" i="2"/>
  <c r="AI159" i="2"/>
  <c r="D159" i="2"/>
  <c r="E159" i="2"/>
  <c r="H159" i="2"/>
  <c r="K159" i="2"/>
  <c r="N159" i="2"/>
  <c r="S159" i="2"/>
  <c r="U159" i="2"/>
  <c r="X159" i="2"/>
  <c r="Z159" i="2"/>
  <c r="AB159" i="2"/>
  <c r="AF159" i="2"/>
  <c r="AH159" i="2"/>
  <c r="D158" i="2"/>
  <c r="G158" i="2"/>
  <c r="H158" i="2"/>
  <c r="K158" i="2"/>
  <c r="L158" i="2"/>
  <c r="O158" i="2"/>
  <c r="P158" i="2"/>
  <c r="S158" i="2"/>
  <c r="U158" i="2"/>
  <c r="Y158" i="2"/>
  <c r="AB158" i="2"/>
  <c r="AF158" i="2"/>
  <c r="AH158" i="2"/>
  <c r="C158" i="2"/>
  <c r="E158" i="2"/>
  <c r="F158" i="2"/>
  <c r="J158" i="2"/>
  <c r="M158" i="2"/>
  <c r="Q158" i="2"/>
  <c r="R158" i="2"/>
  <c r="V158" i="2"/>
  <c r="W158" i="2"/>
  <c r="AD158" i="2"/>
  <c r="B158" i="2"/>
  <c r="I158" i="2"/>
  <c r="N158" i="2"/>
  <c r="T158" i="2"/>
  <c r="X158" i="2"/>
  <c r="Z158" i="2"/>
  <c r="AA158" i="2"/>
  <c r="AC158" i="2"/>
  <c r="AE158" i="2"/>
  <c r="AG158" i="2"/>
  <c r="AI158" i="2"/>
  <c r="B157" i="2"/>
  <c r="F157" i="2"/>
  <c r="H157" i="2"/>
  <c r="K157" i="2"/>
  <c r="M157" i="2"/>
  <c r="N157" i="2"/>
  <c r="R157" i="2"/>
  <c r="X157" i="2"/>
  <c r="Z157" i="2"/>
  <c r="AB157" i="2"/>
  <c r="AC157" i="2"/>
  <c r="D157" i="2"/>
  <c r="E157" i="2"/>
  <c r="I157" i="2"/>
  <c r="L157" i="2"/>
  <c r="Q157" i="2"/>
  <c r="S157" i="2"/>
  <c r="W157" i="2"/>
  <c r="Y157" i="2"/>
  <c r="AD157" i="2"/>
  <c r="AF157" i="2"/>
  <c r="AG157" i="2"/>
  <c r="AI157" i="2"/>
  <c r="C157" i="2"/>
  <c r="G157" i="2"/>
  <c r="J157" i="2"/>
  <c r="O157" i="2"/>
  <c r="P157" i="2"/>
  <c r="T157" i="2"/>
  <c r="U157" i="2"/>
  <c r="V157" i="2"/>
  <c r="AA157" i="2"/>
  <c r="AE157" i="2"/>
  <c r="AH157" i="2"/>
  <c r="E156" i="2"/>
  <c r="H156" i="2"/>
  <c r="K156" i="2"/>
  <c r="O156" i="2"/>
  <c r="Q156" i="2"/>
  <c r="U156" i="2"/>
  <c r="V156" i="2"/>
  <c r="Y156" i="2"/>
  <c r="B156" i="2"/>
  <c r="D156" i="2"/>
  <c r="F156" i="2"/>
  <c r="J156" i="2"/>
  <c r="L156" i="2"/>
  <c r="N156" i="2"/>
  <c r="P156" i="2"/>
  <c r="S156" i="2"/>
  <c r="W156" i="2"/>
  <c r="Z156" i="2"/>
  <c r="AB156" i="2"/>
  <c r="AD156" i="2"/>
  <c r="AF156" i="2"/>
  <c r="AI156" i="2"/>
  <c r="C156" i="2"/>
  <c r="G156" i="2"/>
  <c r="I156" i="2"/>
  <c r="M156" i="2"/>
  <c r="R156" i="2"/>
  <c r="T156" i="2"/>
  <c r="X156" i="2"/>
  <c r="AA156" i="2"/>
  <c r="AC156" i="2"/>
  <c r="AE156" i="2"/>
  <c r="AG156" i="2"/>
  <c r="AH156" i="2"/>
  <c r="E155" i="2"/>
  <c r="H155" i="2"/>
  <c r="K155" i="2"/>
  <c r="M155" i="2"/>
  <c r="Q155" i="2"/>
  <c r="T155" i="2"/>
  <c r="V155" i="2"/>
  <c r="Y155" i="2"/>
  <c r="AA155" i="2"/>
  <c r="AD155" i="2"/>
  <c r="AF155" i="2"/>
  <c r="C155" i="2"/>
  <c r="D155" i="2"/>
  <c r="G155" i="2"/>
  <c r="J155" i="2"/>
  <c r="N155" i="2"/>
  <c r="O155" i="2"/>
  <c r="S155" i="2"/>
  <c r="U155" i="2"/>
  <c r="W155" i="2"/>
  <c r="Z155" i="2"/>
  <c r="AC155" i="2"/>
  <c r="AH155" i="2"/>
  <c r="AI155" i="2"/>
  <c r="B155" i="2"/>
  <c r="F155" i="2"/>
  <c r="I155" i="2"/>
  <c r="L155" i="2"/>
  <c r="P155" i="2"/>
  <c r="R155" i="2"/>
  <c r="X155" i="2"/>
  <c r="AB155" i="2"/>
  <c r="AE155" i="2"/>
  <c r="AG155" i="2"/>
  <c r="D154" i="2"/>
  <c r="H154" i="2"/>
  <c r="J154" i="2"/>
  <c r="M154" i="2"/>
  <c r="N154" i="2"/>
  <c r="T154" i="2"/>
  <c r="X154" i="2"/>
  <c r="Z154" i="2"/>
  <c r="AC154" i="2"/>
  <c r="AE154" i="2"/>
  <c r="AG154" i="2"/>
  <c r="AH154" i="2"/>
  <c r="AI154" i="2"/>
  <c r="B154" i="2"/>
  <c r="E154" i="2"/>
  <c r="F154" i="2"/>
  <c r="I154" i="2"/>
  <c r="K154" i="2"/>
  <c r="L154" i="2"/>
  <c r="P154" i="2"/>
  <c r="R154" i="2"/>
  <c r="U154" i="2"/>
  <c r="Y154" i="2"/>
  <c r="AA154" i="2"/>
  <c r="C154" i="2"/>
  <c r="G154" i="2"/>
  <c r="O154" i="2"/>
  <c r="Q154" i="2"/>
  <c r="S154" i="2"/>
  <c r="V154" i="2"/>
  <c r="W154" i="2"/>
  <c r="AB154" i="2"/>
  <c r="AD154" i="2"/>
  <c r="AF154" i="2"/>
  <c r="B153" i="2"/>
  <c r="D153" i="2"/>
  <c r="F153" i="2"/>
  <c r="H153" i="2"/>
  <c r="I153" i="2"/>
  <c r="K153" i="2"/>
  <c r="M153" i="2"/>
  <c r="O153" i="2"/>
  <c r="Q153" i="2"/>
  <c r="U153" i="2"/>
  <c r="X153" i="2"/>
  <c r="Z153" i="2"/>
  <c r="C153" i="2"/>
  <c r="E153" i="2"/>
  <c r="G153" i="2"/>
  <c r="J153" i="2"/>
  <c r="L153" i="2"/>
  <c r="N153" i="2"/>
  <c r="R153" i="2"/>
  <c r="S153" i="2"/>
  <c r="V153" i="2"/>
  <c r="AA153" i="2"/>
  <c r="AD153" i="2"/>
  <c r="AF153" i="2"/>
  <c r="AG153" i="2"/>
  <c r="AI153" i="2"/>
  <c r="P153" i="2"/>
  <c r="T153" i="2"/>
  <c r="W153" i="2"/>
  <c r="Y153" i="2"/>
  <c r="AB153" i="2"/>
  <c r="AC153" i="2"/>
  <c r="AE153" i="2"/>
  <c r="AH153" i="2"/>
  <c r="B152" i="2"/>
  <c r="G152" i="2"/>
  <c r="H152" i="2"/>
  <c r="J152" i="2"/>
  <c r="O152" i="2"/>
  <c r="Q152" i="2"/>
  <c r="T152" i="2"/>
  <c r="V152" i="2"/>
  <c r="X152" i="2"/>
  <c r="AA152" i="2"/>
  <c r="D152" i="2"/>
  <c r="M152" i="2"/>
  <c r="F152" i="2"/>
  <c r="K152" i="2"/>
  <c r="P152" i="2"/>
  <c r="S152" i="2"/>
  <c r="W152" i="2"/>
  <c r="Y152" i="2"/>
  <c r="Z152" i="2"/>
  <c r="AB152" i="2"/>
  <c r="AE152" i="2"/>
  <c r="AF152" i="2"/>
  <c r="AH152" i="2"/>
  <c r="C152" i="2"/>
  <c r="E152" i="2"/>
  <c r="I152" i="2"/>
  <c r="L152" i="2"/>
  <c r="N152" i="2"/>
  <c r="R152" i="2"/>
  <c r="U152" i="2"/>
  <c r="AC152" i="2"/>
  <c r="AD152" i="2"/>
  <c r="AG152" i="2"/>
  <c r="AI152" i="2"/>
  <c r="E151" i="2"/>
  <c r="H151" i="2"/>
  <c r="L151" i="2"/>
  <c r="P151" i="2"/>
  <c r="W151" i="2"/>
  <c r="Z151" i="2"/>
  <c r="AC151" i="2"/>
  <c r="AG151" i="2"/>
  <c r="D151" i="2"/>
  <c r="F151" i="2"/>
  <c r="M151" i="2"/>
  <c r="N151" i="2"/>
  <c r="Q151" i="2"/>
  <c r="U151" i="2"/>
  <c r="Y151" i="2"/>
  <c r="AA151" i="2"/>
  <c r="AD151" i="2"/>
  <c r="AF151" i="2"/>
  <c r="AI151" i="2"/>
  <c r="C151" i="2"/>
  <c r="G151" i="2"/>
  <c r="J151" i="2"/>
  <c r="O151" i="2"/>
  <c r="T151" i="2"/>
  <c r="V151" i="2"/>
  <c r="B151" i="2"/>
  <c r="I151" i="2"/>
  <c r="K151" i="2"/>
  <c r="R151" i="2"/>
  <c r="S151" i="2"/>
  <c r="X151" i="2"/>
  <c r="AB151" i="2"/>
  <c r="AE151" i="2"/>
  <c r="AH151" i="2"/>
  <c r="C150" i="2"/>
  <c r="F150" i="2"/>
  <c r="J150" i="2"/>
  <c r="M150" i="2"/>
  <c r="P150" i="2"/>
  <c r="R150" i="2"/>
  <c r="W150" i="2"/>
  <c r="AA150" i="2"/>
  <c r="B150" i="2"/>
  <c r="E150" i="2"/>
  <c r="H150" i="2"/>
  <c r="L150" i="2"/>
  <c r="O150" i="2"/>
  <c r="Q150" i="2"/>
  <c r="U150" i="2"/>
  <c r="Y150" i="2"/>
  <c r="AG150" i="2"/>
  <c r="AI150" i="2"/>
  <c r="T150" i="2"/>
  <c r="Z150" i="2"/>
  <c r="AC150" i="2"/>
  <c r="AE150" i="2"/>
  <c r="AH150" i="2"/>
  <c r="D150" i="2"/>
  <c r="G150" i="2"/>
  <c r="I150" i="2"/>
  <c r="K150" i="2"/>
  <c r="N150" i="2"/>
  <c r="S150" i="2"/>
  <c r="V150" i="2"/>
  <c r="X150" i="2"/>
  <c r="AB150" i="2"/>
  <c r="AD150" i="2"/>
  <c r="AF150" i="2"/>
  <c r="B149" i="2"/>
  <c r="C149" i="2"/>
  <c r="D149" i="2"/>
  <c r="E149" i="2"/>
  <c r="F149" i="2"/>
  <c r="G149" i="2"/>
  <c r="H149" i="2"/>
  <c r="I149" i="2"/>
  <c r="J149" i="2"/>
  <c r="K149" i="2"/>
  <c r="L149" i="2"/>
  <c r="M149" i="2"/>
  <c r="N149" i="2"/>
  <c r="O149" i="2"/>
  <c r="P149" i="2"/>
  <c r="Q149" i="2"/>
  <c r="R149" i="2"/>
  <c r="S149" i="2"/>
  <c r="T149" i="2"/>
  <c r="U149" i="2"/>
  <c r="V149" i="2"/>
  <c r="W149" i="2"/>
  <c r="X149" i="2"/>
  <c r="Y149" i="2"/>
  <c r="Z149" i="2"/>
  <c r="AA149" i="2"/>
  <c r="AB149" i="2"/>
  <c r="AC149" i="2"/>
  <c r="AD149" i="2"/>
  <c r="AE149" i="2"/>
  <c r="AF149" i="2"/>
  <c r="AG149" i="2"/>
  <c r="AH149" i="2"/>
  <c r="AI149" i="2"/>
  <c r="E138" i="2"/>
  <c r="I138" i="2"/>
  <c r="L138" i="2"/>
  <c r="P138" i="2"/>
  <c r="U138" i="2"/>
  <c r="Z138" i="2"/>
  <c r="AC138" i="2"/>
  <c r="AG138" i="2"/>
  <c r="AI138" i="2"/>
  <c r="B138" i="2"/>
  <c r="F138" i="2"/>
  <c r="H138" i="2"/>
  <c r="O138" i="2"/>
  <c r="Q138" i="2"/>
  <c r="T138" i="2"/>
  <c r="AA138" i="2"/>
  <c r="AB138" i="2"/>
  <c r="AE138" i="2"/>
  <c r="AF138" i="2"/>
  <c r="AH138" i="2"/>
  <c r="N138" i="2"/>
  <c r="R138" i="2"/>
  <c r="W138" i="2"/>
  <c r="Y138" i="2"/>
  <c r="C138" i="2"/>
  <c r="D138" i="2"/>
  <c r="G138" i="2"/>
  <c r="J138" i="2"/>
  <c r="K138" i="2"/>
  <c r="M138" i="2"/>
  <c r="S138" i="2"/>
  <c r="V138" i="2"/>
  <c r="X138" i="2"/>
  <c r="AD138" i="2"/>
  <c r="C137" i="2"/>
  <c r="E137" i="2"/>
  <c r="H137" i="2"/>
  <c r="J137" i="2"/>
  <c r="M137" i="2"/>
  <c r="P137" i="2"/>
  <c r="Q137" i="2"/>
  <c r="R137" i="2"/>
  <c r="U137" i="2"/>
  <c r="W137" i="2"/>
  <c r="Y137" i="2"/>
  <c r="AB137" i="2"/>
  <c r="AE137" i="2"/>
  <c r="AF137" i="2"/>
  <c r="AH137" i="2"/>
  <c r="B137" i="2"/>
  <c r="G137" i="2"/>
  <c r="I137" i="2"/>
  <c r="L137" i="2"/>
  <c r="N137" i="2"/>
  <c r="S137" i="2"/>
  <c r="X137" i="2"/>
  <c r="Z137" i="2"/>
  <c r="AD137" i="2"/>
  <c r="D137" i="2"/>
  <c r="F137" i="2"/>
  <c r="K137" i="2"/>
  <c r="O137" i="2"/>
  <c r="T137" i="2"/>
  <c r="V137" i="2"/>
  <c r="AA137" i="2"/>
  <c r="AC137" i="2"/>
  <c r="AG137" i="2"/>
  <c r="AI137" i="2"/>
  <c r="C136" i="2"/>
  <c r="J136" i="2"/>
  <c r="Z136" i="2"/>
  <c r="AB136" i="2"/>
  <c r="AF136" i="2"/>
  <c r="AI136" i="2"/>
  <c r="D136" i="2"/>
  <c r="F136" i="2"/>
  <c r="K136" i="2"/>
  <c r="M136" i="2"/>
  <c r="P136" i="2"/>
  <c r="T136" i="2"/>
  <c r="V136" i="2"/>
  <c r="X136" i="2"/>
  <c r="AC136" i="2"/>
  <c r="G136" i="2"/>
  <c r="Q136" i="2"/>
  <c r="U136" i="2"/>
  <c r="B136" i="2"/>
  <c r="E136" i="2"/>
  <c r="H136" i="2"/>
  <c r="I136" i="2"/>
  <c r="L136" i="2"/>
  <c r="O136" i="2"/>
  <c r="R136" i="2"/>
  <c r="W136" i="2"/>
  <c r="Y136" i="2"/>
  <c r="AA136" i="2"/>
  <c r="AD136" i="2"/>
  <c r="AG136" i="2"/>
  <c r="N136" i="2"/>
  <c r="S136" i="2"/>
  <c r="AE136" i="2"/>
  <c r="AH136" i="2"/>
  <c r="C135" i="2"/>
  <c r="F135" i="2"/>
  <c r="J135" i="2"/>
  <c r="L135" i="2"/>
  <c r="O135" i="2"/>
  <c r="U135" i="2"/>
  <c r="X135" i="2"/>
  <c r="AC135" i="2"/>
  <c r="AH135" i="2"/>
  <c r="E135" i="2"/>
  <c r="I135" i="2"/>
  <c r="K135" i="2"/>
  <c r="N135" i="2"/>
  <c r="S135" i="2"/>
  <c r="AD135" i="2"/>
  <c r="AI135" i="2"/>
  <c r="B135" i="2"/>
  <c r="R135" i="2"/>
  <c r="W135" i="2"/>
  <c r="Z135" i="2"/>
  <c r="AA135" i="2"/>
  <c r="AB135" i="2"/>
  <c r="AF135" i="2"/>
  <c r="G135" i="2"/>
  <c r="M135" i="2"/>
  <c r="Q135" i="2"/>
  <c r="T135" i="2"/>
  <c r="D135" i="2"/>
  <c r="H135" i="2"/>
  <c r="P135" i="2"/>
  <c r="V135" i="2"/>
  <c r="Y135" i="2"/>
  <c r="AE135" i="2"/>
  <c r="AG135" i="2"/>
  <c r="P134" i="2"/>
  <c r="AB134" i="2"/>
  <c r="AE134" i="2"/>
  <c r="E134" i="2"/>
  <c r="I134" i="2"/>
  <c r="L134" i="2"/>
  <c r="O134" i="2"/>
  <c r="R134" i="2"/>
  <c r="V134" i="2"/>
  <c r="Y134" i="2"/>
  <c r="AA134" i="2"/>
  <c r="AD134" i="2"/>
  <c r="AF134" i="2"/>
  <c r="AI134" i="2"/>
  <c r="B134" i="2"/>
  <c r="F134" i="2"/>
  <c r="H134" i="2"/>
  <c r="K134" i="2"/>
  <c r="N134" i="2"/>
  <c r="Q134" i="2"/>
  <c r="U134" i="2"/>
  <c r="X134" i="2"/>
  <c r="Z134" i="2"/>
  <c r="AG134" i="2"/>
  <c r="C134" i="2"/>
  <c r="G134" i="2"/>
  <c r="J134" i="2"/>
  <c r="S134" i="2"/>
  <c r="W134" i="2"/>
  <c r="AH134" i="2"/>
  <c r="D134" i="2"/>
  <c r="M134" i="2"/>
  <c r="T134" i="2"/>
  <c r="AC134" i="2"/>
  <c r="F133" i="2"/>
  <c r="M133" i="2"/>
  <c r="O133" i="2"/>
  <c r="S133" i="2"/>
  <c r="U133" i="2"/>
  <c r="Z133" i="2"/>
  <c r="AB133" i="2"/>
  <c r="AE133" i="2"/>
  <c r="AI133" i="2"/>
  <c r="B133" i="2"/>
  <c r="I133" i="2"/>
  <c r="N133" i="2"/>
  <c r="X133" i="2"/>
  <c r="AG133" i="2"/>
  <c r="H133" i="2"/>
  <c r="K133" i="2"/>
  <c r="R133" i="2"/>
  <c r="W133" i="2"/>
  <c r="Y133" i="2"/>
  <c r="AF133" i="2"/>
  <c r="C133" i="2"/>
  <c r="E133" i="2"/>
  <c r="G133" i="2"/>
  <c r="J133" i="2"/>
  <c r="P133" i="2"/>
  <c r="V133" i="2"/>
  <c r="AC133" i="2"/>
  <c r="D133" i="2"/>
  <c r="L133" i="2"/>
  <c r="Q133" i="2"/>
  <c r="T133" i="2"/>
  <c r="AA133" i="2"/>
  <c r="AD133" i="2"/>
  <c r="AH133" i="2"/>
  <c r="D132" i="2"/>
  <c r="G132" i="2"/>
  <c r="H132" i="2"/>
  <c r="L132" i="2"/>
  <c r="N132" i="2"/>
  <c r="Q132" i="2"/>
  <c r="S132" i="2"/>
  <c r="W132" i="2"/>
  <c r="Y132" i="2"/>
  <c r="AA132" i="2"/>
  <c r="AI132" i="2"/>
  <c r="B132" i="2"/>
  <c r="E132" i="2"/>
  <c r="J132" i="2"/>
  <c r="U132" i="2"/>
  <c r="AH132" i="2"/>
  <c r="C132" i="2"/>
  <c r="F132" i="2"/>
  <c r="I132" i="2"/>
  <c r="O132" i="2"/>
  <c r="T132" i="2"/>
  <c r="AG132" i="2"/>
  <c r="K132" i="2"/>
  <c r="M132" i="2"/>
  <c r="P132" i="2"/>
  <c r="R132" i="2"/>
  <c r="V132" i="2"/>
  <c r="X132" i="2"/>
  <c r="AC132" i="2"/>
  <c r="AE132" i="2"/>
  <c r="Z132" i="2"/>
  <c r="AB132" i="2"/>
  <c r="AD132" i="2"/>
  <c r="AF132" i="2"/>
  <c r="I131" i="2"/>
  <c r="K131" i="2"/>
  <c r="N131" i="2"/>
  <c r="Q131" i="2"/>
  <c r="T131" i="2"/>
  <c r="X131" i="2"/>
  <c r="AB131" i="2"/>
  <c r="AG131" i="2"/>
  <c r="J131" i="2"/>
  <c r="U131" i="2"/>
  <c r="Y131" i="2"/>
  <c r="B131" i="2"/>
  <c r="C131" i="2"/>
  <c r="D131" i="2"/>
  <c r="E131" i="2"/>
  <c r="F131" i="2"/>
  <c r="G131" i="2"/>
  <c r="L131" i="2"/>
  <c r="P131" i="2"/>
  <c r="R131" i="2"/>
  <c r="V131" i="2"/>
  <c r="Z131" i="2"/>
  <c r="AC131" i="2"/>
  <c r="AD131" i="2"/>
  <c r="AF131" i="2"/>
  <c r="AH131" i="2"/>
  <c r="AI131" i="2"/>
  <c r="H131" i="2"/>
  <c r="M131" i="2"/>
  <c r="O131" i="2"/>
  <c r="S131" i="2"/>
  <c r="W131" i="2"/>
  <c r="AA131" i="2"/>
  <c r="AE131" i="2"/>
  <c r="B127" i="2"/>
  <c r="H127" i="2"/>
  <c r="K127" i="2"/>
  <c r="L127" i="2"/>
  <c r="S127" i="2"/>
  <c r="W127" i="2"/>
  <c r="AA127" i="2"/>
  <c r="AE127" i="2"/>
  <c r="AG127" i="2"/>
  <c r="E127" i="2"/>
  <c r="G127" i="2"/>
  <c r="J127" i="2"/>
  <c r="O127" i="2"/>
  <c r="R127" i="2"/>
  <c r="Z127" i="2"/>
  <c r="AC127" i="2"/>
  <c r="AH127" i="2"/>
  <c r="F127" i="2"/>
  <c r="I127" i="2"/>
  <c r="M127" i="2"/>
  <c r="V127" i="2"/>
  <c r="Y127" i="2"/>
  <c r="AB127" i="2"/>
  <c r="AD127" i="2"/>
  <c r="AF127" i="2"/>
  <c r="D127" i="2"/>
  <c r="N127" i="2"/>
  <c r="P127" i="2"/>
  <c r="U127" i="2"/>
  <c r="X127" i="2"/>
  <c r="AI127" i="2"/>
  <c r="C127" i="2"/>
  <c r="Q127" i="2"/>
  <c r="T127" i="2"/>
  <c r="F126" i="2"/>
  <c r="L126" i="2"/>
  <c r="X126" i="2"/>
  <c r="B126" i="2"/>
  <c r="D126" i="2"/>
  <c r="K126" i="2"/>
  <c r="O126" i="2"/>
  <c r="R126" i="2"/>
  <c r="V126" i="2"/>
  <c r="Z126" i="2"/>
  <c r="AB126" i="2"/>
  <c r="AD126" i="2"/>
  <c r="G126" i="2"/>
  <c r="H126" i="2"/>
  <c r="N126" i="2"/>
  <c r="Q126" i="2"/>
  <c r="U126" i="2"/>
  <c r="AA126" i="2"/>
  <c r="AE126" i="2"/>
  <c r="AI126" i="2"/>
  <c r="C126" i="2"/>
  <c r="J126" i="2"/>
  <c r="P126" i="2"/>
  <c r="S126" i="2"/>
  <c r="T126" i="2"/>
  <c r="W126" i="2"/>
  <c r="AC126" i="2"/>
  <c r="AF126" i="2"/>
  <c r="AH126" i="2"/>
  <c r="E126" i="2"/>
  <c r="I126" i="2"/>
  <c r="M126" i="2"/>
  <c r="Y126" i="2"/>
  <c r="AG126" i="2"/>
  <c r="I125" i="2"/>
  <c r="M125" i="2"/>
  <c r="T125" i="2"/>
  <c r="Z125" i="2"/>
  <c r="AD125" i="2"/>
  <c r="AH125" i="2"/>
  <c r="AI125" i="2"/>
  <c r="F125" i="2"/>
  <c r="J125" i="2"/>
  <c r="R125" i="2"/>
  <c r="W125" i="2"/>
  <c r="E125" i="2"/>
  <c r="Q125" i="2"/>
  <c r="S125" i="2"/>
  <c r="X125" i="2"/>
  <c r="AE125" i="2"/>
  <c r="AG125" i="2"/>
  <c r="B125" i="2"/>
  <c r="D125" i="2"/>
  <c r="G125" i="2"/>
  <c r="K125" i="2"/>
  <c r="N125" i="2"/>
  <c r="U125" i="2"/>
  <c r="Y125" i="2"/>
  <c r="AA125" i="2"/>
  <c r="AC125" i="2"/>
  <c r="C125" i="2"/>
  <c r="H125" i="2"/>
  <c r="L125" i="2"/>
  <c r="O125" i="2"/>
  <c r="P125" i="2"/>
  <c r="V125" i="2"/>
  <c r="AB125" i="2"/>
  <c r="AF125" i="2"/>
  <c r="B124" i="2"/>
  <c r="F124" i="2"/>
  <c r="J124" i="2"/>
  <c r="K124" i="2"/>
  <c r="N124" i="2"/>
  <c r="S124" i="2"/>
  <c r="X124" i="2"/>
  <c r="AC124" i="2"/>
  <c r="AF124" i="2"/>
  <c r="D124" i="2"/>
  <c r="G124" i="2"/>
  <c r="I124" i="2"/>
  <c r="M124" i="2"/>
  <c r="P124" i="2"/>
  <c r="R124" i="2"/>
  <c r="U124" i="2"/>
  <c r="Z124" i="2"/>
  <c r="AD124" i="2"/>
  <c r="AI124" i="2"/>
  <c r="Q124" i="2"/>
  <c r="T124" i="2"/>
  <c r="V124" i="2"/>
  <c r="Y124" i="2"/>
  <c r="AA124" i="2"/>
  <c r="AE124" i="2"/>
  <c r="C124" i="2"/>
  <c r="E124" i="2"/>
  <c r="H124" i="2"/>
  <c r="L124" i="2"/>
  <c r="O124" i="2"/>
  <c r="W124" i="2"/>
  <c r="AB124" i="2"/>
  <c r="AG124" i="2"/>
  <c r="AH124" i="2"/>
  <c r="D123" i="2"/>
  <c r="H123" i="2"/>
  <c r="I123" i="2"/>
  <c r="M123" i="2"/>
  <c r="N123" i="2"/>
  <c r="Q123" i="2"/>
  <c r="T123" i="2"/>
  <c r="Y123" i="2"/>
  <c r="AB123" i="2"/>
  <c r="AE123" i="2"/>
  <c r="AF123" i="2"/>
  <c r="AG123" i="2"/>
  <c r="AI123" i="2"/>
  <c r="C123" i="2"/>
  <c r="F123" i="2"/>
  <c r="L123" i="2"/>
  <c r="P123" i="2"/>
  <c r="R123" i="2"/>
  <c r="V123" i="2"/>
  <c r="X123" i="2"/>
  <c r="Z123" i="2"/>
  <c r="AC123" i="2"/>
  <c r="B123" i="2"/>
  <c r="E123" i="2"/>
  <c r="G123" i="2"/>
  <c r="J123" i="2"/>
  <c r="K123" i="2"/>
  <c r="O123" i="2"/>
  <c r="S123" i="2"/>
  <c r="U123" i="2"/>
  <c r="W123" i="2"/>
  <c r="AA123" i="2"/>
  <c r="AD123" i="2"/>
  <c r="AH123" i="2"/>
  <c r="D122" i="2"/>
  <c r="F122" i="2"/>
  <c r="J122" i="2"/>
  <c r="N122" i="2"/>
  <c r="R122" i="2"/>
  <c r="T122" i="2"/>
  <c r="X122" i="2"/>
  <c r="AA122" i="2"/>
  <c r="AD122" i="2"/>
  <c r="AF122" i="2"/>
  <c r="AI122" i="2"/>
  <c r="H122" i="2"/>
  <c r="K122" i="2"/>
  <c r="P122" i="2"/>
  <c r="U122" i="2"/>
  <c r="Y122" i="2"/>
  <c r="B122" i="2"/>
  <c r="E122" i="2"/>
  <c r="L122" i="2"/>
  <c r="O122" i="2"/>
  <c r="S122" i="2"/>
  <c r="W122" i="2"/>
  <c r="Z122" i="2"/>
  <c r="AC122" i="2"/>
  <c r="AH122" i="2"/>
  <c r="C122" i="2"/>
  <c r="G122" i="2"/>
  <c r="I122" i="2"/>
  <c r="M122" i="2"/>
  <c r="Q122" i="2"/>
  <c r="V122" i="2"/>
  <c r="AB122" i="2"/>
  <c r="AE122" i="2"/>
  <c r="AG122" i="2"/>
  <c r="D121" i="2"/>
  <c r="G121" i="2"/>
  <c r="I121" i="2"/>
  <c r="P121" i="2"/>
  <c r="T121" i="2"/>
  <c r="W121" i="2"/>
  <c r="Y121" i="2"/>
  <c r="AB121" i="2"/>
  <c r="AE121" i="2"/>
  <c r="AH121" i="2"/>
  <c r="E121" i="2"/>
  <c r="H121" i="2"/>
  <c r="J121" i="2"/>
  <c r="O121" i="2"/>
  <c r="R121" i="2"/>
  <c r="V121" i="2"/>
  <c r="X121" i="2"/>
  <c r="B121" i="2"/>
  <c r="L121" i="2"/>
  <c r="M121" i="2"/>
  <c r="S121" i="2"/>
  <c r="U121" i="2"/>
  <c r="AA121" i="2"/>
  <c r="AC121" i="2"/>
  <c r="AF121" i="2"/>
  <c r="AI121" i="2"/>
  <c r="C121" i="2"/>
  <c r="F121" i="2"/>
  <c r="K121" i="2"/>
  <c r="N121" i="2"/>
  <c r="Q121" i="2"/>
  <c r="Z121" i="2"/>
  <c r="AD121" i="2"/>
  <c r="AG121" i="2"/>
  <c r="C120" i="2"/>
  <c r="J120" i="2"/>
  <c r="N120" i="2"/>
  <c r="R120" i="2"/>
  <c r="T120" i="2"/>
  <c r="Z120" i="2"/>
  <c r="AC120" i="2"/>
  <c r="D120" i="2"/>
  <c r="F120" i="2"/>
  <c r="I120" i="2"/>
  <c r="L120" i="2"/>
  <c r="Q120" i="2"/>
  <c r="W120" i="2"/>
  <c r="AB120" i="2"/>
  <c r="AF120" i="2"/>
  <c r="AH120" i="2"/>
  <c r="B120" i="2"/>
  <c r="E120" i="2"/>
  <c r="G120" i="2"/>
  <c r="P120" i="2"/>
  <c r="U120" i="2"/>
  <c r="X120" i="2"/>
  <c r="AA120" i="2"/>
  <c r="AD120" i="2"/>
  <c r="AI120" i="2"/>
  <c r="H120" i="2"/>
  <c r="K120" i="2"/>
  <c r="M120" i="2"/>
  <c r="O120" i="2"/>
  <c r="S120" i="2"/>
  <c r="V120" i="2"/>
  <c r="Y120" i="2"/>
  <c r="AE120" i="2"/>
  <c r="AG120" i="2"/>
  <c r="B119" i="2"/>
  <c r="C119" i="2"/>
  <c r="H119" i="2"/>
  <c r="L119" i="2"/>
  <c r="N119" i="2"/>
  <c r="R119" i="2"/>
  <c r="S119" i="2"/>
  <c r="U119" i="2"/>
  <c r="V119" i="2"/>
  <c r="Z119" i="2"/>
  <c r="AB119" i="2"/>
  <c r="F119" i="2"/>
  <c r="I119" i="2"/>
  <c r="M119" i="2"/>
  <c r="P119" i="2"/>
  <c r="AD119" i="2"/>
  <c r="AH119" i="2"/>
  <c r="D119" i="2"/>
  <c r="J119" i="2"/>
  <c r="Q119" i="2"/>
  <c r="T119" i="2"/>
  <c r="X119" i="2"/>
  <c r="Y119" i="2"/>
  <c r="AC119" i="2"/>
  <c r="AF119" i="2"/>
  <c r="AI119" i="2"/>
  <c r="E119" i="2"/>
  <c r="G119" i="2"/>
  <c r="K119" i="2"/>
  <c r="O119" i="2"/>
  <c r="W119" i="2"/>
  <c r="AA119" i="2"/>
  <c r="AE119" i="2"/>
  <c r="AG119" i="2"/>
  <c r="U118" i="2"/>
  <c r="W118" i="2"/>
  <c r="Z118" i="2"/>
  <c r="AB118" i="2"/>
  <c r="AD118" i="2"/>
  <c r="AF118" i="2"/>
  <c r="AI118" i="2"/>
  <c r="C118" i="2"/>
  <c r="D118" i="2"/>
  <c r="F118" i="2"/>
  <c r="H118" i="2"/>
  <c r="I118" i="2"/>
  <c r="L118" i="2"/>
  <c r="M118" i="2"/>
  <c r="O118" i="2"/>
  <c r="Q118" i="2"/>
  <c r="R118" i="2"/>
  <c r="V118" i="2"/>
  <c r="Y118" i="2"/>
  <c r="AC118" i="2"/>
  <c r="AE118" i="2"/>
  <c r="AH118" i="2"/>
  <c r="B118" i="2"/>
  <c r="E118" i="2"/>
  <c r="G118" i="2"/>
  <c r="J118" i="2"/>
  <c r="K118" i="2"/>
  <c r="N118" i="2"/>
  <c r="P118" i="2"/>
  <c r="S118" i="2"/>
  <c r="T118" i="2"/>
  <c r="X118" i="2"/>
  <c r="AA118" i="2"/>
  <c r="AG118" i="2"/>
  <c r="C117" i="2"/>
  <c r="J117" i="2"/>
  <c r="M117" i="2"/>
  <c r="Q117" i="2"/>
  <c r="U117" i="2"/>
  <c r="AB117" i="2"/>
  <c r="D117" i="2"/>
  <c r="I117" i="2"/>
  <c r="L117" i="2"/>
  <c r="P117" i="2"/>
  <c r="T117" i="2"/>
  <c r="E117" i="2"/>
  <c r="G117" i="2"/>
  <c r="B117" i="2"/>
  <c r="H117" i="2"/>
  <c r="O117" i="2"/>
  <c r="R117" i="2"/>
  <c r="W117" i="2"/>
  <c r="Y117" i="2"/>
  <c r="AA117" i="2"/>
  <c r="AC117" i="2"/>
  <c r="AF117" i="2"/>
  <c r="AH117" i="2"/>
  <c r="F117" i="2"/>
  <c r="K117" i="2"/>
  <c r="N117" i="2"/>
  <c r="S117" i="2"/>
  <c r="V117" i="2"/>
  <c r="X117" i="2"/>
  <c r="Z117" i="2"/>
  <c r="AD117" i="2"/>
  <c r="AE117" i="2"/>
  <c r="AG117" i="2"/>
  <c r="AI117" i="2"/>
  <c r="D116" i="2"/>
  <c r="H116" i="2"/>
  <c r="J116" i="2"/>
  <c r="O116" i="2"/>
  <c r="R116" i="2"/>
  <c r="W116" i="2"/>
  <c r="X116" i="2"/>
  <c r="AE116" i="2"/>
  <c r="AI116" i="2"/>
  <c r="E116" i="2"/>
  <c r="L116" i="2"/>
  <c r="U116" i="2"/>
  <c r="AD116" i="2"/>
  <c r="AG116" i="2"/>
  <c r="B116" i="2"/>
  <c r="G116" i="2"/>
  <c r="T116" i="2"/>
  <c r="Y116" i="2"/>
  <c r="AA116" i="2"/>
  <c r="F116" i="2"/>
  <c r="M116" i="2"/>
  <c r="Q116" i="2"/>
  <c r="V116" i="2"/>
  <c r="Z116" i="2"/>
  <c r="AC116" i="2"/>
  <c r="AF116" i="2"/>
  <c r="AH116" i="2"/>
  <c r="C116" i="2"/>
  <c r="I116" i="2"/>
  <c r="K116" i="2"/>
  <c r="N116" i="2"/>
  <c r="P116" i="2"/>
  <c r="S116" i="2"/>
  <c r="AB116" i="2"/>
  <c r="C115" i="2"/>
  <c r="H115" i="2"/>
  <c r="N115" i="2"/>
  <c r="U115" i="2"/>
  <c r="W115" i="2"/>
  <c r="AD115" i="2"/>
  <c r="AH115" i="2"/>
  <c r="F115" i="2"/>
  <c r="I115" i="2"/>
  <c r="K115" i="2"/>
  <c r="Q115" i="2"/>
  <c r="X115" i="2"/>
  <c r="J115" i="2"/>
  <c r="M115" i="2"/>
  <c r="P115" i="2"/>
  <c r="Z115" i="2"/>
  <c r="AA115" i="2"/>
  <c r="AF115" i="2"/>
  <c r="AI115" i="2"/>
  <c r="D115" i="2"/>
  <c r="G115" i="2"/>
  <c r="L115" i="2"/>
  <c r="R115" i="2"/>
  <c r="T115" i="2"/>
  <c r="Y115" i="2"/>
  <c r="AB115" i="2"/>
  <c r="AG115" i="2"/>
  <c r="B115" i="2"/>
  <c r="E115" i="2"/>
  <c r="O115" i="2"/>
  <c r="S115" i="2"/>
  <c r="V115" i="2"/>
  <c r="AC115" i="2"/>
  <c r="AE115" i="2"/>
  <c r="F114" i="2"/>
  <c r="K114" i="2"/>
  <c r="L114" i="2"/>
  <c r="P114" i="2"/>
  <c r="U114" i="2"/>
  <c r="X114" i="2"/>
  <c r="AB114" i="2"/>
  <c r="AH114" i="2"/>
  <c r="G114" i="2"/>
  <c r="J114" i="2"/>
  <c r="T114" i="2"/>
  <c r="Y114" i="2"/>
  <c r="AC114" i="2"/>
  <c r="AI114" i="2"/>
  <c r="B114" i="2"/>
  <c r="D114" i="2"/>
  <c r="H114" i="2"/>
  <c r="O114" i="2"/>
  <c r="S114" i="2"/>
  <c r="AD114" i="2"/>
  <c r="C114" i="2"/>
  <c r="N114" i="2"/>
  <c r="Q114" i="2"/>
  <c r="V114" i="2"/>
  <c r="AA114" i="2"/>
  <c r="AE114" i="2"/>
  <c r="AG114" i="2"/>
  <c r="E114" i="2"/>
  <c r="I114" i="2"/>
  <c r="M114" i="2"/>
  <c r="R114" i="2"/>
  <c r="W114" i="2"/>
  <c r="Z114" i="2"/>
  <c r="AF114" i="2"/>
  <c r="B113" i="2"/>
  <c r="F113" i="2"/>
  <c r="M113" i="2"/>
  <c r="U113" i="2"/>
  <c r="Z113" i="2"/>
  <c r="AE113" i="2"/>
  <c r="AH113" i="2"/>
  <c r="E113" i="2"/>
  <c r="J113" i="2"/>
  <c r="N113" i="2"/>
  <c r="R113" i="2"/>
  <c r="AA113" i="2"/>
  <c r="AB113" i="2"/>
  <c r="AI113" i="2"/>
  <c r="H113" i="2"/>
  <c r="L113" i="2"/>
  <c r="O113" i="2"/>
  <c r="T113" i="2"/>
  <c r="Y113" i="2"/>
  <c r="C113" i="2"/>
  <c r="I113" i="2"/>
  <c r="K113" i="2"/>
  <c r="P113" i="2"/>
  <c r="S113" i="2"/>
  <c r="X113" i="2"/>
  <c r="AD113" i="2"/>
  <c r="AG113" i="2"/>
  <c r="D113" i="2"/>
  <c r="G113" i="2"/>
  <c r="Q113" i="2"/>
  <c r="V113" i="2"/>
  <c r="W113" i="2"/>
  <c r="AC113" i="2"/>
  <c r="AF113" i="2"/>
  <c r="X112" i="2"/>
  <c r="AC112" i="2"/>
  <c r="AF112" i="2"/>
  <c r="B112" i="2"/>
  <c r="C112" i="2"/>
  <c r="D112" i="2"/>
  <c r="E112" i="2"/>
  <c r="F112" i="2"/>
  <c r="G112" i="2"/>
  <c r="H112" i="2"/>
  <c r="I112" i="2"/>
  <c r="J112" i="2"/>
  <c r="K112" i="2"/>
  <c r="L112" i="2"/>
  <c r="M112" i="2"/>
  <c r="N112" i="2"/>
  <c r="O112" i="2"/>
  <c r="P112" i="2"/>
  <c r="Q112" i="2"/>
  <c r="S112" i="2"/>
  <c r="AA112" i="2"/>
  <c r="AH112" i="2"/>
  <c r="T112" i="2"/>
  <c r="W112" i="2"/>
  <c r="AE112" i="2"/>
  <c r="AI112" i="2"/>
  <c r="U112" i="2"/>
  <c r="Z112" i="2"/>
  <c r="AD112" i="2"/>
  <c r="R112" i="2"/>
  <c r="V112" i="2"/>
  <c r="Y112" i="2"/>
  <c r="AB112" i="2"/>
  <c r="AG112" i="2"/>
  <c r="B74" i="2"/>
  <c r="C74" i="2"/>
  <c r="D74" i="2"/>
  <c r="E74" i="2"/>
  <c r="F74" i="2"/>
  <c r="G74" i="2"/>
  <c r="H74" i="2"/>
  <c r="I74" i="2"/>
  <c r="J74" i="2"/>
  <c r="K74" i="2"/>
  <c r="L74" i="2"/>
  <c r="M74" i="2"/>
  <c r="N74" i="2"/>
  <c r="O74" i="2"/>
  <c r="P74" i="2"/>
  <c r="Q74" i="2"/>
  <c r="R74" i="2"/>
  <c r="S74" i="2"/>
  <c r="T74" i="2"/>
  <c r="U74" i="2"/>
  <c r="V74" i="2"/>
  <c r="W74" i="2"/>
  <c r="X74" i="2"/>
  <c r="Y74" i="2"/>
  <c r="Z74" i="2"/>
  <c r="AA74" i="2"/>
  <c r="AB74" i="2"/>
  <c r="AC74" i="2"/>
  <c r="AD74" i="2"/>
  <c r="AE74" i="2"/>
  <c r="AF74" i="2"/>
  <c r="AG74" i="2"/>
  <c r="AH74" i="2"/>
  <c r="AI74" i="2"/>
  <c r="B61" i="2"/>
  <c r="E61" i="2"/>
  <c r="I61" i="2"/>
  <c r="L61" i="2"/>
  <c r="Q61" i="2"/>
  <c r="V61" i="2"/>
  <c r="AB61" i="2"/>
  <c r="AD61" i="2"/>
  <c r="AF61" i="2"/>
  <c r="C61" i="2"/>
  <c r="K61" i="2"/>
  <c r="O61" i="2"/>
  <c r="W61" i="2"/>
  <c r="AE61" i="2"/>
  <c r="F61" i="2"/>
  <c r="N61" i="2"/>
  <c r="U61" i="2"/>
  <c r="G61" i="2"/>
  <c r="J61" i="2"/>
  <c r="S61" i="2"/>
  <c r="Z61" i="2"/>
  <c r="AH61" i="2"/>
  <c r="M61" i="2"/>
  <c r="R61" i="2"/>
  <c r="T61" i="2"/>
  <c r="Y61" i="2"/>
  <c r="AA61" i="2"/>
  <c r="AI61" i="2"/>
  <c r="D61" i="2"/>
  <c r="H61" i="2"/>
  <c r="P61" i="2"/>
  <c r="X61" i="2"/>
  <c r="AC61" i="2"/>
  <c r="AG61" i="2"/>
  <c r="W60" i="2"/>
  <c r="AB60" i="2"/>
  <c r="AD60" i="2"/>
  <c r="AH60" i="2"/>
  <c r="Q60" i="2"/>
  <c r="U60" i="2"/>
  <c r="AC60" i="2"/>
  <c r="AF60" i="2"/>
  <c r="AI60" i="2"/>
  <c r="C60" i="2"/>
  <c r="G60" i="2"/>
  <c r="I60" i="2"/>
  <c r="K60" i="2"/>
  <c r="M60" i="2"/>
  <c r="X60" i="2"/>
  <c r="Z60" i="2"/>
  <c r="B60" i="2"/>
  <c r="F60" i="2"/>
  <c r="N60" i="2"/>
  <c r="P60" i="2"/>
  <c r="S60" i="2"/>
  <c r="AA60" i="2"/>
  <c r="AG60" i="2"/>
  <c r="E60" i="2"/>
  <c r="H60" i="2"/>
  <c r="J60" i="2"/>
  <c r="L60" i="2"/>
  <c r="O60" i="2"/>
  <c r="T60" i="2"/>
  <c r="Y60" i="2"/>
  <c r="D60" i="2"/>
  <c r="R60" i="2"/>
  <c r="V60" i="2"/>
  <c r="AE60" i="2"/>
  <c r="F59" i="2"/>
  <c r="H59" i="2"/>
  <c r="L59" i="2"/>
  <c r="O59" i="2"/>
  <c r="U59" i="2"/>
  <c r="W59" i="2"/>
  <c r="AD59" i="2"/>
  <c r="B59" i="2"/>
  <c r="AA59" i="2"/>
  <c r="AF59" i="2"/>
  <c r="J59" i="2"/>
  <c r="Q59" i="2"/>
  <c r="Y59" i="2"/>
  <c r="AG59" i="2"/>
  <c r="C59" i="2"/>
  <c r="R59" i="2"/>
  <c r="Z59" i="2"/>
  <c r="AH59" i="2"/>
  <c r="E59" i="2"/>
  <c r="I59" i="2"/>
  <c r="N59" i="2"/>
  <c r="T59" i="2"/>
  <c r="X59" i="2"/>
  <c r="AB59" i="2"/>
  <c r="AE59" i="2"/>
  <c r="AI59" i="2"/>
  <c r="D59" i="2"/>
  <c r="G59" i="2"/>
  <c r="K59" i="2"/>
  <c r="M59" i="2"/>
  <c r="P59" i="2"/>
  <c r="S59" i="2"/>
  <c r="V59" i="2"/>
  <c r="AC59" i="2"/>
  <c r="J58" i="2"/>
  <c r="Q58" i="2"/>
  <c r="S58" i="2"/>
  <c r="AA58" i="2"/>
  <c r="AE58" i="2"/>
  <c r="F58" i="2"/>
  <c r="K58" i="2"/>
  <c r="Z58" i="2"/>
  <c r="AC58" i="2"/>
  <c r="C58" i="2"/>
  <c r="I58" i="2"/>
  <c r="N58" i="2"/>
  <c r="V58" i="2"/>
  <c r="AI58" i="2"/>
  <c r="B58" i="2"/>
  <c r="G58" i="2"/>
  <c r="M58" i="2"/>
  <c r="P58" i="2"/>
  <c r="U58" i="2"/>
  <c r="W58" i="2"/>
  <c r="AF58" i="2"/>
  <c r="D58" i="2"/>
  <c r="H58" i="2"/>
  <c r="T58" i="2"/>
  <c r="X58" i="2"/>
  <c r="AD58" i="2"/>
  <c r="AH58" i="2"/>
  <c r="E58" i="2"/>
  <c r="L58" i="2"/>
  <c r="O58" i="2"/>
  <c r="R58" i="2"/>
  <c r="Y58" i="2"/>
  <c r="AB58" i="2"/>
  <c r="AG58" i="2"/>
  <c r="D57" i="2"/>
  <c r="F57" i="2"/>
  <c r="T57" i="2"/>
  <c r="V57" i="2"/>
  <c r="AB57" i="2"/>
  <c r="AE57" i="2"/>
  <c r="AI57" i="2"/>
  <c r="E57" i="2"/>
  <c r="K57" i="2"/>
  <c r="N57" i="2"/>
  <c r="AA57" i="2"/>
  <c r="AC57" i="2"/>
  <c r="AH57" i="2"/>
  <c r="J57" i="2"/>
  <c r="R57" i="2"/>
  <c r="X57" i="2"/>
  <c r="B57" i="2"/>
  <c r="H57" i="2"/>
  <c r="O57" i="2"/>
  <c r="Q57" i="2"/>
  <c r="Y57" i="2"/>
  <c r="AF57" i="2"/>
  <c r="C57" i="2"/>
  <c r="I57" i="2"/>
  <c r="L57" i="2"/>
  <c r="P57" i="2"/>
  <c r="S57" i="2"/>
  <c r="W57" i="2"/>
  <c r="AG57" i="2"/>
  <c r="G57" i="2"/>
  <c r="M57" i="2"/>
  <c r="U57" i="2"/>
  <c r="Z57" i="2"/>
  <c r="AD57" i="2"/>
  <c r="N56" i="2"/>
  <c r="T56" i="2"/>
  <c r="X56" i="2"/>
  <c r="AD56" i="2"/>
  <c r="AH56" i="2"/>
  <c r="G56" i="2"/>
  <c r="M56" i="2"/>
  <c r="P56" i="2"/>
  <c r="U56" i="2"/>
  <c r="W56" i="2"/>
  <c r="AC56" i="2"/>
  <c r="AI56" i="2"/>
  <c r="C56" i="2"/>
  <c r="K56" i="2"/>
  <c r="R56" i="2"/>
  <c r="Y56" i="2"/>
  <c r="AG56" i="2"/>
  <c r="E56" i="2"/>
  <c r="I56" i="2"/>
  <c r="S56" i="2"/>
  <c r="Z56" i="2"/>
  <c r="AE56" i="2"/>
  <c r="B56" i="2"/>
  <c r="D56" i="2"/>
  <c r="H56" i="2"/>
  <c r="J56" i="2"/>
  <c r="L56" i="2"/>
  <c r="Q56" i="2"/>
  <c r="AA56" i="2"/>
  <c r="AF56" i="2"/>
  <c r="F56" i="2"/>
  <c r="O56" i="2"/>
  <c r="V56" i="2"/>
  <c r="AB56" i="2"/>
  <c r="V55" i="2"/>
  <c r="Y55" i="2"/>
  <c r="AA55" i="2"/>
  <c r="AF55" i="2"/>
  <c r="G55" i="2"/>
  <c r="I55" i="2"/>
  <c r="K55" i="2"/>
  <c r="M55" i="2"/>
  <c r="P55" i="2"/>
  <c r="S55" i="2"/>
  <c r="X55" i="2"/>
  <c r="AD55" i="2"/>
  <c r="AI55" i="2"/>
  <c r="D55" i="2"/>
  <c r="J55" i="2"/>
  <c r="O55" i="2"/>
  <c r="Q55" i="2"/>
  <c r="T55" i="2"/>
  <c r="W55" i="2"/>
  <c r="AG55" i="2"/>
  <c r="E55" i="2"/>
  <c r="H55" i="2"/>
  <c r="L55" i="2"/>
  <c r="N55" i="2"/>
  <c r="R55" i="2"/>
  <c r="AC55" i="2"/>
  <c r="AH55" i="2"/>
  <c r="C55" i="2"/>
  <c r="F55" i="2"/>
  <c r="U55" i="2"/>
  <c r="AB55" i="2"/>
  <c r="B55" i="2"/>
  <c r="Z55" i="2"/>
  <c r="AE55" i="2"/>
  <c r="J54" i="2"/>
  <c r="M54" i="2"/>
  <c r="Q54" i="2"/>
  <c r="T54" i="2"/>
  <c r="AC54" i="2"/>
  <c r="AE54" i="2"/>
  <c r="AH54" i="2"/>
  <c r="E54" i="2"/>
  <c r="G54" i="2"/>
  <c r="P54" i="2"/>
  <c r="Z54" i="2"/>
  <c r="F54" i="2"/>
  <c r="V54" i="2"/>
  <c r="X54" i="2"/>
  <c r="H54" i="2"/>
  <c r="O54" i="2"/>
  <c r="W54" i="2"/>
  <c r="Y54" i="2"/>
  <c r="B54" i="2"/>
  <c r="D54" i="2"/>
  <c r="I54" i="2"/>
  <c r="K54" i="2"/>
  <c r="N54" i="2"/>
  <c r="R54" i="2"/>
  <c r="U54" i="2"/>
  <c r="AB54" i="2"/>
  <c r="AG54" i="2"/>
  <c r="AI54" i="2"/>
  <c r="C54" i="2"/>
  <c r="L54" i="2"/>
  <c r="S54" i="2"/>
  <c r="AA54" i="2"/>
  <c r="AD54" i="2"/>
  <c r="AF54" i="2"/>
  <c r="W53" i="2"/>
  <c r="AD53" i="2"/>
  <c r="V53" i="2"/>
  <c r="AE53" i="2"/>
  <c r="C53" i="2"/>
  <c r="F53" i="2"/>
  <c r="J53" i="2"/>
  <c r="M53" i="2"/>
  <c r="R53" i="2"/>
  <c r="U53" i="2"/>
  <c r="AA53" i="2"/>
  <c r="AH53" i="2"/>
  <c r="D53" i="2"/>
  <c r="E53" i="2"/>
  <c r="G53" i="2"/>
  <c r="K53" i="2"/>
  <c r="P53" i="2"/>
  <c r="X53" i="2"/>
  <c r="AC53" i="2"/>
  <c r="AG53" i="2"/>
  <c r="AI53" i="2"/>
  <c r="H53" i="2"/>
  <c r="N53" i="2"/>
  <c r="Q53" i="2"/>
  <c r="T53" i="2"/>
  <c r="Y53" i="2"/>
  <c r="B53" i="2"/>
  <c r="I53" i="2"/>
  <c r="L53" i="2"/>
  <c r="O53" i="2"/>
  <c r="S53" i="2"/>
  <c r="Z53" i="2"/>
  <c r="AB53" i="2"/>
  <c r="AF53" i="2"/>
  <c r="E52" i="2"/>
  <c r="P52" i="2"/>
  <c r="S52" i="2"/>
  <c r="Z52" i="2"/>
  <c r="AD52" i="2"/>
  <c r="AF52" i="2"/>
  <c r="AI52" i="2"/>
  <c r="C52" i="2"/>
  <c r="B52" i="2"/>
  <c r="F52" i="2"/>
  <c r="K52" i="2"/>
  <c r="O52" i="2"/>
  <c r="R52" i="2"/>
  <c r="W52" i="2"/>
  <c r="G52" i="2"/>
  <c r="I52" i="2"/>
  <c r="M52" i="2"/>
  <c r="N52" i="2"/>
  <c r="Q52" i="2"/>
  <c r="U52" i="2"/>
  <c r="V52" i="2"/>
  <c r="AB52" i="2"/>
  <c r="AE52" i="2"/>
  <c r="AH52" i="2"/>
  <c r="D52" i="2"/>
  <c r="H52" i="2"/>
  <c r="J52" i="2"/>
  <c r="L52" i="2"/>
  <c r="T52" i="2"/>
  <c r="X52" i="2"/>
  <c r="Y52" i="2"/>
  <c r="AA52" i="2"/>
  <c r="AC52" i="2"/>
  <c r="AG52" i="2"/>
  <c r="C51" i="2"/>
  <c r="F51" i="2"/>
  <c r="L51" i="2"/>
  <c r="U51" i="2"/>
  <c r="X51" i="2"/>
  <c r="AG51" i="2"/>
  <c r="AH51" i="2"/>
  <c r="B51" i="2"/>
  <c r="I51" i="2"/>
  <c r="R51" i="2"/>
  <c r="H51" i="2"/>
  <c r="Q51" i="2"/>
  <c r="J51" i="2"/>
  <c r="P51" i="2"/>
  <c r="D51" i="2"/>
  <c r="G51" i="2"/>
  <c r="N51" i="2"/>
  <c r="T51" i="2"/>
  <c r="Z51" i="2"/>
  <c r="AC51" i="2"/>
  <c r="AE51" i="2"/>
  <c r="AI51" i="2"/>
  <c r="K51" i="2"/>
  <c r="S51" i="2"/>
  <c r="Y51" i="2"/>
  <c r="AA51" i="2"/>
  <c r="AF51" i="2"/>
  <c r="E51" i="2"/>
  <c r="M51" i="2"/>
  <c r="O51" i="2"/>
  <c r="V51" i="2"/>
  <c r="W51" i="2"/>
  <c r="AB51" i="2"/>
  <c r="AD51" i="2"/>
  <c r="B50" i="2"/>
  <c r="J50" i="2"/>
  <c r="Q50" i="2"/>
  <c r="T50" i="2"/>
  <c r="X50" i="2"/>
  <c r="AB50" i="2"/>
  <c r="AE50" i="2"/>
  <c r="AH50" i="2"/>
  <c r="G50" i="2"/>
  <c r="K50" i="2"/>
  <c r="F50" i="2"/>
  <c r="H50" i="2"/>
  <c r="L50" i="2"/>
  <c r="E50" i="2"/>
  <c r="M50" i="2"/>
  <c r="D50" i="2"/>
  <c r="I50" i="2"/>
  <c r="N50" i="2"/>
  <c r="R50" i="2"/>
  <c r="V50" i="2"/>
  <c r="Z50" i="2"/>
  <c r="AD50" i="2"/>
  <c r="AF50" i="2"/>
  <c r="AI50" i="2"/>
  <c r="P50" i="2"/>
  <c r="U50" i="2"/>
  <c r="Y50" i="2"/>
  <c r="AC50" i="2"/>
  <c r="C50" i="2"/>
  <c r="O50" i="2"/>
  <c r="S50" i="2"/>
  <c r="W50" i="2"/>
  <c r="AA50" i="2"/>
  <c r="AG50" i="2"/>
  <c r="G48" i="2"/>
  <c r="I48" i="2"/>
  <c r="L48" i="2"/>
  <c r="S48" i="2"/>
  <c r="U48" i="2"/>
  <c r="AA48" i="2"/>
  <c r="F48" i="2"/>
  <c r="Z48" i="2"/>
  <c r="AF48" i="2"/>
  <c r="E48" i="2"/>
  <c r="Y48" i="2"/>
  <c r="D48" i="2"/>
  <c r="AE48" i="2"/>
  <c r="C48" i="2"/>
  <c r="M48" i="2"/>
  <c r="P48" i="2"/>
  <c r="R48" i="2"/>
  <c r="W48" i="2"/>
  <c r="AB48" i="2"/>
  <c r="AI48" i="2"/>
  <c r="B48" i="2"/>
  <c r="J48" i="2"/>
  <c r="N48" i="2"/>
  <c r="T48" i="2"/>
  <c r="V48" i="2"/>
  <c r="AD48" i="2"/>
  <c r="AH48" i="2"/>
  <c r="H48" i="2"/>
  <c r="K48" i="2"/>
  <c r="O48" i="2"/>
  <c r="Q48" i="2"/>
  <c r="X48" i="2"/>
  <c r="AC48" i="2"/>
  <c r="AG48" i="2"/>
  <c r="N47" i="2"/>
  <c r="T47" i="2"/>
  <c r="AE47" i="2"/>
  <c r="AI47" i="2"/>
  <c r="C47" i="2"/>
  <c r="S47" i="2"/>
  <c r="AD47" i="2"/>
  <c r="E47" i="2"/>
  <c r="J47" i="2"/>
  <c r="Q47" i="2"/>
  <c r="Y47" i="2"/>
  <c r="AB47" i="2"/>
  <c r="AH47" i="2"/>
  <c r="F47" i="2"/>
  <c r="L47" i="2"/>
  <c r="X47" i="2"/>
  <c r="AA47" i="2"/>
  <c r="D47" i="2"/>
  <c r="I47" i="2"/>
  <c r="M47" i="2"/>
  <c r="P47" i="2"/>
  <c r="W47" i="2"/>
  <c r="AC47" i="2"/>
  <c r="AG47" i="2"/>
  <c r="G47" i="2"/>
  <c r="H47" i="2"/>
  <c r="K47" i="2"/>
  <c r="U47" i="2"/>
  <c r="V47" i="2"/>
  <c r="Z47" i="2"/>
  <c r="B47" i="2"/>
  <c r="O47" i="2"/>
  <c r="R47" i="2"/>
  <c r="AF47" i="2"/>
  <c r="C46" i="2"/>
  <c r="J46" i="2"/>
  <c r="R46" i="2"/>
  <c r="Y46" i="2"/>
  <c r="AG46" i="2"/>
  <c r="G46" i="2"/>
  <c r="O46" i="2"/>
  <c r="T46" i="2"/>
  <c r="B46" i="2"/>
  <c r="F46" i="2"/>
  <c r="K46" i="2"/>
  <c r="N46" i="2"/>
  <c r="Q46" i="2"/>
  <c r="P46" i="2"/>
  <c r="AH46" i="2"/>
  <c r="E46" i="2"/>
  <c r="H46" i="2"/>
  <c r="L46" i="2"/>
  <c r="S46" i="2"/>
  <c r="U46" i="2"/>
  <c r="X46" i="2"/>
  <c r="Z46" i="2"/>
  <c r="D46" i="2"/>
  <c r="I46" i="2"/>
  <c r="W46" i="2"/>
  <c r="AB46" i="2"/>
  <c r="AD46" i="2"/>
  <c r="AF46" i="2"/>
  <c r="AI46" i="2"/>
  <c r="M46" i="2"/>
  <c r="V46" i="2"/>
  <c r="AA46" i="2"/>
  <c r="AC46" i="2"/>
  <c r="AE46" i="2"/>
  <c r="H45" i="2"/>
  <c r="M45" i="2"/>
  <c r="P45" i="2"/>
  <c r="S45" i="2"/>
  <c r="U45" i="2"/>
  <c r="AA45" i="2"/>
  <c r="AH45" i="2"/>
  <c r="D45" i="2"/>
  <c r="G45" i="2"/>
  <c r="B45" i="2"/>
  <c r="F45" i="2"/>
  <c r="I45" i="2"/>
  <c r="K45" i="2"/>
  <c r="N45" i="2"/>
  <c r="T45" i="2"/>
  <c r="Y45" i="2"/>
  <c r="AD45" i="2"/>
  <c r="AI45" i="2"/>
  <c r="R45" i="2"/>
  <c r="X45" i="2"/>
  <c r="AB45" i="2"/>
  <c r="W45" i="2"/>
  <c r="AF45" i="2"/>
  <c r="C45" i="2"/>
  <c r="E45" i="2"/>
  <c r="J45" i="2"/>
  <c r="L45" i="2"/>
  <c r="O45" i="2"/>
  <c r="Q45" i="2"/>
  <c r="V45" i="2"/>
  <c r="Z45" i="2"/>
  <c r="AC45" i="2"/>
  <c r="AE45" i="2"/>
  <c r="AG45" i="2"/>
  <c r="H44" i="2"/>
  <c r="J44" i="2"/>
  <c r="O44" i="2"/>
  <c r="X44" i="2"/>
  <c r="AG44" i="2"/>
  <c r="I44" i="2"/>
  <c r="C44" i="2"/>
  <c r="F44" i="2"/>
  <c r="P44" i="2"/>
  <c r="R44" i="2"/>
  <c r="U44" i="2"/>
  <c r="Z44" i="2"/>
  <c r="AC44" i="2"/>
  <c r="AD44" i="2"/>
  <c r="E44" i="2"/>
  <c r="L44" i="2"/>
  <c r="S44" i="2"/>
  <c r="V44" i="2"/>
  <c r="AF44" i="2"/>
  <c r="AI44" i="2"/>
  <c r="B44" i="2"/>
  <c r="G44" i="2"/>
  <c r="K44" i="2"/>
  <c r="N44" i="2"/>
  <c r="Q44" i="2"/>
  <c r="W44" i="2"/>
  <c r="Y44" i="2"/>
  <c r="AA44" i="2"/>
  <c r="AE44" i="2"/>
  <c r="AH44" i="2"/>
  <c r="D44" i="2"/>
  <c r="M44" i="2"/>
  <c r="T44" i="2"/>
  <c r="AB44" i="2"/>
  <c r="W43" i="2"/>
  <c r="AH43" i="2"/>
  <c r="E43" i="2"/>
  <c r="X43" i="2"/>
  <c r="AI43" i="2"/>
  <c r="I43" i="2"/>
  <c r="K43" i="2"/>
  <c r="Q43" i="2"/>
  <c r="AB43" i="2"/>
  <c r="AE43" i="2"/>
  <c r="L43" i="2"/>
  <c r="O43" i="2"/>
  <c r="S43" i="2"/>
  <c r="AG43" i="2"/>
  <c r="C43" i="2"/>
  <c r="G43" i="2"/>
  <c r="J43" i="2"/>
  <c r="M43" i="2"/>
  <c r="P43" i="2"/>
  <c r="R43" i="2"/>
  <c r="U43" i="2"/>
  <c r="Y43" i="2"/>
  <c r="AA43" i="2"/>
  <c r="AD43" i="2"/>
  <c r="B43" i="2"/>
  <c r="D43" i="2"/>
  <c r="H43" i="2"/>
  <c r="N43" i="2"/>
  <c r="T43" i="2"/>
  <c r="Z43" i="2"/>
  <c r="AC43" i="2"/>
  <c r="AF43" i="2"/>
  <c r="F43" i="2"/>
  <c r="V43" i="2"/>
  <c r="K42" i="2"/>
  <c r="S42" i="2"/>
  <c r="V42" i="2"/>
  <c r="Y42" i="2"/>
  <c r="AB42" i="2"/>
  <c r="AF42" i="2"/>
  <c r="E42" i="2"/>
  <c r="H42" i="2"/>
  <c r="L42" i="2"/>
  <c r="R42" i="2"/>
  <c r="W42" i="2"/>
  <c r="AA42" i="2"/>
  <c r="AG42" i="2"/>
  <c r="AI42" i="2"/>
  <c r="C42" i="2"/>
  <c r="P42" i="2"/>
  <c r="N42" i="2"/>
  <c r="D42" i="2"/>
  <c r="O42" i="2"/>
  <c r="G42" i="2"/>
  <c r="J42" i="2"/>
  <c r="T42" i="2"/>
  <c r="Z42" i="2"/>
  <c r="AD42" i="2"/>
  <c r="AH42" i="2"/>
  <c r="B42" i="2"/>
  <c r="F42" i="2"/>
  <c r="I42" i="2"/>
  <c r="M42" i="2"/>
  <c r="Q42" i="2"/>
  <c r="U42" i="2"/>
  <c r="X42" i="2"/>
  <c r="AC42" i="2"/>
  <c r="AE42" i="2"/>
  <c r="L41" i="2"/>
  <c r="V41" i="2"/>
  <c r="AE41" i="2"/>
  <c r="AI41" i="2"/>
  <c r="F41" i="2"/>
  <c r="J41" i="2"/>
  <c r="N41" i="2"/>
  <c r="Q41" i="2"/>
  <c r="S41" i="2"/>
  <c r="Z41" i="2"/>
  <c r="B41" i="2"/>
  <c r="H41" i="2"/>
  <c r="R41" i="2"/>
  <c r="AA41" i="2"/>
  <c r="E41" i="2"/>
  <c r="I41" i="2"/>
  <c r="P41" i="2"/>
  <c r="T41" i="2"/>
  <c r="AC41" i="2"/>
  <c r="G41" i="2"/>
  <c r="O41" i="2"/>
  <c r="U41" i="2"/>
  <c r="Y41" i="2"/>
  <c r="AB41" i="2"/>
  <c r="C41" i="2"/>
  <c r="K41" i="2"/>
  <c r="W41" i="2"/>
  <c r="AF41" i="2"/>
  <c r="AH41" i="2"/>
  <c r="D41" i="2"/>
  <c r="M41" i="2"/>
  <c r="X41" i="2"/>
  <c r="AD41" i="2"/>
  <c r="AG41" i="2"/>
  <c r="E40" i="2"/>
  <c r="AG40" i="2"/>
  <c r="F40" i="2"/>
  <c r="Y40" i="2"/>
  <c r="D40" i="2"/>
  <c r="AH40" i="2"/>
  <c r="L40" i="2"/>
  <c r="O40" i="2"/>
  <c r="Q40" i="2"/>
  <c r="T40" i="2"/>
  <c r="V40" i="2"/>
  <c r="AA40" i="2"/>
  <c r="AF40" i="2"/>
  <c r="C40" i="2"/>
  <c r="G40" i="2"/>
  <c r="I40" i="2"/>
  <c r="K40" i="2"/>
  <c r="N40" i="2"/>
  <c r="W40" i="2"/>
  <c r="AC40" i="2"/>
  <c r="AI40" i="2"/>
  <c r="B40" i="2"/>
  <c r="H40" i="2"/>
  <c r="P40" i="2"/>
  <c r="S40" i="2"/>
  <c r="U40" i="2"/>
  <c r="Z40" i="2"/>
  <c r="AD40" i="2"/>
  <c r="J40" i="2"/>
  <c r="M40" i="2"/>
  <c r="R40" i="2"/>
  <c r="X40" i="2"/>
  <c r="AB40" i="2"/>
  <c r="AE40" i="2"/>
  <c r="E39" i="2"/>
  <c r="P39" i="2"/>
  <c r="X39" i="2"/>
  <c r="AC39" i="2"/>
  <c r="D39" i="2"/>
  <c r="J39" i="2"/>
  <c r="O39" i="2"/>
  <c r="W39" i="2"/>
  <c r="F39" i="2"/>
  <c r="AD39" i="2"/>
  <c r="C39" i="2"/>
  <c r="K39" i="2"/>
  <c r="N39" i="2"/>
  <c r="R39" i="2"/>
  <c r="U39" i="2"/>
  <c r="Z39" i="2"/>
  <c r="AE39" i="2"/>
  <c r="G39" i="2"/>
  <c r="L39" i="2"/>
  <c r="T39" i="2"/>
  <c r="AB39" i="2"/>
  <c r="AH39" i="2"/>
  <c r="B39" i="2"/>
  <c r="H39" i="2"/>
  <c r="M39" i="2"/>
  <c r="Q39" i="2"/>
  <c r="V39" i="2"/>
  <c r="AA39" i="2"/>
  <c r="AI39" i="2"/>
  <c r="I39" i="2"/>
  <c r="S39" i="2"/>
  <c r="Y39" i="2"/>
  <c r="AF39" i="2"/>
  <c r="AG39" i="2"/>
  <c r="C38" i="2"/>
  <c r="N38" i="2"/>
  <c r="V38" i="2"/>
  <c r="Z38" i="2"/>
  <c r="AF38" i="2"/>
  <c r="B38" i="2"/>
  <c r="D38" i="2"/>
  <c r="L38" i="2"/>
  <c r="W38" i="2"/>
  <c r="AE38" i="2"/>
  <c r="AI38" i="2"/>
  <c r="M38" i="2"/>
  <c r="R38" i="2"/>
  <c r="X38" i="2"/>
  <c r="AH38" i="2"/>
  <c r="F38" i="2"/>
  <c r="P38" i="2"/>
  <c r="T38" i="2"/>
  <c r="AB38" i="2"/>
  <c r="AG38" i="2"/>
  <c r="E38" i="2"/>
  <c r="I38" i="2"/>
  <c r="Y38" i="2"/>
  <c r="AC38" i="2"/>
  <c r="H38" i="2"/>
  <c r="K38" i="2"/>
  <c r="Q38" i="2"/>
  <c r="G38" i="2"/>
  <c r="J38" i="2"/>
  <c r="O38" i="2"/>
  <c r="S38" i="2"/>
  <c r="U38" i="2"/>
  <c r="AA38" i="2"/>
  <c r="AD38" i="2"/>
  <c r="H37" i="2"/>
  <c r="I37" i="2"/>
  <c r="P37" i="2"/>
  <c r="X37" i="2"/>
  <c r="AA37" i="2"/>
  <c r="AC37" i="2"/>
  <c r="G37" i="2"/>
  <c r="Q37" i="2"/>
  <c r="W37" i="2"/>
  <c r="Y37" i="2"/>
  <c r="AE37" i="2"/>
  <c r="AI37" i="2"/>
  <c r="F37" i="2"/>
  <c r="N37" i="2"/>
  <c r="R37" i="2"/>
  <c r="B37" i="2"/>
  <c r="E37" i="2"/>
  <c r="L37" i="2"/>
  <c r="U37" i="2"/>
  <c r="D37" i="2"/>
  <c r="M37" i="2"/>
  <c r="T37" i="2"/>
  <c r="V37" i="2"/>
  <c r="AF37" i="2"/>
  <c r="C37" i="2"/>
  <c r="S37" i="2"/>
  <c r="K37" i="2"/>
  <c r="Z37" i="2"/>
  <c r="AD37" i="2"/>
  <c r="AH37" i="2"/>
  <c r="J37" i="2"/>
  <c r="O37" i="2"/>
  <c r="AB37" i="2"/>
  <c r="AG37" i="2"/>
  <c r="I36" i="2"/>
  <c r="N36" i="2"/>
  <c r="AG36" i="2"/>
  <c r="B36" i="2"/>
  <c r="G36" i="2"/>
  <c r="L36" i="2"/>
  <c r="W36" i="2"/>
  <c r="Z36" i="2"/>
  <c r="AC36" i="2"/>
  <c r="Y36" i="2"/>
  <c r="D36" i="2"/>
  <c r="T36" i="2"/>
  <c r="AB36" i="2"/>
  <c r="E36" i="2"/>
  <c r="K36" i="2"/>
  <c r="S36" i="2"/>
  <c r="V36" i="2"/>
  <c r="AA36" i="2"/>
  <c r="AE36" i="2"/>
  <c r="H36" i="2"/>
  <c r="M36" i="2"/>
  <c r="Q36" i="2"/>
  <c r="AF36" i="2"/>
  <c r="J36" i="2"/>
  <c r="O36" i="2"/>
  <c r="R36" i="2"/>
  <c r="AH36" i="2"/>
  <c r="P36" i="2"/>
  <c r="AI36" i="2"/>
  <c r="C36" i="2"/>
  <c r="F36" i="2"/>
  <c r="U36" i="2"/>
  <c r="X36" i="2"/>
  <c r="AD36" i="2"/>
  <c r="D35" i="2"/>
  <c r="H35" i="2"/>
  <c r="Q35" i="2"/>
  <c r="W35" i="2"/>
  <c r="AA35" i="2"/>
  <c r="AC35" i="2"/>
  <c r="AI35" i="2"/>
  <c r="J35" i="2"/>
  <c r="M35" i="2"/>
  <c r="U35" i="2"/>
  <c r="AE35" i="2"/>
  <c r="C35" i="2"/>
  <c r="L35" i="2"/>
  <c r="P35" i="2"/>
  <c r="S35" i="2"/>
  <c r="V35" i="2"/>
  <c r="Y35" i="2"/>
  <c r="AG35" i="2"/>
  <c r="F35" i="2"/>
  <c r="I35" i="2"/>
  <c r="K35" i="2"/>
  <c r="O35" i="2"/>
  <c r="R35" i="2"/>
  <c r="X35" i="2"/>
  <c r="AB35" i="2"/>
  <c r="AD35" i="2"/>
  <c r="Z35" i="2"/>
  <c r="B35" i="2"/>
  <c r="E35" i="2"/>
  <c r="G35" i="2"/>
  <c r="N35" i="2"/>
  <c r="T35" i="2"/>
  <c r="AF35" i="2"/>
  <c r="AH35" i="2"/>
  <c r="C34" i="2"/>
  <c r="G34" i="2"/>
  <c r="J34" i="2"/>
  <c r="O34" i="2"/>
  <c r="R34" i="2"/>
  <c r="T34" i="2"/>
  <c r="Y34" i="2"/>
  <c r="AG34" i="2"/>
  <c r="B34" i="2"/>
  <c r="M34" i="2"/>
  <c r="P34" i="2"/>
  <c r="S34" i="2"/>
  <c r="AC34" i="2"/>
  <c r="AF34" i="2"/>
  <c r="AA34" i="2"/>
  <c r="D34" i="2"/>
  <c r="N34" i="2"/>
  <c r="W34" i="2"/>
  <c r="AD34" i="2"/>
  <c r="AB34" i="2"/>
  <c r="F34" i="2"/>
  <c r="H34" i="2"/>
  <c r="K34" i="2"/>
  <c r="U34" i="2"/>
  <c r="AE34" i="2"/>
  <c r="AI34" i="2"/>
  <c r="E34" i="2"/>
  <c r="I34" i="2"/>
  <c r="L34" i="2"/>
  <c r="Q34" i="2"/>
  <c r="V34" i="2"/>
  <c r="X34" i="2"/>
  <c r="Z34" i="2"/>
  <c r="AH34" i="2"/>
  <c r="D33" i="2"/>
  <c r="Q33" i="2"/>
  <c r="S33" i="2"/>
  <c r="V33" i="2"/>
  <c r="AB33" i="2"/>
  <c r="F33" i="2"/>
  <c r="N33" i="2"/>
  <c r="AA33" i="2"/>
  <c r="G33" i="2"/>
  <c r="R33" i="2"/>
  <c r="AH33" i="2"/>
  <c r="J33" i="2"/>
  <c r="P33" i="2"/>
  <c r="W33" i="2"/>
  <c r="AD33" i="2"/>
  <c r="AF33" i="2"/>
  <c r="AG33" i="2"/>
  <c r="E33" i="2"/>
  <c r="M33" i="2"/>
  <c r="Z33" i="2"/>
  <c r="C33" i="2"/>
  <c r="H33" i="2"/>
  <c r="K33" i="2"/>
  <c r="O33" i="2"/>
  <c r="X33" i="2"/>
  <c r="B33" i="2"/>
  <c r="I33" i="2"/>
  <c r="U33" i="2"/>
  <c r="AC33" i="2"/>
  <c r="AE33" i="2"/>
  <c r="AI33" i="2"/>
  <c r="L33" i="2"/>
  <c r="T33" i="2"/>
  <c r="Y33" i="2"/>
  <c r="I31" i="2"/>
  <c r="L31" i="2"/>
  <c r="R31" i="2"/>
  <c r="B31" i="2"/>
  <c r="O31" i="2"/>
  <c r="V31" i="2"/>
  <c r="W31" i="2"/>
  <c r="Z31" i="2"/>
  <c r="AA31" i="2"/>
  <c r="AE31" i="2"/>
  <c r="AI31" i="2"/>
  <c r="C31" i="2"/>
  <c r="H31" i="2"/>
  <c r="J31" i="2"/>
  <c r="P31" i="2"/>
  <c r="AB31" i="2"/>
  <c r="F31" i="2"/>
  <c r="N31" i="2"/>
  <c r="S31" i="2"/>
  <c r="E31" i="2"/>
  <c r="M31" i="2"/>
  <c r="T31" i="2"/>
  <c r="Y31" i="2"/>
  <c r="AD31" i="2"/>
  <c r="D31" i="2"/>
  <c r="AG31" i="2"/>
  <c r="G31" i="2"/>
  <c r="K31" i="2"/>
  <c r="Q31" i="2"/>
  <c r="U31" i="2"/>
  <c r="X31" i="2"/>
  <c r="AC31" i="2"/>
  <c r="AF31" i="2"/>
  <c r="AH31" i="2"/>
  <c r="D30" i="2"/>
  <c r="I30" i="2"/>
  <c r="K30" i="2"/>
  <c r="Q30" i="2"/>
  <c r="X30" i="2"/>
  <c r="AE30" i="2"/>
  <c r="AI30" i="2"/>
  <c r="G30" i="2"/>
  <c r="J30" i="2"/>
  <c r="M30" i="2"/>
  <c r="AA30" i="2"/>
  <c r="C30" i="2"/>
  <c r="F30" i="2"/>
  <c r="O30" i="2"/>
  <c r="T30" i="2"/>
  <c r="Z30" i="2"/>
  <c r="AC30" i="2"/>
  <c r="R30" i="2"/>
  <c r="V30" i="2"/>
  <c r="AD30" i="2"/>
  <c r="L30" i="2"/>
  <c r="Y30" i="2"/>
  <c r="AG30" i="2"/>
  <c r="B30" i="2"/>
  <c r="S30" i="2"/>
  <c r="W30" i="2"/>
  <c r="AB30" i="2"/>
  <c r="AH30" i="2"/>
  <c r="E30" i="2"/>
  <c r="H30" i="2"/>
  <c r="N30" i="2"/>
  <c r="P30" i="2"/>
  <c r="U30" i="2"/>
  <c r="AF30" i="2"/>
  <c r="B29" i="2"/>
  <c r="I29" i="2"/>
  <c r="W29" i="2"/>
  <c r="AD29" i="2"/>
  <c r="AI29" i="2"/>
  <c r="C29" i="2"/>
  <c r="L29" i="2"/>
  <c r="O29" i="2"/>
  <c r="X29" i="2"/>
  <c r="AA29" i="2"/>
  <c r="AE29" i="2"/>
  <c r="AH29" i="2"/>
  <c r="H29" i="2"/>
  <c r="G29" i="2"/>
  <c r="Q29" i="2"/>
  <c r="F29" i="2"/>
  <c r="P29" i="2"/>
  <c r="S29" i="2"/>
  <c r="U29" i="2"/>
  <c r="Y29" i="2"/>
  <c r="AG29" i="2"/>
  <c r="N29" i="2"/>
  <c r="D29" i="2"/>
  <c r="K29" i="2"/>
  <c r="M29" i="2"/>
  <c r="R29" i="2"/>
  <c r="V29" i="2"/>
  <c r="Z29" i="2"/>
  <c r="AB29" i="2"/>
  <c r="AF29" i="2"/>
  <c r="E29" i="2"/>
  <c r="J29" i="2"/>
  <c r="T29" i="2"/>
  <c r="AC29" i="2"/>
  <c r="AG27" i="2"/>
  <c r="M27" i="2"/>
  <c r="T27" i="2"/>
  <c r="W27" i="2"/>
  <c r="Z27" i="2"/>
  <c r="AC27" i="2"/>
  <c r="G27" i="2"/>
  <c r="J27" i="2"/>
  <c r="AI27" i="2"/>
  <c r="C27" i="2"/>
  <c r="F27" i="2"/>
  <c r="H27" i="2"/>
  <c r="K27" i="2"/>
  <c r="AE27" i="2"/>
  <c r="AH27" i="2"/>
  <c r="Q27" i="2"/>
  <c r="S27" i="2"/>
  <c r="U27" i="2"/>
  <c r="Y27" i="2"/>
  <c r="AB27" i="2"/>
  <c r="P27" i="2"/>
  <c r="V27" i="2"/>
  <c r="N27" i="2"/>
  <c r="X27" i="2"/>
  <c r="AD27" i="2"/>
  <c r="O27" i="2"/>
  <c r="R27" i="2"/>
  <c r="AA27" i="2"/>
  <c r="D27" i="2"/>
  <c r="I27" i="2"/>
  <c r="B27" i="2"/>
  <c r="E27" i="2"/>
  <c r="L27" i="2"/>
  <c r="AF27" i="2"/>
  <c r="P26" i="2"/>
  <c r="V26" i="2"/>
  <c r="AC26" i="2"/>
  <c r="C26" i="2"/>
  <c r="G26" i="2"/>
  <c r="Q26" i="2"/>
  <c r="T26" i="2"/>
  <c r="W26" i="2"/>
  <c r="Z26" i="2"/>
  <c r="AB26" i="2"/>
  <c r="J26" i="2"/>
  <c r="AE26" i="2"/>
  <c r="AI26" i="2"/>
  <c r="B26" i="2"/>
  <c r="D26" i="2"/>
  <c r="S26" i="2"/>
  <c r="AA26" i="2"/>
  <c r="F26" i="2"/>
  <c r="O26" i="2"/>
  <c r="R26" i="2"/>
  <c r="Y26" i="2"/>
  <c r="E26" i="2"/>
  <c r="N26" i="2"/>
  <c r="U26" i="2"/>
  <c r="X26" i="2"/>
  <c r="K26" i="2"/>
  <c r="AD26" i="2"/>
  <c r="AF26" i="2"/>
  <c r="AH26" i="2"/>
  <c r="H26" i="2"/>
  <c r="M26" i="2"/>
  <c r="AG26" i="2"/>
  <c r="I26" i="2"/>
  <c r="L26" i="2"/>
  <c r="O25" i="2"/>
  <c r="R25" i="2"/>
  <c r="S25" i="2"/>
  <c r="C25" i="2"/>
  <c r="G25" i="2"/>
  <c r="AF25" i="2"/>
  <c r="B25" i="2"/>
  <c r="H25" i="2"/>
  <c r="AH25" i="2"/>
  <c r="E25" i="2"/>
  <c r="J25" i="2"/>
  <c r="AA25" i="2"/>
  <c r="AE25" i="2"/>
  <c r="D25" i="2"/>
  <c r="I25" i="2"/>
  <c r="AB25" i="2"/>
  <c r="AC25" i="2"/>
  <c r="N25" i="2"/>
  <c r="T25" i="2"/>
  <c r="W25" i="2"/>
  <c r="L25" i="2"/>
  <c r="Z25" i="2"/>
  <c r="M25" i="2"/>
  <c r="V25" i="2"/>
  <c r="F25" i="2"/>
  <c r="AD25" i="2"/>
  <c r="AG25" i="2"/>
  <c r="K25" i="2"/>
  <c r="Q25" i="2"/>
  <c r="X25" i="2"/>
  <c r="AI25" i="2"/>
  <c r="P25" i="2"/>
  <c r="U25" i="2"/>
  <c r="Y25" i="2"/>
  <c r="D24" i="2"/>
  <c r="G24" i="2"/>
  <c r="P24" i="2"/>
  <c r="U24" i="2"/>
  <c r="W24" i="2"/>
  <c r="F24" i="2"/>
  <c r="N24" i="2"/>
  <c r="AF24" i="2"/>
  <c r="AI24" i="2"/>
  <c r="E24" i="2"/>
  <c r="J24" i="2"/>
  <c r="S24" i="2"/>
  <c r="V24" i="2"/>
  <c r="B24" i="2"/>
  <c r="H24" i="2"/>
  <c r="Q24" i="2"/>
  <c r="C24" i="2"/>
  <c r="I24" i="2"/>
  <c r="R24" i="2"/>
  <c r="T24" i="2"/>
  <c r="M24" i="2"/>
  <c r="X24" i="2"/>
  <c r="AB24" i="2"/>
  <c r="AE24" i="2"/>
  <c r="K24" i="2"/>
  <c r="O24" i="2"/>
  <c r="AA24" i="2"/>
  <c r="AD24" i="2"/>
  <c r="Z24" i="2"/>
  <c r="AH24" i="2"/>
  <c r="L24" i="2"/>
  <c r="Y24" i="2"/>
  <c r="AC24" i="2"/>
  <c r="AG24" i="2"/>
  <c r="D23" i="2"/>
  <c r="H23" i="2"/>
  <c r="V23" i="2"/>
  <c r="Y23" i="2"/>
  <c r="B23" i="2"/>
  <c r="F23" i="2"/>
  <c r="J23" i="2"/>
  <c r="R23" i="2"/>
  <c r="U23" i="2"/>
  <c r="X23" i="2"/>
  <c r="AB23" i="2"/>
  <c r="AG23" i="2"/>
  <c r="C23" i="2"/>
  <c r="E23" i="2"/>
  <c r="I23" i="2"/>
  <c r="L23" i="2"/>
  <c r="P23" i="2"/>
  <c r="S23" i="2"/>
  <c r="W23" i="2"/>
  <c r="AE23" i="2"/>
  <c r="AI23" i="2"/>
  <c r="G23" i="2"/>
  <c r="K23" i="2"/>
  <c r="M23" i="2"/>
  <c r="Q23" i="2"/>
  <c r="T23" i="2"/>
  <c r="AD23" i="2"/>
  <c r="AH23" i="2"/>
  <c r="N23" i="2"/>
  <c r="AC23" i="2"/>
  <c r="O23" i="2"/>
  <c r="AA23" i="2"/>
  <c r="AF23" i="2"/>
  <c r="Z23" i="2"/>
  <c r="G22" i="2"/>
  <c r="I22" i="2"/>
  <c r="N22" i="2"/>
  <c r="O22" i="2"/>
  <c r="V22" i="2"/>
  <c r="AC22" i="2"/>
  <c r="B22" i="2"/>
  <c r="R22" i="2"/>
  <c r="AI22" i="2"/>
  <c r="E22" i="2"/>
  <c r="K22" i="2"/>
  <c r="T22" i="2"/>
  <c r="W22" i="2"/>
  <c r="Z22" i="2"/>
  <c r="AE22" i="2"/>
  <c r="J22" i="2"/>
  <c r="P22" i="2"/>
  <c r="U22" i="2"/>
  <c r="AB22" i="2"/>
  <c r="D22" i="2"/>
  <c r="H22" i="2"/>
  <c r="M22" i="2"/>
  <c r="Y22" i="2"/>
  <c r="AF22" i="2"/>
  <c r="F22" i="2"/>
  <c r="L22" i="2"/>
  <c r="Q22" i="2"/>
  <c r="X22" i="2"/>
  <c r="AA22" i="2"/>
  <c r="AD22" i="2"/>
  <c r="AG22" i="2"/>
  <c r="C22" i="2"/>
  <c r="S22" i="2"/>
  <c r="AH22" i="2"/>
  <c r="B21" i="2"/>
  <c r="H21" i="2"/>
  <c r="L21" i="2"/>
  <c r="O21" i="2"/>
  <c r="T21" i="2"/>
  <c r="Y21" i="2"/>
  <c r="J21" i="2"/>
  <c r="P21" i="2"/>
  <c r="U21" i="2"/>
  <c r="X21" i="2"/>
  <c r="AA21" i="2"/>
  <c r="AD21" i="2"/>
  <c r="AH21" i="2"/>
  <c r="C21" i="2"/>
  <c r="E21" i="2"/>
  <c r="I21" i="2"/>
  <c r="M21" i="2"/>
  <c r="R21" i="2"/>
  <c r="V21" i="2"/>
  <c r="Z21" i="2"/>
  <c r="AC21" i="2"/>
  <c r="D21" i="2"/>
  <c r="G21" i="2"/>
  <c r="N21" i="2"/>
  <c r="Q21" i="2"/>
  <c r="AB21" i="2"/>
  <c r="AF21" i="2"/>
  <c r="F21" i="2"/>
  <c r="K21" i="2"/>
  <c r="S21" i="2"/>
  <c r="W21" i="2"/>
  <c r="AE21" i="2"/>
  <c r="AG21" i="2"/>
  <c r="AI21" i="2"/>
  <c r="C20" i="2"/>
  <c r="F20" i="2"/>
  <c r="J20" i="2"/>
  <c r="B20" i="2"/>
  <c r="E20" i="2"/>
  <c r="L20" i="2"/>
  <c r="O20" i="2"/>
  <c r="I20" i="2"/>
  <c r="M20" i="2"/>
  <c r="P20" i="2"/>
  <c r="Q20" i="2"/>
  <c r="X20" i="2"/>
  <c r="AC20" i="2"/>
  <c r="D20" i="2"/>
  <c r="G20" i="2"/>
  <c r="N20" i="2"/>
  <c r="AG20" i="2"/>
  <c r="H20" i="2"/>
  <c r="K20" i="2"/>
  <c r="T20" i="2"/>
  <c r="AA20" i="2"/>
  <c r="AH20" i="2"/>
  <c r="S20" i="2"/>
  <c r="Z20" i="2"/>
  <c r="AF20" i="2"/>
  <c r="V20" i="2"/>
  <c r="AD20" i="2"/>
  <c r="AI20" i="2"/>
  <c r="R20" i="2"/>
  <c r="U20" i="2"/>
  <c r="W20" i="2"/>
  <c r="Y20" i="2"/>
  <c r="AB20" i="2"/>
  <c r="AE20" i="2"/>
  <c r="B19" i="2"/>
  <c r="G19" i="2"/>
  <c r="N19" i="2"/>
  <c r="V19" i="2"/>
  <c r="Z19" i="2"/>
  <c r="AB19" i="2"/>
  <c r="AF19" i="2"/>
  <c r="AI19" i="2"/>
  <c r="X19" i="2"/>
  <c r="AE19" i="2"/>
  <c r="E19" i="2"/>
  <c r="H19" i="2"/>
  <c r="O19" i="2"/>
  <c r="S19" i="2"/>
  <c r="W19" i="2"/>
  <c r="AA19" i="2"/>
  <c r="F19" i="2"/>
  <c r="I19" i="2"/>
  <c r="P19" i="2"/>
  <c r="AD19" i="2"/>
  <c r="AG19" i="2"/>
  <c r="C19" i="2"/>
  <c r="K19" i="2"/>
  <c r="M19" i="2"/>
  <c r="R19" i="2"/>
  <c r="U19" i="2"/>
  <c r="AC19" i="2"/>
  <c r="Y19" i="2"/>
  <c r="D19" i="2"/>
  <c r="J19" i="2"/>
  <c r="L19" i="2"/>
  <c r="Q19" i="2"/>
  <c r="T19" i="2"/>
  <c r="AH19" i="2"/>
  <c r="A1" i="2"/>
  <c r="AO18" i="2"/>
  <c r="AO24" i="2"/>
  <c r="AO20" i="2"/>
  <c r="AO22" i="2"/>
  <c r="AO19" i="2"/>
  <c r="AO23" i="2"/>
  <c r="AO21" i="2"/>
  <c r="AO17" i="2"/>
  <c r="AO16" i="2"/>
  <c r="AO15" i="2"/>
  <c r="AO14" i="2"/>
  <c r="AO13" i="2"/>
  <c r="AO12" i="2"/>
  <c r="AO11" i="2"/>
  <c r="AO10" i="2"/>
  <c r="AO9" i="2"/>
  <c r="AO8" i="2"/>
  <c r="AO7" i="2"/>
  <c r="AO6" i="2"/>
  <c r="AO5" i="2"/>
  <c r="AO4" i="2"/>
  <c r="AO3" i="2"/>
  <c r="AO2" i="2"/>
  <c r="AO1"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B5C185B-65AF-F248-B5BB-93ED8852DFD0}" type="1" refreshedVersion="8" name="Invoices" interval="1" refreshOnLoad="1" background="1" saveData="1">
    <dbPr connection="DSN=NEON_INVOICE_PG;" command="SELECT e.invoice_number AS &quot;Invoice No&quot;, e.invoice_date AS &quot;Invoice Date&quot;, e.container_number AS &quot;Container Number&quot;, e.mawb_no AS &quot;MAWB No&quot;, e.hawb_no AS &quot;HAWB No&quot;, e.vendor_name AS &quot;Vendor Name&quot;, e.bill_of_lading_hbl AS &quot;Bill of Lading / HBL&quot;, e.weight AS &quot;WEIGHT&quot;, e.sea_freight AS &quot;Sea Freight&quot;, e.air_freight AS &quot;Air Freight&quot;, e.terminal_handling_charges AS &quot;Terminal Handling Charges&quot;, e.airway_waybill_charges AS &quot;Airway WayBill Charges&quot;, e.bl_charges AS &quot;BL Charges&quot;, e.ens_charges AS &quot;ENS Charges&quot;, e.seal_charges AS &quot;Seal Charges&quot;, e.vgm AS &quot;VGM&quot;, e.edi_fees AS &quot;EDI Fees&quot;, e.dap_charges AS &quot;DAP Charges&quot;, e.other_charges AS &quot;Other Charges&quot;, e.ams_charges AS &quot;AMS CHARGES&quot;, e.handling_charges AS &quot;Handlign Charges&quot;, e.pre_carriage_haulage AS &quot;Pre Carriage Haulage&quot;, e.ex_rate AS &quot;Ex Rate&quot;, e.misc AS &quot;Misc&quot;, e.transportation AS &quot;Transportation&quot;, e.warehouse_charges_port AS &quot;Warehouse charges Port&quot;, e.examination_charges AS &quot;Examination charges&quot;, e.fuel_charges AS &quot;Fuel Charges&quot;, e.cargo_screening AS &quot;Cargo Screening&quot;, e.agency_charges AS &quot;Agency Charges&quot;, e.shipping_bill_charges AS &quot;Shipping bill charges&quot;, e.review_status AS &quot;Review status&quot;, e.extraction_status AS &quot;Extraction status&quot;, e.updated_at AS &quot;Last updated&quot;, e.evidence_url AS &quot;Evidence link&quot; FROM reporting.invoice_export e WHERE COALESCE(e.invoice_number, '') ILIKE ? AND COALESCE(e.vendor_name, '') ILIKE ? AND COALESCE(e.invoice_date, DATE '1900-01-01') BETWEEN CAST(? AS date) AND CAST(? AS date) AND COALESCE(e.review_status, '') LIKE ? ORDER BY e.invoice_date DESC NULLS LAST, e.invoice_number"/>
    <parameters count="5">
      <parameter name="invoice" sqlType="12" parameterType="cell" refreshOnChange="1" cell="Query!$H$5"/>
      <parameter name="vendor" sqlType="12" parameterType="cell" refreshOnChange="1" cell="Query!$H$6"/>
      <parameter name="date_from" sqlType="12" parameterType="cell" refreshOnChange="1" cell="Query!$H$7"/>
      <parameter name="date_to" sqlType="12" parameterType="cell" refreshOnChange="1" cell="Query!$H$8"/>
      <parameter name="status" sqlType="12" parameterType="cell" refreshOnChange="1" cell="Query!$H$9"/>
    </parameters>
  </connection>
  <connection id="2" xr16:uid="{B4A64C2D-19A6-B04F-9050-5D0F45F2054F}" type="1" refreshedVersion="8" name="Charges" interval="1" refreshOnLoad="1" background="1" saveData="1">
    <dbPr connection="DSN=NEON_INVOICE_PG;" command="SELECT e.invoice_number AS &quot;Invoice No&quot;, e.invoice_date AS &quot;Invoice Date&quot;, e.vendor_name AS &quot;Vendor Name&quot;, c.charge AS &quot;Charge&quot;, c.amount AS &quot;Amount (INR)&quot;, e.review_status AS &quot;Review status&quot; FROM reporting.invoice_export e CROSS JOIN LATERAL (VALUES ('Sea Freight', e.sea_freight), ('Air Freight', e.air_freight), ('Terminal Handling Charges', e.terminal_handling_charges), ('Airway WayBill Charges', e.airway_waybill_charges), ('BL Charges', e.bl_charges), ('ENS Charges', e.ens_charges), ('Seal Charges', e.seal_charges), ('VGM', e.vgm), ('EDI Fees', e.edi_fees), ('DAP Charges', e.dap_charges), ('Other Charges', e.other_charges), ('AMS CHARGES', e.ams_charges), ('Handlign Charges', e.handling_charges), ('Pre Carriage Haulage', e.pre_carriage_haulage), ('Misc', e.misc), ('Transportation', e.transportation), ('Warehouse charges Port', e.warehouse_charges_port), ('Examination charges', e.examination_charges), ('Fuel Charges', e.fuel_charges), ('Cargo Screening', e.cargo_screening), ('Agency Charges', e.agency_charges), ('Shipping bill charges', e.shipping_bill_charges)) AS c(charge, amount) WHERE c.amount IS NOT NULL AND COALESCE(e.invoice_number, '') ILIKE ? AND COALESCE(e.vendor_name, '') ILIKE ? AND COALESCE(e.invoice_date, DATE '1900-01-01') BETWEEN CAST(? AS date) AND CAST(? AS date) AND COALESCE(e.review_status, '') LIKE ? ORDER BY e.invoice_date DESC NULLS LAST, e.invoice_number, c.charge"/>
    <parameters count="5">
      <parameter name="invoice" sqlType="12" parameterType="cell" refreshOnChange="1" cell="Query!$H$5"/>
      <parameter name="vendor" sqlType="12" parameterType="cell" refreshOnChange="1" cell="Query!$H$6"/>
      <parameter name="date_from" sqlType="12" parameterType="cell" refreshOnChange="1" cell="Query!$H$7"/>
      <parameter name="date_to" sqlType="12" parameterType="cell" refreshOnChange="1" cell="Query!$H$8"/>
      <parameter name="status" sqlType="12" parameterType="cell" refreshOnChange="1" cell="Query!$H$9"/>
    </parameters>
  </connection>
  <connection id="3" xr16:uid="{0DDEAD04-A25B-6D41-B8AE-282D5AFA3300}" type="1" refreshedVersion="8" name="Lookup" interval="1" refreshOnLoad="1" background="1" saveData="1">
    <dbPr connection="DSN=NEON_INVOICE_PG;" command="SELECT e.invoice_number AS &quot;Invoice No&quot;, e.invoice_date AS &quot;Invoice Date&quot;, e.container_number AS &quot;Container Number&quot;, e.mawb_no AS &quot;MAWB No&quot;, e.hawb_no AS &quot;HAWB No&quot;, e.vendor_name AS &quot;Vendor Name&quot;, e.bill_of_lading_hbl AS &quot;Bill of Lading / HBL&quot;, e.weight AS &quot;WEIGHT&quot;, e.sea_freight AS &quot;Sea Freight&quot;, e.air_freight AS &quot;Air Freight&quot;, e.terminal_handling_charges AS &quot;Terminal Handling Charges&quot;, e.airway_waybill_charges AS &quot;Airway WayBill Charges&quot;, e.bl_charges AS &quot;BL Charges&quot;, e.ens_charges AS &quot;ENS Charges&quot;, e.seal_charges AS &quot;Seal Charges&quot;, e.vgm AS &quot;VGM&quot;, e.edi_fees AS &quot;EDI Fees&quot;, e.dap_charges AS &quot;DAP Charges&quot;, e.other_charges AS &quot;Other Charges&quot;, e.ams_charges AS &quot;AMS CHARGES&quot;, e.handling_charges AS &quot;Handlign Charges&quot;, e.pre_carriage_haulage AS &quot;Pre Carriage Haulage&quot;, e.ex_rate AS &quot;Ex Rate&quot;, e.misc AS &quot;Misc&quot;, e.transportation AS &quot;Transportation&quot;, e.warehouse_charges_port AS &quot;Warehouse charges Port&quot;, e.examination_charges AS &quot;Examination charges&quot;, e.fuel_charges AS &quot;Fuel Charges&quot;, e.cargo_screening AS &quot;Cargo Screening&quot;, e.agency_charges AS &quot;Agency Charges&quot;, e.shipping_bill_charges AS &quot;Shipping bill charges&quot;, e.review_status AS &quot;Review status&quot;, e.extraction_status AS &quot;Extraction status&quot;, e.updated_at AS &quot;Last updated&quot;, e.evidence_url AS &quot;Evidence link&quot; FROM reporting.invoice_export e WHERE UPPER(e.invoice_number) = ANY(string_to_array(CAST(? AS text) || CAST(? AS text) || CAST(? AS text) || CAST(? AS text) || CAST(? AS text) || CAST(? AS text) || CAST(? AS text) || CAST(? AS text) || CAST(? AS text) || CAST(? AS text) || CAST(? AS text) || CAST(? AS text) || CAST(? AS text) || CAST(? AS text) || CAST(? AS text) || CAST(? AS text) || CAST(? AS text) || CAST(? AS text) || CAST(? AS text) || CAST(? AS text) || CAST(? AS text) || CAST(? AS text) || CAST(? AS text) || CAST(? AS text), '|')) ORDER BY e.invoice_number, e.updated_at DESC"/>
    <parameters count="24">
      <parameter name="invoice numbers 1" sqlType="12" parameterType="cell" refreshOnChange="1" cell="Lookup!$AO$1"/>
      <parameter name="invoice numbers 2" sqlType="12" parameterType="cell" refreshOnChange="1" cell="Lookup!$AO$2"/>
      <parameter name="invoice numbers 3" sqlType="12" parameterType="cell" refreshOnChange="1" cell="Lookup!$AO$3"/>
      <parameter name="invoice numbers 4" sqlType="12" parameterType="cell" refreshOnChange="1" cell="Lookup!$AO$4"/>
      <parameter name="invoice numbers 5" sqlType="12" parameterType="cell" refreshOnChange="1" cell="Lookup!$AO$5"/>
      <parameter name="invoice numbers 6" sqlType="12" parameterType="cell" refreshOnChange="1" cell="Lookup!$AO$6"/>
      <parameter name="invoice numbers 7" sqlType="12" parameterType="cell" refreshOnChange="1" cell="Lookup!$AO$7"/>
      <parameter name="invoice numbers 8" sqlType="12" parameterType="cell" refreshOnChange="1" cell="Lookup!$AO$8"/>
      <parameter name="invoice numbers 9" sqlType="12" parameterType="cell" refreshOnChange="1" cell="Lookup!$AO$9"/>
      <parameter name="invoice numbers 10" sqlType="12" parameterType="cell" refreshOnChange="1" cell="Lookup!$AO$10"/>
      <parameter name="invoice numbers 11" sqlType="12" parameterType="cell" refreshOnChange="1" cell="Lookup!$AO$11"/>
      <parameter name="invoice numbers 12" sqlType="12" parameterType="cell" refreshOnChange="1" cell="Lookup!$AO$12"/>
      <parameter name="invoice numbers 13" sqlType="12" parameterType="cell" refreshOnChange="1" cell="Lookup!$AO$13"/>
      <parameter name="invoice numbers 14" sqlType="12" parameterType="cell" refreshOnChange="1" cell="Lookup!$AO$14"/>
      <parameter name="invoice numbers 15" sqlType="12" parameterType="cell" refreshOnChange="1" cell="Lookup!$AO$15"/>
      <parameter name="invoice numbers 16" sqlType="12" parameterType="cell" refreshOnChange="1" cell="Lookup!$AO$16"/>
      <parameter name="invoice numbers 17" sqlType="12" parameterType="cell" refreshOnChange="1" cell="Lookup!$AO$17"/>
      <parameter name="invoice numbers 18" sqlType="12" parameterType="cell" refreshOnChange="1" cell="Lookup!$AO$18"/>
      <parameter name="invoice numbers 19" sqlType="12" parameterType="cell" refreshOnChange="1" cell="Lookup!$AO$19"/>
      <parameter name="invoice numbers 20" sqlType="12" parameterType="cell" refreshOnChange="1" cell="Lookup!$AO$20"/>
      <parameter name="invoice numbers 21" sqlType="12" parameterType="cell" refreshOnChange="1" cell="Lookup!$AO$21"/>
      <parameter name="invoice numbers 22" sqlType="12" parameterType="cell" refreshOnChange="1" cell="Lookup!$AO$22"/>
      <parameter name="invoice numbers 23" sqlType="12" parameterType="cell" refreshOnChange="1" cell="Lookup!$AO$23"/>
      <parameter name="invoice numbers 24" sqlType="12" parameterType="cell" refreshOnChange="1" cell="Lookup!$AO$24"/>
    </parameters>
  </connection>
  <connection id="4" xr16:uid="{3325831B-4D93-B641-AD29-2F1DA2790490}" type="1" refreshedVersion="8" name="Details" interval="1" refreshOnLoad="1" background="1" saveData="1">
    <dbPr connection="DSN=NEON_INVOICE_PG;" command="SELECT d.invoice_number AS &quot;Invoice No&quot;, d.detail_group AS &quot;Group&quot;, replace(d.detail, '_', ' ') AS &quot;Detail&quot;, d.value AS &quot;Value&quot;, d.normalized AS &quot;Normalized&quot;, CASE WHEN d.valid THEN 'yes' ELSE 'no' END AS &quot;Check passed&quot;, d.page_number AS &quot;Page&quot;, d.printed_label AS &quot;Printed label&quot; FROM reporting.invoice_attributes d WHERE UPPER(d.invoice_number) = ANY(string_to_array(CAST(? AS text) || CAST(? AS text) || CAST(? AS text) || CAST(? AS text) || CAST(? AS text) || CAST(? AS text) || CAST(? AS text) || CAST(? AS text) || CAST(? AS text) || CAST(? AS text) || CAST(? AS text) || CAST(? AS text) || CAST(? AS text) || CAST(? AS text) || CAST(? AS text) || CAST(? AS text) || CAST(? AS text) || CAST(? AS text) || CAST(? AS text) || CAST(? AS text) || CAST(? AS text) || CAST(? AS text) || CAST(? AS text) || CAST(? AS text), '|')) ORDER BY d.invoice_number, d.seq"/>
    <parameters count="24">
      <parameter name="invoice numbers 1" sqlType="12" parameterType="cell" refreshOnChange="1" cell="Lookup!$AO$1"/>
      <parameter name="invoice numbers 2" sqlType="12" parameterType="cell" refreshOnChange="1" cell="Lookup!$AO$2"/>
      <parameter name="invoice numbers 3" sqlType="12" parameterType="cell" refreshOnChange="1" cell="Lookup!$AO$3"/>
      <parameter name="invoice numbers 4" sqlType="12" parameterType="cell" refreshOnChange="1" cell="Lookup!$AO$4"/>
      <parameter name="invoice numbers 5" sqlType="12" parameterType="cell" refreshOnChange="1" cell="Lookup!$AO$5"/>
      <parameter name="invoice numbers 6" sqlType="12" parameterType="cell" refreshOnChange="1" cell="Lookup!$AO$6"/>
      <parameter name="invoice numbers 7" sqlType="12" parameterType="cell" refreshOnChange="1" cell="Lookup!$AO$7"/>
      <parameter name="invoice numbers 8" sqlType="12" parameterType="cell" refreshOnChange="1" cell="Lookup!$AO$8"/>
      <parameter name="invoice numbers 9" sqlType="12" parameterType="cell" refreshOnChange="1" cell="Lookup!$AO$9"/>
      <parameter name="invoice numbers 10" sqlType="12" parameterType="cell" refreshOnChange="1" cell="Lookup!$AO$10"/>
      <parameter name="invoice numbers 11" sqlType="12" parameterType="cell" refreshOnChange="1" cell="Lookup!$AO$11"/>
      <parameter name="invoice numbers 12" sqlType="12" parameterType="cell" refreshOnChange="1" cell="Lookup!$AO$12"/>
      <parameter name="invoice numbers 13" sqlType="12" parameterType="cell" refreshOnChange="1" cell="Lookup!$AO$13"/>
      <parameter name="invoice numbers 14" sqlType="12" parameterType="cell" refreshOnChange="1" cell="Lookup!$AO$14"/>
      <parameter name="invoice numbers 15" sqlType="12" parameterType="cell" refreshOnChange="1" cell="Lookup!$AO$15"/>
      <parameter name="invoice numbers 16" sqlType="12" parameterType="cell" refreshOnChange="1" cell="Lookup!$AO$16"/>
      <parameter name="invoice numbers 17" sqlType="12" parameterType="cell" refreshOnChange="1" cell="Lookup!$AO$17"/>
      <parameter name="invoice numbers 18" sqlType="12" parameterType="cell" refreshOnChange="1" cell="Lookup!$AO$18"/>
      <parameter name="invoice numbers 19" sqlType="12" parameterType="cell" refreshOnChange="1" cell="Lookup!$AO$19"/>
      <parameter name="invoice numbers 20" sqlType="12" parameterType="cell" refreshOnChange="1" cell="Lookup!$AO$20"/>
      <parameter name="invoice numbers 21" sqlType="12" parameterType="cell" refreshOnChange="1" cell="Lookup!$AO$21"/>
      <parameter name="invoice numbers 22" sqlType="12" parameterType="cell" refreshOnChange="1" cell="Lookup!$AO$22"/>
      <parameter name="invoice numbers 23" sqlType="12" parameterType="cell" refreshOnChange="1" cell="Lookup!$AO$23"/>
      <parameter name="invoice numbers 24" sqlType="12" parameterType="cell" refreshOnChange="1" cell="Lookup!$AO$24"/>
    </parameters>
  </connection>
  <connection id="5" xr16:uid="{033C8038-A3A1-C946-A55D-81EC5CDB2411}" type="1" refreshedVersion="8" name="More fields" interval="1" refreshOnLoad="1" background="1" saveData="1">
    <dbPr connection="DSN=NEON_INVOICE_PG;" command="SELECT e.invoice_number AS &quot;Invoice No&quot;, e.invoice_date AS &quot;Invoice Date&quot;, w.vendor_name AS &quot;Vendor name&quot;, w.vendor_address AS &quot;Vendor address&quot;, w.vendor_gstin AS &quot;Vendor gstin&quot;, w.vendor_pan AS &quot;Vendor pan&quot;, w.vendor_state AS &quot;Vendor state&quot;, w.vendor_phone AS &quot;Vendor phone&quot;, w.vendor_email AS &quot;Vendor email&quot;, w.vendor_cin AS &quot;Vendor cin&quot;, w.customer_name AS &quot;Customer name&quot;, w.customer_address AS &quot;Customer address&quot;, w.customer_gstin AS &quot;Customer gstin&quot;, w.customer_pan AS &quot;Customer pan&quot;, w.customer_code AS &quot;Customer code&quot;, w.invoice_type AS &quot;Invoice type&quot;, w.due_date AS &quot;Due date&quot;, w.payment_terms AS &quot;Payment terms&quot;, w.place_of_supply AS &quot;Place of supply&quot;, w.po_number AS &quot;Po number&quot;, w.job_number AS &quot;Job number&quot;, w.commercial_invoice_number AS &quot;Commercial invoice number&quot;, w.shipping_bill_number AS &quot;Shipping bill number&quot;, w.shipping_bill_date AS &quot;Shipping bill date&quot;, w.currency AS &quot;Currency&quot;, w.shipper AS &quot;Shipper&quot;, w.consignee AS &quot;Consignee&quot;, w.incoterm AS &quot;Incoterm&quot;, w.port_of_loading AS &quot;Port of loading&quot;, w.port_of_discharge AS &quot;Port of discharge&quot;, w.place_of_delivery AS &quot;Place of delivery&quot;, w.vessel_voyage AS &quot;Vessel voyage&quot;, w.etd AS &quot;Etd&quot;, w.eta AS &quot;Eta&quot;, w.master_bl_number AS &quot;Master bl number&quot;, w.packages AS &quot;Packages&quot;, w.net_weight AS &quot;Net weight&quot;, w.chargeable_weight AS &quot;Chargeable weight&quot;, w.volume AS &quot;Volume&quot;, w.container_type AS &quot;Container type&quot;, w.goods_description AS &quot;Goods description&quot;, w.hs_code AS &quot;Hs code&quot;, w.taxable_total AS &quot;Taxable total&quot;, w.cgst_total AS &quot;Cgst total&quot;, w.sgst_total AS &quot;Sgst total&quot;, w.igst_total AS &quot;Igst total&quot;, w.invoice_total AS &quot;Invoice total&quot;, w.amount_in_words AS &quot;Amount in words&quot;, w.bank_name AS &quot;Bank name&quot;, w.bank_account_number AS &quot;Bank account number&quot;, w.bank_ifsc AS &quot;Bank ifsc&quot;, w.bank_swift AS &quot;Bank swift&quot;, w.irn AS &quot;Irn&quot;, w.ack_number AS &quot;Ack number&quot;, w.ack_date AS &quot;Ack date&quot; FROM reporting.invoice_export e JOIN reporting.invoice_attributes_wide w ON w.invoice_id = e.invoice_id WHERE COALESCE(e.invoice_number, '') ILIKE ? AND COALESCE(e.vendor_name, '') ILIKE ? AND COALESCE(e.invoice_date, DATE '1900-01-01') BETWEEN CAST(? AS date) AND CAST(? AS date) AND COALESCE(e.review_status, '') LIKE ? ORDER BY e.invoice_date DESC NULLS LAST, e.invoice_number"/>
    <parameters count="5">
      <parameter name="invoice" sqlType="12" parameterType="cell" refreshOnChange="1" cell="Query!$H$5"/>
      <parameter name="vendor" sqlType="12" parameterType="cell" refreshOnChange="1" cell="Query!$H$6"/>
      <parameter name="date_from" sqlType="12" parameterType="cell" refreshOnChange="1" cell="Query!$H$7"/>
      <parameter name="date_to" sqlType="12" parameterType="cell" refreshOnChange="1" cell="Query!$H$8"/>
      <parameter name="status" sqlType="12" parameterType="cell" refreshOnChange="1" cell="Query!$H$9"/>
    </parameters>
  </connection>
</connections>
</file>

<file path=xl/sharedStrings.xml><?xml version="1.0" encoding="utf-8"?>
<sst xmlns="http://schemas.openxmlformats.org/spreadsheetml/2006/main" count="195" uniqueCount="117">
  <si>
    <t>Invoice database - live query</t>
  </si>
  <si>
    <t>Type a filter (or leave everything empty for all invoices): the sheets Invoices and Charges are filled from the database. They also refresh by themselves every 1 minute(s); Data &gt; Refresh All does it at once.</t>
  </si>
  <si>
    <t>Filter</t>
  </si>
  <si>
    <t>Value</t>
  </si>
  <si>
    <t>sent to the database</t>
  </si>
  <si>
    <t>Invoice number contains</t>
  </si>
  <si>
    <t>part of the number, e.g. AMD</t>
  </si>
  <si>
    <t>Vendor name contains</t>
  </si>
  <si>
    <t>part of the name, e.g. dachser</t>
  </si>
  <si>
    <t>Invoice date from</t>
  </si>
  <si>
    <t>a date; empty = no lower limit</t>
  </si>
  <si>
    <t>Invoice date to</t>
  </si>
  <si>
    <t>a date; empty = no upper limit</t>
  </si>
  <si>
    <t>Review status</t>
  </si>
  <si>
    <t>All</t>
  </si>
  <si>
    <t>All, PENDING, IN_REVIEW, APPROVED, REJECTED, REPROCESSED</t>
  </si>
  <si>
    <t>Invoices returned</t>
  </si>
  <si>
    <t>Charge lines returned</t>
  </si>
  <si>
    <t>Charges before GST (INR)</t>
  </si>
  <si>
    <t>First use: the data source NEON_INVOICE_PG must exist on this computer (see docs/EXCEL_LIVE_QUERY.md). Excel asks for the database password unless it is saved in the data source.</t>
  </si>
  <si>
    <t>Details for particular invoices: type the invoice numbers in column A of the sheet Lookup; the other columns fill in by themselves, and the sheet Details lists their other details (due date, PO number, parties, ports, totals, bank ...). The sheet More fields has those details as columns for every invoice that matches the filters.</t>
  </si>
  <si>
    <t>Invoice Date</t>
  </si>
  <si>
    <t>Container Number</t>
  </si>
  <si>
    <t>MAWB No</t>
  </si>
  <si>
    <t>HAWB No</t>
  </si>
  <si>
    <t>Vendor Name</t>
  </si>
  <si>
    <t>Bill of Lading / HBL</t>
  </si>
  <si>
    <t>WEIGHT</t>
  </si>
  <si>
    <t>Sea Freight</t>
  </si>
  <si>
    <t>Air Freight</t>
  </si>
  <si>
    <t>Terminal Handling Charges</t>
  </si>
  <si>
    <t>Airway WayBill Charges</t>
  </si>
  <si>
    <t>BL Charges</t>
  </si>
  <si>
    <t>ENS Charges</t>
  </si>
  <si>
    <t>Seal Charges</t>
  </si>
  <si>
    <t>VGM</t>
  </si>
  <si>
    <t>EDI Fees</t>
  </si>
  <si>
    <t>DAP Charges</t>
  </si>
  <si>
    <t>Other Charges</t>
  </si>
  <si>
    <t>AMS CHARGES</t>
  </si>
  <si>
    <t>Handlign Charges</t>
  </si>
  <si>
    <t>Pre Carriage Haulage</t>
  </si>
  <si>
    <t>Ex Rate</t>
  </si>
  <si>
    <t>Misc</t>
  </si>
  <si>
    <t>Transportation</t>
  </si>
  <si>
    <t>Warehouse charges Port</t>
  </si>
  <si>
    <t>Examination charges</t>
  </si>
  <si>
    <t>Fuel Charges</t>
  </si>
  <si>
    <t>Cargo Screening</t>
  </si>
  <si>
    <t>Agency Charges</t>
  </si>
  <si>
    <t>Shipping bill charges</t>
  </si>
  <si>
    <t>Extraction status</t>
  </si>
  <si>
    <t>Last updated</t>
  </si>
  <si>
    <t>Evidence</t>
  </si>
  <si>
    <t>Invoice No</t>
  </si>
  <si>
    <t>Evidence link</t>
  </si>
  <si>
    <t>Charge</t>
  </si>
  <si>
    <t>Amount (INR)</t>
  </si>
  <si>
    <t>Group</t>
  </si>
  <si>
    <t>Detail</t>
  </si>
  <si>
    <t>Normalized</t>
  </si>
  <si>
    <t>Check passed</t>
  </si>
  <si>
    <t>Page</t>
  </si>
  <si>
    <t>Printed label</t>
  </si>
  <si>
    <t>Vendor name</t>
  </si>
  <si>
    <t>Vendor address</t>
  </si>
  <si>
    <t>Vendor gstin</t>
  </si>
  <si>
    <t>Vendor pan</t>
  </si>
  <si>
    <t>Vendor state</t>
  </si>
  <si>
    <t>Vendor phone</t>
  </si>
  <si>
    <t>Vendor email</t>
  </si>
  <si>
    <t>Vendor cin</t>
  </si>
  <si>
    <t>Customer name</t>
  </si>
  <si>
    <t>Customer address</t>
  </si>
  <si>
    <t>Customer gstin</t>
  </si>
  <si>
    <t>Customer pan</t>
  </si>
  <si>
    <t>Customer code</t>
  </si>
  <si>
    <t>Invoice type</t>
  </si>
  <si>
    <t>Due date</t>
  </si>
  <si>
    <t>Payment terms</t>
  </si>
  <si>
    <t>Place of supply</t>
  </si>
  <si>
    <t>Po number</t>
  </si>
  <si>
    <t>Job number</t>
  </si>
  <si>
    <t>Commercial invoice number</t>
  </si>
  <si>
    <t>Shipping bill number</t>
  </si>
  <si>
    <t>Shipping bill date</t>
  </si>
  <si>
    <t>Currency</t>
  </si>
  <si>
    <t>Shipper</t>
  </si>
  <si>
    <t>Consignee</t>
  </si>
  <si>
    <t>Incoterm</t>
  </si>
  <si>
    <t>Port of loading</t>
  </si>
  <si>
    <t>Port of discharge</t>
  </si>
  <si>
    <t>Place of delivery</t>
  </si>
  <si>
    <t>Vessel voyage</t>
  </si>
  <si>
    <t>Etd</t>
  </si>
  <si>
    <t>Eta</t>
  </si>
  <si>
    <t>Master bl number</t>
  </si>
  <si>
    <t>Packages</t>
  </si>
  <si>
    <t>Net weight</t>
  </si>
  <si>
    <t>Chargeable weight</t>
  </si>
  <si>
    <t>Volume</t>
  </si>
  <si>
    <t>Container type</t>
  </si>
  <si>
    <t>Goods description</t>
  </si>
  <si>
    <t>Hs code</t>
  </si>
  <si>
    <t>Taxable total</t>
  </si>
  <si>
    <t>Cgst total</t>
  </si>
  <si>
    <t>Sgst total</t>
  </si>
  <si>
    <t>Igst total</t>
  </si>
  <si>
    <t>Invoice total</t>
  </si>
  <si>
    <t>Amount in words</t>
  </si>
  <si>
    <t>Bank name</t>
  </si>
  <si>
    <t>Bank account number</t>
  </si>
  <si>
    <t>Bank ifsc</t>
  </si>
  <si>
    <t>Bank swift</t>
  </si>
  <si>
    <t>Irn</t>
  </si>
  <si>
    <t>Ack number</t>
  </si>
  <si>
    <t>Ack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</si>
</sst>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yyyy\-mm\-dd\ hh:mm"/>
  </numFmts>
  <fonts count="8" x14ac:knownFonts="1">
    <font>
      <sz val="11"/>
      <color theme="1"/>
      <name val="Calibri"/>
      <family val="2"/>
      <scheme val="minor"/>
    </font>
    <font>
      <b/>
      <sz val="16"/>
      <name val="Calibri"/>
      <family val="2"/>
    </font>
    <font>
      <b/>
      <sz val="11"/>
      <color rgb="FFFFFFFF"/>
      <name val="Calibri"/>
      <family val="2"/>
    </font>
    <font>
      <i/>
      <sz val="11"/>
      <color rgb="FF7F7F7F"/>
      <name val="Calibri"/>
      <family val="2"/>
    </font>
    <font>
      <b/>
      <sz val="11"/>
      <name val="Calibri"/>
      <family val="2"/>
    </font>
    <font>
      <sz val="11"/>
      <color rgb="FF7F7F7F"/>
      <name val="Calibri"/>
      <family val="2"/>
    </font>
    <font>
      <u/>
      <sz val="11"/>
      <color rgb="FF0563C1"/>
      <name val="Calibri"/>
      <family val="2"/>
    </font>
    <font>
      <b/>
      <sz val="11"/>
      <color theme="1"/>
      <name val="Calibri"/>
      <family val="2"/>
      <scheme val="minor"/>
    </font>
  </fonts>
  <fills count="4">
    <fill>
      <patternFill patternType="none"/>
    </fill>
    <fill>
      <patternFill patternType="gray125"/>
    </fill>
    <fill>
      <patternFill patternType="solid">
        <fgColor rgb="FF1F4E78"/>
      </patternFill>
    </fill>
    <fill>
      <patternFill patternType="solid">
        <fgColor rgb="FFFFF2CC"/>
      </patternFill>
    </fill>
  </fills>
  <borders count="2">
    <border>
      <left/>
      <right/>
      <top/>
      <bottom/>
      <diagonal/>
    </border>
    <border>
      <left style="thin">
        <color rgb="FF8EA9C1"/>
      </left>
      <right style="thin">
        <color rgb="FF8EA9C1"/>
      </right>
      <top style="thin">
        <color rgb="FF8EA9C1"/>
      </top>
      <bottom style="thin">
        <color rgb="FF8EA9C1"/>
      </bottom>
      <diagonal/>
    </border>
  </borders>
  <cellStyleXfs count="1">
    <xf numFmtId="0" fontId="0" fillId="0" borderId="0"/>
  </cellStyleXfs>
  <cellXfs count="19">
    <xf numFmtId="0" fontId="0" fillId="0" borderId="0" xfId="0"/>
    <xf numFmtId="0" fontId="1" fillId="0" borderId="0" xfId="0" applyFont="1"/>
    <xf numFmtId="0" fontId="2" fillId="2" borderId="0" xfId="0" applyFont="1" applyFill="1"/>
    <xf numFmtId="0" fontId="0" fillId="3" borderId="1" xfId="0" applyFill="1" applyBorder="1"/>
    <xf numFmtId="0" fontId="3" fillId="0" borderId="0" xfId="0" applyFont="1"/>
    <xf numFmtId="164" fontId="0" fillId="3" borderId="1" xfId="0" applyNumberFormat="1" applyFill="1" applyBorder="1"/>
    <xf numFmtId="0" fontId="4" fillId="0" borderId="0" xfId="0" applyFont="1"/>
    <xf numFmtId="4" fontId="0" fillId="0" borderId="0" xfId="0" applyNumberFormat="1"/>
    <xf numFmtId="0" fontId="2" fillId="2" borderId="0" xfId="0" applyFont="1" applyFill="1" applyAlignment="1">
      <alignment vertical="center" wrapText="1"/>
    </xf>
    <xf numFmtId="49" fontId="0" fillId="3" borderId="0" xfId="0" applyNumberFormat="1" applyFill="1"/>
    <xf numFmtId="164" fontId="0" fillId="0" borderId="0" xfId="0" applyNumberFormat="1"/>
    <xf numFmtId="165" fontId="0" fillId="0" borderId="0" xfId="0" applyNumberFormat="1"/>
    <xf numFmtId="0" fontId="6" fillId="0" borderId="0" xfId="0" applyFont="1"/>
    <xf numFmtId="0" fontId="0" fillId="0" borderId="0" xfId="0" applyAlignment="1">
      <alignment vertical="top" wrapText="1"/>
    </xf>
    <xf numFmtId="0" fontId="0" fillId="0" borderId="0" xfId="0"/>
    <xf numFmtId="0" fontId="5" fillId="0" borderId="0" xfId="0" applyFont="1" applyAlignment="1">
      <alignment vertical="top" wrapText="1"/>
    </xf>
    <xf numFmtId="14" fontId="0" fillId="0" borderId="0" xfId="0" applyNumberFormat="1"/>
    <xf numFmtId="22" fontId="0" fillId="0" borderId="0" xfId="0" applyNumberFormat="1"/>
    <xf numFmtId="0" fontId="7"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52E46C4-0FD9-0E48-951B-D6C6DC6973D7}" autoFormatId="0" applyNumberFormats="0" applyBorderFormats="0" applyFontFormats="1" applyPatternFormats="1" applyAlignmentFormats="0" applyWidthHeightFormats="0">
  <queryTableRefresh preserveSortFilterLayout="0" nextId="36">
    <queryTableFields count="35">
      <queryTableField id="1" name="Invoice No"/>
      <queryTableField id="2" name="Invoice Date"/>
      <queryTableField id="3" name="Container Number"/>
      <queryTableField id="4" name="MAWB No"/>
      <queryTableField id="5" name="HAWB No"/>
      <queryTableField id="6" name="Vendor Name"/>
      <queryTableField id="7" name="Bill of Lading / HBL"/>
      <queryTableField id="8" name="WEIGHT"/>
      <queryTableField id="9" name="Sea Freight"/>
      <queryTableField id="10" name="Air Freight"/>
      <queryTableField id="11" name="Terminal Handling Charges"/>
      <queryTableField id="12" name="Airway WayBill Charges"/>
      <queryTableField id="13" name="BL Charges"/>
      <queryTableField id="14" name="ENS Charges"/>
      <queryTableField id="15" name="Seal Charges"/>
      <queryTableField id="16" name="VGM"/>
      <queryTableField id="17" name="EDI Fees"/>
      <queryTableField id="18" name="DAP Charges"/>
      <queryTableField id="19" name="Other Charges"/>
      <queryTableField id="20" name="AMS CHARGES"/>
      <queryTableField id="21" name="Handlign Charges"/>
      <queryTableField id="22" name="Pre Carriage Haulage"/>
      <queryTableField id="23" name="Ex Rate"/>
      <queryTableField id="24" name="Misc"/>
      <queryTableField id="25" name="Transportation"/>
      <queryTableField id="26" name="Warehouse charges Port"/>
      <queryTableField id="27" name="Examination charges"/>
      <queryTableField id="28" name="Fuel Charges"/>
      <queryTableField id="29" name="Cargo Screening"/>
      <queryTableField id="30" name="Agency Charges"/>
      <queryTableField id="31" name="Shipping bill charges"/>
      <queryTableField id="32" name="Review status"/>
      <queryTableField id="33" name="Extraction status"/>
      <queryTableField id="34" name="Last updated"/>
      <queryTableField id="35" name="Evidence link"/>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0CE4AE43-FFC3-FE40-8A18-9FB904A676FA}" autoFormatId="0" applyNumberFormats="0" applyBorderFormats="0" applyFontFormats="1" applyPatternFormats="1" applyAlignmentFormats="0" applyWidthHeightFormats="0">
  <queryTableRefresh preserveSortFilterLayout="0" nextId="7">
    <queryTableFields count="6">
      <queryTableField id="1" name="Invoice No"/>
      <queryTableField id="2" name="Invoice Date"/>
      <queryTableField id="3" name="Vendor Name"/>
      <queryTableField id="4" name="Charge"/>
      <queryTableField id="5" name="Amount (INR)"/>
      <queryTableField id="6" name="Review status"/>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4" xr16:uid="{7DDAB1AA-0F43-734E-8D54-9C3FB9E9C5C8}" autoFormatId="0" applyNumberFormats="0" applyBorderFormats="0" applyFontFormats="1" applyPatternFormats="1" applyAlignmentFormats="0" applyWidthHeightFormats="0">
  <queryTableRefresh preserveSortFilterLayout="0" nextId="9">
    <queryTableFields count="8">
      <queryTableField id="1" name="Invoice No"/>
      <queryTableField id="2" name="Group"/>
      <queryTableField id="3" name="Detail"/>
      <queryTableField id="4" name="Value"/>
      <queryTableField id="5" name="Normalized"/>
      <queryTableField id="6" name="Check passed"/>
      <queryTableField id="7" name="Page"/>
      <queryTableField id="8" name="Printed label"/>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5" xr16:uid="{CFD8A577-1FAD-7A47-9030-BA4C8C5131E8}" autoFormatId="0" applyNumberFormats="0" applyBorderFormats="0" applyFontFormats="1" applyPatternFormats="1" applyAlignmentFormats="0" applyWidthHeightFormats="0">
  <queryTableRefresh preserveSortFilterLayout="0" nextId="56">
    <queryTableFields count="55">
      <queryTableField id="1" name="Invoice No"/>
      <queryTableField id="2" name="Invoice Date"/>
      <queryTableField id="3" name="Vendor name"/>
      <queryTableField id="4" name="Vendor address"/>
      <queryTableField id="5" name="Vendor gstin"/>
      <queryTableField id="6" name="Vendor pan"/>
      <queryTableField id="7" name="Vendor state"/>
      <queryTableField id="8" name="Vendor phone"/>
      <queryTableField id="9" name="Vendor email"/>
      <queryTableField id="10" name="Vendor cin"/>
      <queryTableField id="11" name="Customer name"/>
      <queryTableField id="12" name="Customer address"/>
      <queryTableField id="13" name="Customer gstin"/>
      <queryTableField id="14" name="Customer pan"/>
      <queryTableField id="15" name="Customer code"/>
      <queryTableField id="16" name="Invoice type"/>
      <queryTableField id="17" name="Due date"/>
      <queryTableField id="18" name="Payment terms"/>
      <queryTableField id="19" name="Place of supply"/>
      <queryTableField id="20" name="Po number"/>
      <queryTableField id="21" name="Job number"/>
      <queryTableField id="22" name="Commercial invoice number"/>
      <queryTableField id="23" name="Shipping bill number"/>
      <queryTableField id="24" name="Shipping bill date"/>
      <queryTableField id="25" name="Currency"/>
      <queryTableField id="26" name="Shipper"/>
      <queryTableField id="27" name="Consignee"/>
      <queryTableField id="28" name="Incoterm"/>
      <queryTableField id="29" name="Port of loading"/>
      <queryTableField id="30" name="Port of discharge"/>
      <queryTableField id="31" name="Place of delivery"/>
      <queryTableField id="32" name="Vessel voyage"/>
      <queryTableField id="33" name="Etd"/>
      <queryTableField id="34" name="Eta"/>
      <queryTableField id="35" name="Master bl number"/>
      <queryTableField id="36" name="Packages"/>
      <queryTableField id="37" name="Net weight"/>
      <queryTableField id="38" name="Chargeable weight"/>
      <queryTableField id="39" name="Volume"/>
      <queryTableField id="40" name="Container type"/>
      <queryTableField id="41" name="Goods description"/>
      <queryTableField id="42" name="Hs code"/>
      <queryTableField id="43" name="Taxable total"/>
      <queryTableField id="44" name="Cgst total"/>
      <queryTableField id="45" name="Sgst total"/>
      <queryTableField id="46" name="Igst total"/>
      <queryTableField id="47" name="Invoice total"/>
      <queryTableField id="48" name="Amount in words"/>
      <queryTableField id="49" name="Bank name"/>
      <queryTableField id="50" name="Bank account number"/>
      <queryTableField id="51" name="Bank ifsc"/>
      <queryTableField id="52" name="Bank swift"/>
      <queryTableField id="53" name="Irn"/>
      <queryTableField id="54" name="Ack number"/>
      <queryTableField id="55" name="Ack date"/>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3" xr16:uid="{64D05857-2A38-8941-A2EF-645CD0BB1720}" autoFormatId="0" applyNumberFormats="0" applyBorderFormats="0" applyFontFormats="1" applyPatternFormats="1" applyAlignmentFormats="0" applyWidthHeightFormats="0">
  <queryTableRefresh preserveSortFilterLayout="0" nextId="36">
    <queryTableFields count="35">
      <queryTableField id="1" name="Invoice No"/>
      <queryTableField id="2" name="Invoice Date"/>
      <queryTableField id="3" name="Container Number"/>
      <queryTableField id="4" name="MAWB No"/>
      <queryTableField id="5" name="HAWB No"/>
      <queryTableField id="6" name="Vendor Name"/>
      <queryTableField id="7" name="Bill of Lading / HBL"/>
      <queryTableField id="8" name="WEIGHT"/>
      <queryTableField id="9" name="Sea Freight"/>
      <queryTableField id="10" name="Air Freight"/>
      <queryTableField id="11" name="Terminal Handling Charges"/>
      <queryTableField id="12" name="Airway WayBill Charges"/>
      <queryTableField id="13" name="BL Charges"/>
      <queryTableField id="14" name="ENS Charges"/>
      <queryTableField id="15" name="Seal Charges"/>
      <queryTableField id="16" name="VGM"/>
      <queryTableField id="17" name="EDI Fees"/>
      <queryTableField id="18" name="DAP Charges"/>
      <queryTableField id="19" name="Other Charges"/>
      <queryTableField id="20" name="AMS CHARGES"/>
      <queryTableField id="21" name="Handlign Charges"/>
      <queryTableField id="22" name="Pre Carriage Haulage"/>
      <queryTableField id="23" name="Ex Rate"/>
      <queryTableField id="24" name="Misc"/>
      <queryTableField id="25" name="Transportation"/>
      <queryTableField id="26" name="Warehouse charges Port"/>
      <queryTableField id="27" name="Examination charges"/>
      <queryTableField id="28" name="Fuel Charges"/>
      <queryTableField id="29" name="Cargo Screening"/>
      <queryTableField id="30" name="Agency Charges"/>
      <queryTableField id="31" name="Shipping bill charges"/>
      <queryTableField id="32" name="Review status"/>
      <queryTableField id="33" name="Extraction status"/>
      <queryTableField id="34" name="Last updated"/>
      <queryTableField id="35" name="Evidence link"/>
    </queryTableFields>
  </queryTableRefresh>
</query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_rels/sheet4.xml.rels><?xml version="1.0" encoding="UTF-8" standalone="yes"?>
<Relationships xmlns="http://schemas.openxmlformats.org/package/2006/relationships"><Relationship Id="rId1" Type="http://schemas.openxmlformats.org/officeDocument/2006/relationships/queryTable" Target="../queryTables/queryTable2.xml"/></Relationships>
</file>

<file path=xl/worksheets/_rels/sheet5.xml.rels><?xml version="1.0" encoding="UTF-8" standalone="yes"?>
<Relationships xmlns="http://schemas.openxmlformats.org/package/2006/relationships"><Relationship Id="rId1" Type="http://schemas.openxmlformats.org/officeDocument/2006/relationships/queryTable" Target="../queryTables/queryTable3.xml"/></Relationships>
</file>

<file path=xl/worksheets/_rels/sheet6.xml.rels><?xml version="1.0" encoding="UTF-8" standalone="yes"?>
<Relationships xmlns="http://schemas.openxmlformats.org/package/2006/relationships"><Relationship Id="rId1" Type="http://schemas.openxmlformats.org/officeDocument/2006/relationships/queryTable" Target="../queryTables/queryTable4.xml"/></Relationships>
</file>

<file path=xl/worksheets/_rels/sheet7.xml.rels><?xml version="1.0" encoding="UTF-8" standalone="yes"?>
<Relationships xmlns="http://schemas.openxmlformats.org/package/2006/relationships"><Relationship Id="rId1" Type="http://schemas.openxmlformats.org/officeDocument/2006/relationships/queryTable" Target="../queryTables/query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6"/>
  <sheetViews>
    <sheetView tabSelected="1" workbookViewId="0">
      <selection activeCell="B5" sqref="B5"/>
    </sheetView>
  </sheetViews>
  <sheetFormatPr baseColWidth="10" defaultColWidth="8.83203125" defaultRowHeight="15" x14ac:dyDescent="0.2"/>
  <cols>
    <col min="1" max="1" width="28" customWidth="1"/>
    <col min="2" max="2" width="26" customWidth="1"/>
    <col min="3" max="3" width="58" customWidth="1"/>
    <col min="8" max="8" width="13" hidden="1" customWidth="1"/>
  </cols>
  <sheetData>
    <row r="1" spans="1:8" ht="21" x14ac:dyDescent="0.25">
      <c r="A1" s="1" t="s">
        <v>0</v>
      </c>
    </row>
    <row r="2" spans="1:8" ht="34" customHeight="1" x14ac:dyDescent="0.2">
      <c r="A2" s="13" t="s">
        <v>1</v>
      </c>
      <c r="B2" s="14"/>
      <c r="C2" s="14"/>
      <c r="D2" s="14"/>
      <c r="E2" s="14"/>
      <c r="F2" s="14"/>
    </row>
    <row r="4" spans="1:8" x14ac:dyDescent="0.2">
      <c r="A4" s="2" t="s">
        <v>2</v>
      </c>
      <c r="B4" s="2" t="s">
        <v>3</v>
      </c>
      <c r="H4" t="s">
        <v>4</v>
      </c>
    </row>
    <row r="5" spans="1:8" x14ac:dyDescent="0.2">
      <c r="A5" t="s">
        <v>5</v>
      </c>
      <c r="B5" s="3"/>
      <c r="C5" s="4" t="s">
        <v>6</v>
      </c>
      <c r="H5" t="str">
        <f>"%"&amp;TRIM(B5)&amp;"%"</f>
        <v>%%</v>
      </c>
    </row>
    <row r="6" spans="1:8" x14ac:dyDescent="0.2">
      <c r="A6" t="s">
        <v>7</v>
      </c>
      <c r="B6" s="3"/>
      <c r="C6" s="4" t="s">
        <v>8</v>
      </c>
      <c r="H6" t="str">
        <f>"%"&amp;TRIM(B6)&amp;"%"</f>
        <v>%%</v>
      </c>
    </row>
    <row r="7" spans="1:8" x14ac:dyDescent="0.2">
      <c r="A7" t="s">
        <v>9</v>
      </c>
      <c r="B7" s="5"/>
      <c r="C7" s="4" t="s">
        <v>10</v>
      </c>
      <c r="H7" t="str">
        <f>IF(ISNUMBER(B7),YEAR(B7)&amp;"-"&amp;RIGHT("0"&amp;MONTH(B7),2)&amp;"-"&amp;RIGHT("0"&amp;DAY(B7),2),"1900-01-01")</f>
        <v>1900-01-01</v>
      </c>
    </row>
    <row r="8" spans="1:8" x14ac:dyDescent="0.2">
      <c r="A8" t="s">
        <v>11</v>
      </c>
      <c r="B8" s="5"/>
      <c r="C8" s="4" t="s">
        <v>12</v>
      </c>
      <c r="H8" t="str">
        <f>IF(ISNUMBER(B8),YEAR(B8)&amp;"-"&amp;RIGHT("0"&amp;MONTH(B8),2)&amp;"-"&amp;RIGHT("0"&amp;DAY(B8),2),"2999-12-31")</f>
        <v>2999-12-31</v>
      </c>
    </row>
    <row r="9" spans="1:8" x14ac:dyDescent="0.2">
      <c r="A9" t="s">
        <v>13</v>
      </c>
      <c r="B9" s="3" t="s">
        <v>14</v>
      </c>
      <c r="C9" s="4" t="s">
        <v>15</v>
      </c>
      <c r="H9" t="str">
        <f>IF(OR(TRIM(B9)="",UPPER(TRIM(B9))="ALL"),"%",UPPER(TRIM(B9)))</f>
        <v>%</v>
      </c>
    </row>
    <row r="11" spans="1:8" x14ac:dyDescent="0.2">
      <c r="A11" s="6" t="s">
        <v>16</v>
      </c>
      <c r="B11">
        <f>MAX(0,COUNTA(Invoices!B:B)-1)</f>
        <v>0</v>
      </c>
    </row>
    <row r="12" spans="1:8" x14ac:dyDescent="0.2">
      <c r="A12" s="6" t="s">
        <v>17</v>
      </c>
      <c r="B12">
        <f>MAX(0,COUNTA(Charges!A:A)-1)</f>
        <v>0</v>
      </c>
    </row>
    <row r="13" spans="1:8" x14ac:dyDescent="0.2">
      <c r="A13" s="6" t="s">
        <v>18</v>
      </c>
      <c r="B13" s="7">
        <f>SUM(Charges!E:E)</f>
        <v>0</v>
      </c>
    </row>
    <row r="15" spans="1:8" ht="34" customHeight="1" x14ac:dyDescent="0.2">
      <c r="A15" s="15" t="s">
        <v>19</v>
      </c>
      <c r="B15" s="14"/>
      <c r="C15" s="14"/>
      <c r="D15" s="14"/>
      <c r="E15" s="14"/>
      <c r="F15" s="14"/>
    </row>
    <row r="16" spans="1:8" ht="34" customHeight="1" x14ac:dyDescent="0.2">
      <c r="A16" s="13" t="s">
        <v>20</v>
      </c>
      <c r="B16" s="14"/>
      <c r="C16" s="14"/>
      <c r="D16" s="14"/>
      <c r="E16" s="14"/>
      <c r="F16" s="14"/>
    </row>
  </sheetData>
  <mergeCells count="3">
    <mergeCell ref="A2:F2"/>
    <mergeCell ref="A16:F16"/>
    <mergeCell ref="A15:F15"/>
  </mergeCells>
  <dataValidations count="2">
    <dataValidation type="list" allowBlank="1" sqref="B9" xr:uid="{00000000-0002-0000-0000-000000000000}">
      <formula1>"All,PENDING,IN_REVIEW,APPROVED,REJECTED,REPROCESSED"</formula1>
    </dataValidation>
    <dataValidation type="date" operator="greaterThan" allowBlank="1" showErrorMessage="1" errorTitle="Not a date" error="Enter a date, for example 2026-08-31." sqref="B7:B8" xr:uid="{00000000-0002-0000-0000-000001000000}">
      <formula1>1</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O201"/>
  <sheetViews>
    <sheetView workbookViewId="0">
      <pane xSplit="1" ySplit="1" topLeftCell="B2" activePane="bottomRight" state="frozen"/>
      <selection pane="topRight"/>
      <selection pane="bottomLeft"/>
      <selection pane="bottomRight"/>
    </sheetView>
  </sheetViews>
  <sheetFormatPr baseColWidth="10" defaultColWidth="8.83203125" defaultRowHeight="15" x14ac:dyDescent="0.2"/>
  <cols>
    <col min="1" max="1" width="24" customWidth="1"/>
    <col min="2" max="2" width="16" customWidth="1"/>
    <col min="3" max="3" width="20" customWidth="1"/>
    <col min="4" max="5" width="13" customWidth="1"/>
    <col min="6" max="6" width="15" customWidth="1"/>
    <col min="7" max="7" width="24" customWidth="1"/>
    <col min="8" max="8" width="13" customWidth="1"/>
    <col min="9" max="10" width="15" customWidth="1"/>
    <col min="11" max="11" width="29" customWidth="1"/>
    <col min="12" max="12" width="26" customWidth="1"/>
    <col min="13" max="13" width="14" customWidth="1"/>
    <col min="14" max="14" width="15" customWidth="1"/>
    <col min="15" max="15" width="16" customWidth="1"/>
    <col min="16" max="17" width="13" customWidth="1"/>
    <col min="18" max="18" width="15" customWidth="1"/>
    <col min="19" max="19" width="17" customWidth="1"/>
    <col min="20" max="20" width="15" customWidth="1"/>
    <col min="21" max="21" width="20" customWidth="1"/>
    <col min="22" max="22" width="24" customWidth="1"/>
    <col min="23" max="24" width="13" customWidth="1"/>
    <col min="25" max="25" width="18" customWidth="1"/>
    <col min="26" max="26" width="26" customWidth="1"/>
    <col min="27" max="27" width="23" customWidth="1"/>
    <col min="28" max="28" width="16" customWidth="1"/>
    <col min="29" max="29" width="19" customWidth="1"/>
    <col min="30" max="30" width="18" customWidth="1"/>
    <col min="31" max="31" width="25" customWidth="1"/>
    <col min="32" max="32" width="17" customWidth="1"/>
    <col min="33" max="33" width="21" customWidth="1"/>
    <col min="34" max="34" width="16" customWidth="1"/>
    <col min="35" max="35" width="17" customWidth="1"/>
    <col min="37" max="41" width="13" hidden="1" customWidth="1"/>
  </cols>
  <sheetData>
    <row r="1" spans="1:41" ht="32" customHeight="1" x14ac:dyDescent="0.2">
      <c r="A1" s="8" t="str">
        <f>IF(LEN($AN$1)&gt;5760,"TOO MANY NUMBERS: the last ones are not looked up","Invoice No (type here)")</f>
        <v>Invoice No (type here)</v>
      </c>
      <c r="B1" s="8" t="s">
        <v>21</v>
      </c>
      <c r="C1" s="8" t="s">
        <v>22</v>
      </c>
      <c r="D1" s="8" t="s">
        <v>23</v>
      </c>
      <c r="E1" s="8" t="s">
        <v>24</v>
      </c>
      <c r="F1" s="8" t="s">
        <v>25</v>
      </c>
      <c r="G1" s="8" t="s">
        <v>26</v>
      </c>
      <c r="H1" s="8" t="s">
        <v>27</v>
      </c>
      <c r="I1" s="8" t="s">
        <v>28</v>
      </c>
      <c r="J1" s="8" t="s">
        <v>29</v>
      </c>
      <c r="K1" s="8" t="s">
        <v>30</v>
      </c>
      <c r="L1" s="8" t="s">
        <v>31</v>
      </c>
      <c r="M1" s="8" t="s">
        <v>32</v>
      </c>
      <c r="N1" s="8" t="s">
        <v>33</v>
      </c>
      <c r="O1" s="8" t="s">
        <v>34</v>
      </c>
      <c r="P1" s="8" t="s">
        <v>35</v>
      </c>
      <c r="Q1" s="8" t="s">
        <v>36</v>
      </c>
      <c r="R1" s="8" t="s">
        <v>37</v>
      </c>
      <c r="S1" s="8" t="s">
        <v>38</v>
      </c>
      <c r="T1" s="8" t="s">
        <v>39</v>
      </c>
      <c r="U1" s="8" t="s">
        <v>40</v>
      </c>
      <c r="V1" s="8" t="s">
        <v>41</v>
      </c>
      <c r="W1" s="8" t="s">
        <v>42</v>
      </c>
      <c r="X1" s="8" t="s">
        <v>43</v>
      </c>
      <c r="Y1" s="8" t="s">
        <v>44</v>
      </c>
      <c r="Z1" s="8" t="s">
        <v>45</v>
      </c>
      <c r="AA1" s="8" t="s">
        <v>46</v>
      </c>
      <c r="AB1" s="8" t="s">
        <v>47</v>
      </c>
      <c r="AC1" s="8" t="s">
        <v>48</v>
      </c>
      <c r="AD1" s="8" t="s">
        <v>49</v>
      </c>
      <c r="AE1" s="8" t="s">
        <v>50</v>
      </c>
      <c r="AF1" s="8" t="s">
        <v>13</v>
      </c>
      <c r="AG1" s="8" t="s">
        <v>51</v>
      </c>
      <c r="AH1" s="8" t="s">
        <v>52</v>
      </c>
      <c r="AI1" s="8" t="s">
        <v>53</v>
      </c>
      <c r="AN1" t="str">
        <f>"~none~|"&amp;AM201</f>
        <v>~none~|</v>
      </c>
      <c r="AO1" t="str">
        <f>IF(MID($AN$1,1,240)="","|",MID($AN$1,1,240))</f>
        <v>~none~|</v>
      </c>
    </row>
    <row r="2" spans="1:41" x14ac:dyDescent="0.2">
      <c r="A2" s="9"/>
      <c r="B2" s="10" t="str">
        <f>IF($AK2="","",IF($AK2=0,"not in the database",IF(INDEX(LookupData!B:B,$AK2)="","",INDEX(LookupData!B:B,$AK2))))</f>
        <v/>
      </c>
      <c r="C2" t="str">
        <f>IF($AK2="","",IF($AK2=0,"",IF(INDEX(LookupData!C:C,$AK2)="","",INDEX(LookupData!C:C,$AK2))))</f>
        <v/>
      </c>
      <c r="D2" t="str">
        <f>IF($AK2="","",IF($AK2=0,"",IF(INDEX(LookupData!D:D,$AK2)="","",INDEX(LookupData!D:D,$AK2))))</f>
        <v/>
      </c>
      <c r="E2" t="str">
        <f>IF($AK2="","",IF($AK2=0,"",IF(INDEX(LookupData!E:E,$AK2)="","",INDEX(LookupData!E:E,$AK2))))</f>
        <v/>
      </c>
      <c r="F2" t="str">
        <f>IF($AK2="","",IF($AK2=0,"",IF(INDEX(LookupData!F:F,$AK2)="","",INDEX(LookupData!F:F,$AK2))))</f>
        <v/>
      </c>
      <c r="G2" t="str">
        <f>IF($AK2="","",IF($AK2=0,"",IF(INDEX(LookupData!G:G,$AK2)="","",INDEX(LookupData!G:G,$AK2))))</f>
        <v/>
      </c>
      <c r="H2" t="str">
        <f>IF($AK2="","",IF($AK2=0,"",IF(INDEX(LookupData!H:H,$AK2)="","",INDEX(LookupData!H:H,$AK2))))</f>
        <v/>
      </c>
      <c r="I2" s="7" t="str">
        <f>IF($AK2="","",IF($AK2=0,"",IF(INDEX(LookupData!I:I,$AK2)="","",INDEX(LookupData!I:I,$AK2))))</f>
        <v/>
      </c>
      <c r="J2" s="7" t="str">
        <f>IF($AK2="","",IF($AK2=0,"",IF(INDEX(LookupData!J:J,$AK2)="","",INDEX(LookupData!J:J,$AK2))))</f>
        <v/>
      </c>
      <c r="K2" s="7" t="str">
        <f>IF($AK2="","",IF($AK2=0,"",IF(INDEX(LookupData!K:K,$AK2)="","",INDEX(LookupData!K:K,$AK2))))</f>
        <v/>
      </c>
      <c r="L2" s="7" t="str">
        <f>IF($AK2="","",IF($AK2=0,"",IF(INDEX(LookupData!L:L,$AK2)="","",INDEX(LookupData!L:L,$AK2))))</f>
        <v/>
      </c>
      <c r="M2" s="7" t="str">
        <f>IF($AK2="","",IF($AK2=0,"",IF(INDEX(LookupData!M:M,$AK2)="","",INDEX(LookupData!M:M,$AK2))))</f>
        <v/>
      </c>
      <c r="N2" s="7" t="str">
        <f>IF($AK2="","",IF($AK2=0,"",IF(INDEX(LookupData!N:N,$AK2)="","",INDEX(LookupData!N:N,$AK2))))</f>
        <v/>
      </c>
      <c r="O2" s="7" t="str">
        <f>IF($AK2="","",IF($AK2=0,"",IF(INDEX(LookupData!O:O,$AK2)="","",INDEX(LookupData!O:O,$AK2))))</f>
        <v/>
      </c>
      <c r="P2" s="7" t="str">
        <f>IF($AK2="","",IF($AK2=0,"",IF(INDEX(LookupData!P:P,$AK2)="","",INDEX(LookupData!P:P,$AK2))))</f>
        <v/>
      </c>
      <c r="Q2" s="7" t="str">
        <f>IF($AK2="","",IF($AK2=0,"",IF(INDEX(LookupData!Q:Q,$AK2)="","",INDEX(LookupData!Q:Q,$AK2))))</f>
        <v/>
      </c>
      <c r="R2" s="7" t="str">
        <f>IF($AK2="","",IF($AK2=0,"",IF(INDEX(LookupData!R:R,$AK2)="","",INDEX(LookupData!R:R,$AK2))))</f>
        <v/>
      </c>
      <c r="S2" s="7" t="str">
        <f>IF($AK2="","",IF($AK2=0,"",IF(INDEX(LookupData!S:S,$AK2)="","",INDEX(LookupData!S:S,$AK2))))</f>
        <v/>
      </c>
      <c r="T2" s="7" t="str">
        <f>IF($AK2="","",IF($AK2=0,"",IF(INDEX(LookupData!T:T,$AK2)="","",INDEX(LookupData!T:T,$AK2))))</f>
        <v/>
      </c>
      <c r="U2" s="7" t="str">
        <f>IF($AK2="","",IF($AK2=0,"",IF(INDEX(LookupData!U:U,$AK2)="","",INDEX(LookupData!U:U,$AK2))))</f>
        <v/>
      </c>
      <c r="V2" s="7" t="str">
        <f>IF($AK2="","",IF($AK2=0,"",IF(INDEX(LookupData!V:V,$AK2)="","",INDEX(LookupData!V:V,$AK2))))</f>
        <v/>
      </c>
      <c r="W2" t="str">
        <f>IF($AK2="","",IF($AK2=0,"",IF(INDEX(LookupData!W:W,$AK2)="","",INDEX(LookupData!W:W,$AK2))))</f>
        <v/>
      </c>
      <c r="X2" s="7" t="str">
        <f>IF($AK2="","",IF($AK2=0,"",IF(INDEX(LookupData!X:X,$AK2)="","",INDEX(LookupData!X:X,$AK2))))</f>
        <v/>
      </c>
      <c r="Y2" s="7" t="str">
        <f>IF($AK2="","",IF($AK2=0,"",IF(INDEX(LookupData!Y:Y,$AK2)="","",INDEX(LookupData!Y:Y,$AK2))))</f>
        <v/>
      </c>
      <c r="Z2" s="7" t="str">
        <f>IF($AK2="","",IF($AK2=0,"",IF(INDEX(LookupData!Z:Z,$AK2)="","",INDEX(LookupData!Z:Z,$AK2))))</f>
        <v/>
      </c>
      <c r="AA2" s="7" t="str">
        <f>IF($AK2="","",IF($AK2=0,"",IF(INDEX(LookupData!AA:AA,$AK2)="","",INDEX(LookupData!AA:AA,$AK2))))</f>
        <v/>
      </c>
      <c r="AB2" s="7" t="str">
        <f>IF($AK2="","",IF($AK2=0,"",IF(INDEX(LookupData!AB:AB,$AK2)="","",INDEX(LookupData!AB:AB,$AK2))))</f>
        <v/>
      </c>
      <c r="AC2" s="7" t="str">
        <f>IF($AK2="","",IF($AK2=0,"",IF(INDEX(LookupData!AC:AC,$AK2)="","",INDEX(LookupData!AC:AC,$AK2))))</f>
        <v/>
      </c>
      <c r="AD2" s="7" t="str">
        <f>IF($AK2="","",IF($AK2=0,"",IF(INDEX(LookupData!AD:AD,$AK2)="","",INDEX(LookupData!AD:AD,$AK2))))</f>
        <v/>
      </c>
      <c r="AE2" s="7" t="str">
        <f>IF($AK2="","",IF($AK2=0,"",IF(INDEX(LookupData!AE:AE,$AK2)="","",INDEX(LookupData!AE:AE,$AK2))))</f>
        <v/>
      </c>
      <c r="AF2" t="str">
        <f>IF($AK2="","",IF($AK2=0,"",IF(INDEX(LookupData!AF:AF,$AK2)="","",INDEX(LookupData!AF:AF,$AK2))))</f>
        <v/>
      </c>
      <c r="AG2" t="str">
        <f>IF($AK2="","",IF($AK2=0,"",IF(INDEX(LookupData!AG:AG,$AK2)="","",INDEX(LookupData!AG:AG,$AK2))))</f>
        <v/>
      </c>
      <c r="AH2" s="11" t="str">
        <f>IF($AK2="","",IF($AK2=0,"",IF(INDEX(LookupData!AH:AH,$AK2)="","",INDEX(LookupData!AH:AH,$AK2))))</f>
        <v/>
      </c>
      <c r="AI2" s="12" t="str">
        <f>IF($AK2="","",IF($AK2=0,"",IF(INDEX(LookupData!AI:AI,$AK2)="","",HYPERLINK(INDEX(LookupData!AI:AI,$AK2),"Open"))))</f>
        <v/>
      </c>
      <c r="AK2" t="str">
        <f>IF(AL2="","",IFERROR(MATCH(AL2,LookupData!$A:$A,0),0))</f>
        <v/>
      </c>
      <c r="AL2" t="str">
        <f t="shared" ref="AL2:AL33" si="0">IF(TRIM($A2)="","",UPPER(TRIM($A2)))</f>
        <v/>
      </c>
      <c r="AM2" t="str">
        <f>AL2</f>
        <v/>
      </c>
      <c r="AO2" t="str">
        <f>IF(MID($AN$1,241,240)="","|",MID($AN$1,241,240))</f>
        <v>|</v>
      </c>
    </row>
    <row r="3" spans="1:41" x14ac:dyDescent="0.2">
      <c r="A3" s="9"/>
      <c r="B3" s="10" t="str">
        <f>IF($AK3="","",IF($AK3=0,"not in the database",IF(INDEX(LookupData!B:B,$AK3)="","",INDEX(LookupData!B:B,$AK3))))</f>
        <v/>
      </c>
      <c r="C3" t="str">
        <f>IF($AK3="","",IF($AK3=0,"",IF(INDEX(LookupData!C:C,$AK3)="","",INDEX(LookupData!C:C,$AK3))))</f>
        <v/>
      </c>
      <c r="D3" t="str">
        <f>IF($AK3="","",IF($AK3=0,"",IF(INDEX(LookupData!D:D,$AK3)="","",INDEX(LookupData!D:D,$AK3))))</f>
        <v/>
      </c>
      <c r="E3" t="str">
        <f>IF($AK3="","",IF($AK3=0,"",IF(INDEX(LookupData!E:E,$AK3)="","",INDEX(LookupData!E:E,$AK3))))</f>
        <v/>
      </c>
      <c r="F3" t="str">
        <f>IF($AK3="","",IF($AK3=0,"",IF(INDEX(LookupData!F:F,$AK3)="","",INDEX(LookupData!F:F,$AK3))))</f>
        <v/>
      </c>
      <c r="G3" t="str">
        <f>IF($AK3="","",IF($AK3=0,"",IF(INDEX(LookupData!G:G,$AK3)="","",INDEX(LookupData!G:G,$AK3))))</f>
        <v/>
      </c>
      <c r="H3" t="str">
        <f>IF($AK3="","",IF($AK3=0,"",IF(INDEX(LookupData!H:H,$AK3)="","",INDEX(LookupData!H:H,$AK3))))</f>
        <v/>
      </c>
      <c r="I3" s="7" t="str">
        <f>IF($AK3="","",IF($AK3=0,"",IF(INDEX(LookupData!I:I,$AK3)="","",INDEX(LookupData!I:I,$AK3))))</f>
        <v/>
      </c>
      <c r="J3" s="7" t="str">
        <f>IF($AK3="","",IF($AK3=0,"",IF(INDEX(LookupData!J:J,$AK3)="","",INDEX(LookupData!J:J,$AK3))))</f>
        <v/>
      </c>
      <c r="K3" s="7" t="str">
        <f>IF($AK3="","",IF($AK3=0,"",IF(INDEX(LookupData!K:K,$AK3)="","",INDEX(LookupData!K:K,$AK3))))</f>
        <v/>
      </c>
      <c r="L3" s="7" t="str">
        <f>IF($AK3="","",IF($AK3=0,"",IF(INDEX(LookupData!L:L,$AK3)="","",INDEX(LookupData!L:L,$AK3))))</f>
        <v/>
      </c>
      <c r="M3" s="7" t="str">
        <f>IF($AK3="","",IF($AK3=0,"",IF(INDEX(LookupData!M:M,$AK3)="","",INDEX(LookupData!M:M,$AK3))))</f>
        <v/>
      </c>
      <c r="N3" s="7" t="str">
        <f>IF($AK3="","",IF($AK3=0,"",IF(INDEX(LookupData!N:N,$AK3)="","",INDEX(LookupData!N:N,$AK3))))</f>
        <v/>
      </c>
      <c r="O3" s="7" t="str">
        <f>IF($AK3="","",IF($AK3=0,"",IF(INDEX(LookupData!O:O,$AK3)="","",INDEX(LookupData!O:O,$AK3))))</f>
        <v/>
      </c>
      <c r="P3" s="7" t="str">
        <f>IF($AK3="","",IF($AK3=0,"",IF(INDEX(LookupData!P:P,$AK3)="","",INDEX(LookupData!P:P,$AK3))))</f>
        <v/>
      </c>
      <c r="Q3" s="7" t="str">
        <f>IF($AK3="","",IF($AK3=0,"",IF(INDEX(LookupData!Q:Q,$AK3)="","",INDEX(LookupData!Q:Q,$AK3))))</f>
        <v/>
      </c>
      <c r="R3" s="7" t="str">
        <f>IF($AK3="","",IF($AK3=0,"",IF(INDEX(LookupData!R:R,$AK3)="","",INDEX(LookupData!R:R,$AK3))))</f>
        <v/>
      </c>
      <c r="S3" s="7" t="str">
        <f>IF($AK3="","",IF($AK3=0,"",IF(INDEX(LookupData!S:S,$AK3)="","",INDEX(LookupData!S:S,$AK3))))</f>
        <v/>
      </c>
      <c r="T3" s="7" t="str">
        <f>IF($AK3="","",IF($AK3=0,"",IF(INDEX(LookupData!T:T,$AK3)="","",INDEX(LookupData!T:T,$AK3))))</f>
        <v/>
      </c>
      <c r="U3" s="7" t="str">
        <f>IF($AK3="","",IF($AK3=0,"",IF(INDEX(LookupData!U:U,$AK3)="","",INDEX(LookupData!U:U,$AK3))))</f>
        <v/>
      </c>
      <c r="V3" s="7" t="str">
        <f>IF($AK3="","",IF($AK3=0,"",IF(INDEX(LookupData!V:V,$AK3)="","",INDEX(LookupData!V:V,$AK3))))</f>
        <v/>
      </c>
      <c r="W3" t="str">
        <f>IF($AK3="","",IF($AK3=0,"",IF(INDEX(LookupData!W:W,$AK3)="","",INDEX(LookupData!W:W,$AK3))))</f>
        <v/>
      </c>
      <c r="X3" s="7" t="str">
        <f>IF($AK3="","",IF($AK3=0,"",IF(INDEX(LookupData!X:X,$AK3)="","",INDEX(LookupData!X:X,$AK3))))</f>
        <v/>
      </c>
      <c r="Y3" s="7" t="str">
        <f>IF($AK3="","",IF($AK3=0,"",IF(INDEX(LookupData!Y:Y,$AK3)="","",INDEX(LookupData!Y:Y,$AK3))))</f>
        <v/>
      </c>
      <c r="Z3" s="7" t="str">
        <f>IF($AK3="","",IF($AK3=0,"",IF(INDEX(LookupData!Z:Z,$AK3)="","",INDEX(LookupData!Z:Z,$AK3))))</f>
        <v/>
      </c>
      <c r="AA3" s="7" t="str">
        <f>IF($AK3="","",IF($AK3=0,"",IF(INDEX(LookupData!AA:AA,$AK3)="","",INDEX(LookupData!AA:AA,$AK3))))</f>
        <v/>
      </c>
      <c r="AB3" s="7" t="str">
        <f>IF($AK3="","",IF($AK3=0,"",IF(INDEX(LookupData!AB:AB,$AK3)="","",INDEX(LookupData!AB:AB,$AK3))))</f>
        <v/>
      </c>
      <c r="AC3" s="7" t="str">
        <f>IF($AK3="","",IF($AK3=0,"",IF(INDEX(LookupData!AC:AC,$AK3)="","",INDEX(LookupData!AC:AC,$AK3))))</f>
        <v/>
      </c>
      <c r="AD3" s="7" t="str">
        <f>IF($AK3="","",IF($AK3=0,"",IF(INDEX(LookupData!AD:AD,$AK3)="","",INDEX(LookupData!AD:AD,$AK3))))</f>
        <v/>
      </c>
      <c r="AE3" s="7" t="str">
        <f>IF($AK3="","",IF($AK3=0,"",IF(INDEX(LookupData!AE:AE,$AK3)="","",INDEX(LookupData!AE:AE,$AK3))))</f>
        <v/>
      </c>
      <c r="AF3" t="str">
        <f>IF($AK3="","",IF($AK3=0,"",IF(INDEX(LookupData!AF:AF,$AK3)="","",INDEX(LookupData!AF:AF,$AK3))))</f>
        <v/>
      </c>
      <c r="AG3" t="str">
        <f>IF($AK3="","",IF($AK3=0,"",IF(INDEX(LookupData!AG:AG,$AK3)="","",INDEX(LookupData!AG:AG,$AK3))))</f>
        <v/>
      </c>
      <c r="AH3" s="11" t="str">
        <f>IF($AK3="","",IF($AK3=0,"",IF(INDEX(LookupData!AH:AH,$AK3)="","",INDEX(LookupData!AH:AH,$AK3))))</f>
        <v/>
      </c>
      <c r="AI3" s="12" t="str">
        <f>IF($AK3="","",IF($AK3=0,"",IF(INDEX(LookupData!AI:AI,$AK3)="","",HYPERLINK(INDEX(LookupData!AI:AI,$AK3),"Open"))))</f>
        <v/>
      </c>
      <c r="AK3" t="str">
        <f>IF(AL3="","",IFERROR(MATCH(AL3,LookupData!$A:$A,0),0))</f>
        <v/>
      </c>
      <c r="AL3" t="str">
        <f t="shared" si="0"/>
        <v/>
      </c>
      <c r="AM3" t="str">
        <f t="shared" ref="AM3:AM34" si="1">IF(AL3="",AM2,IF(AM2="",AL3,AM2&amp;"|"&amp;AL3))</f>
        <v/>
      </c>
      <c r="AO3" t="str">
        <f>IF(MID($AN$1,481,240)="","|",MID($AN$1,481,240))</f>
        <v>|</v>
      </c>
    </row>
    <row r="4" spans="1:41" x14ac:dyDescent="0.2">
      <c r="A4" s="9"/>
      <c r="B4" s="10" t="str">
        <f>IF($AK4="","",IF($AK4=0,"not in the database",IF(INDEX(LookupData!B:B,$AK4)="","",INDEX(LookupData!B:B,$AK4))))</f>
        <v/>
      </c>
      <c r="C4" t="str">
        <f>IF($AK4="","",IF($AK4=0,"",IF(INDEX(LookupData!C:C,$AK4)="","",INDEX(LookupData!C:C,$AK4))))</f>
        <v/>
      </c>
      <c r="D4" t="str">
        <f>IF($AK4="","",IF($AK4=0,"",IF(INDEX(LookupData!D:D,$AK4)="","",INDEX(LookupData!D:D,$AK4))))</f>
        <v/>
      </c>
      <c r="E4" t="str">
        <f>IF($AK4="","",IF($AK4=0,"",IF(INDEX(LookupData!E:E,$AK4)="","",INDEX(LookupData!E:E,$AK4))))</f>
        <v/>
      </c>
      <c r="F4" t="str">
        <f>IF($AK4="","",IF($AK4=0,"",IF(INDEX(LookupData!F:F,$AK4)="","",INDEX(LookupData!F:F,$AK4))))</f>
        <v/>
      </c>
      <c r="G4" t="str">
        <f>IF($AK4="","",IF($AK4=0,"",IF(INDEX(LookupData!G:G,$AK4)="","",INDEX(LookupData!G:G,$AK4))))</f>
        <v/>
      </c>
      <c r="H4" t="str">
        <f>IF($AK4="","",IF($AK4=0,"",IF(INDEX(LookupData!H:H,$AK4)="","",INDEX(LookupData!H:H,$AK4))))</f>
        <v/>
      </c>
      <c r="I4" s="7" t="str">
        <f>IF($AK4="","",IF($AK4=0,"",IF(INDEX(LookupData!I:I,$AK4)="","",INDEX(LookupData!I:I,$AK4))))</f>
        <v/>
      </c>
      <c r="J4" s="7" t="str">
        <f>IF($AK4="","",IF($AK4=0,"",IF(INDEX(LookupData!J:J,$AK4)="","",INDEX(LookupData!J:J,$AK4))))</f>
        <v/>
      </c>
      <c r="K4" s="7" t="str">
        <f>IF($AK4="","",IF($AK4=0,"",IF(INDEX(LookupData!K:K,$AK4)="","",INDEX(LookupData!K:K,$AK4))))</f>
        <v/>
      </c>
      <c r="L4" s="7" t="str">
        <f>IF($AK4="","",IF($AK4=0,"",IF(INDEX(LookupData!L:L,$AK4)="","",INDEX(LookupData!L:L,$AK4))))</f>
        <v/>
      </c>
      <c r="M4" s="7" t="str">
        <f>IF($AK4="","",IF($AK4=0,"",IF(INDEX(LookupData!M:M,$AK4)="","",INDEX(LookupData!M:M,$AK4))))</f>
        <v/>
      </c>
      <c r="N4" s="7" t="str">
        <f>IF($AK4="","",IF($AK4=0,"",IF(INDEX(LookupData!N:N,$AK4)="","",INDEX(LookupData!N:N,$AK4))))</f>
        <v/>
      </c>
      <c r="O4" s="7" t="str">
        <f>IF($AK4="","",IF($AK4=0,"",IF(INDEX(LookupData!O:O,$AK4)="","",INDEX(LookupData!O:O,$AK4))))</f>
        <v/>
      </c>
      <c r="P4" s="7" t="str">
        <f>IF($AK4="","",IF($AK4=0,"",IF(INDEX(LookupData!P:P,$AK4)="","",INDEX(LookupData!P:P,$AK4))))</f>
        <v/>
      </c>
      <c r="Q4" s="7" t="str">
        <f>IF($AK4="","",IF($AK4=0,"",IF(INDEX(LookupData!Q:Q,$AK4)="","",INDEX(LookupData!Q:Q,$AK4))))</f>
        <v/>
      </c>
      <c r="R4" s="7" t="str">
        <f>IF($AK4="","",IF($AK4=0,"",IF(INDEX(LookupData!R:R,$AK4)="","",INDEX(LookupData!R:R,$AK4))))</f>
        <v/>
      </c>
      <c r="S4" s="7" t="str">
        <f>IF($AK4="","",IF($AK4=0,"",IF(INDEX(LookupData!S:S,$AK4)="","",INDEX(LookupData!S:S,$AK4))))</f>
        <v/>
      </c>
      <c r="T4" s="7" t="str">
        <f>IF($AK4="","",IF($AK4=0,"",IF(INDEX(LookupData!T:T,$AK4)="","",INDEX(LookupData!T:T,$AK4))))</f>
        <v/>
      </c>
      <c r="U4" s="7" t="str">
        <f>IF($AK4="","",IF($AK4=0,"",IF(INDEX(LookupData!U:U,$AK4)="","",INDEX(LookupData!U:U,$AK4))))</f>
        <v/>
      </c>
      <c r="V4" s="7" t="str">
        <f>IF($AK4="","",IF($AK4=0,"",IF(INDEX(LookupData!V:V,$AK4)="","",INDEX(LookupData!V:V,$AK4))))</f>
        <v/>
      </c>
      <c r="W4" t="str">
        <f>IF($AK4="","",IF($AK4=0,"",IF(INDEX(LookupData!W:W,$AK4)="","",INDEX(LookupData!W:W,$AK4))))</f>
        <v/>
      </c>
      <c r="X4" s="7" t="str">
        <f>IF($AK4="","",IF($AK4=0,"",IF(INDEX(LookupData!X:X,$AK4)="","",INDEX(LookupData!X:X,$AK4))))</f>
        <v/>
      </c>
      <c r="Y4" s="7" t="str">
        <f>IF($AK4="","",IF($AK4=0,"",IF(INDEX(LookupData!Y:Y,$AK4)="","",INDEX(LookupData!Y:Y,$AK4))))</f>
        <v/>
      </c>
      <c r="Z4" s="7" t="str">
        <f>IF($AK4="","",IF($AK4=0,"",IF(INDEX(LookupData!Z:Z,$AK4)="","",INDEX(LookupData!Z:Z,$AK4))))</f>
        <v/>
      </c>
      <c r="AA4" s="7" t="str">
        <f>IF($AK4="","",IF($AK4=0,"",IF(INDEX(LookupData!AA:AA,$AK4)="","",INDEX(LookupData!AA:AA,$AK4))))</f>
        <v/>
      </c>
      <c r="AB4" s="7" t="str">
        <f>IF($AK4="","",IF($AK4=0,"",IF(INDEX(LookupData!AB:AB,$AK4)="","",INDEX(LookupData!AB:AB,$AK4))))</f>
        <v/>
      </c>
      <c r="AC4" s="7" t="str">
        <f>IF($AK4="","",IF($AK4=0,"",IF(INDEX(LookupData!AC:AC,$AK4)="","",INDEX(LookupData!AC:AC,$AK4))))</f>
        <v/>
      </c>
      <c r="AD4" s="7" t="str">
        <f>IF($AK4="","",IF($AK4=0,"",IF(INDEX(LookupData!AD:AD,$AK4)="","",INDEX(LookupData!AD:AD,$AK4))))</f>
        <v/>
      </c>
      <c r="AE4" s="7" t="str">
        <f>IF($AK4="","",IF($AK4=0,"",IF(INDEX(LookupData!AE:AE,$AK4)="","",INDEX(LookupData!AE:AE,$AK4))))</f>
        <v/>
      </c>
      <c r="AF4" t="str">
        <f>IF($AK4="","",IF($AK4=0,"",IF(INDEX(LookupData!AF:AF,$AK4)="","",INDEX(LookupData!AF:AF,$AK4))))</f>
        <v/>
      </c>
      <c r="AG4" t="str">
        <f>IF($AK4="","",IF($AK4=0,"",IF(INDEX(LookupData!AG:AG,$AK4)="","",INDEX(LookupData!AG:AG,$AK4))))</f>
        <v/>
      </c>
      <c r="AH4" s="11" t="str">
        <f>IF($AK4="","",IF($AK4=0,"",IF(INDEX(LookupData!AH:AH,$AK4)="","",INDEX(LookupData!AH:AH,$AK4))))</f>
        <v/>
      </c>
      <c r="AI4" s="12" t="str">
        <f>IF($AK4="","",IF($AK4=0,"",IF(INDEX(LookupData!AI:AI,$AK4)="","",HYPERLINK(INDEX(LookupData!AI:AI,$AK4),"Open"))))</f>
        <v/>
      </c>
      <c r="AK4" t="str">
        <f>IF(AL4="","",IFERROR(MATCH(AL4,LookupData!$A:$A,0),0))</f>
        <v/>
      </c>
      <c r="AL4" t="str">
        <f t="shared" si="0"/>
        <v/>
      </c>
      <c r="AM4" t="str">
        <f t="shared" si="1"/>
        <v/>
      </c>
      <c r="AO4" t="str">
        <f>IF(MID($AN$1,721,240)="","|",MID($AN$1,721,240))</f>
        <v>|</v>
      </c>
    </row>
    <row r="5" spans="1:41" x14ac:dyDescent="0.2">
      <c r="A5" s="9"/>
      <c r="B5" s="10" t="str">
        <f>IF($AK5="","",IF($AK5=0,"not in the database",IF(INDEX(LookupData!B:B,$AK5)="","",INDEX(LookupData!B:B,$AK5))))</f>
        <v/>
      </c>
      <c r="C5" t="str">
        <f>IF($AK5="","",IF($AK5=0,"",IF(INDEX(LookupData!C:C,$AK5)="","",INDEX(LookupData!C:C,$AK5))))</f>
        <v/>
      </c>
      <c r="D5" t="str">
        <f>IF($AK5="","",IF($AK5=0,"",IF(INDEX(LookupData!D:D,$AK5)="","",INDEX(LookupData!D:D,$AK5))))</f>
        <v/>
      </c>
      <c r="E5" t="str">
        <f>IF($AK5="","",IF($AK5=0,"",IF(INDEX(LookupData!E:E,$AK5)="","",INDEX(LookupData!E:E,$AK5))))</f>
        <v/>
      </c>
      <c r="F5" t="str">
        <f>IF($AK5="","",IF($AK5=0,"",IF(INDEX(LookupData!F:F,$AK5)="","",INDEX(LookupData!F:F,$AK5))))</f>
        <v/>
      </c>
      <c r="G5" t="str">
        <f>IF($AK5="","",IF($AK5=0,"",IF(INDEX(LookupData!G:G,$AK5)="","",INDEX(LookupData!G:G,$AK5))))</f>
        <v/>
      </c>
      <c r="H5" t="str">
        <f>IF($AK5="","",IF($AK5=0,"",IF(INDEX(LookupData!H:H,$AK5)="","",INDEX(LookupData!H:H,$AK5))))</f>
        <v/>
      </c>
      <c r="I5" s="7" t="str">
        <f>IF($AK5="","",IF($AK5=0,"",IF(INDEX(LookupData!I:I,$AK5)="","",INDEX(LookupData!I:I,$AK5))))</f>
        <v/>
      </c>
      <c r="J5" s="7" t="str">
        <f>IF($AK5="","",IF($AK5=0,"",IF(INDEX(LookupData!J:J,$AK5)="","",INDEX(LookupData!J:J,$AK5))))</f>
        <v/>
      </c>
      <c r="K5" s="7" t="str">
        <f>IF($AK5="","",IF($AK5=0,"",IF(INDEX(LookupData!K:K,$AK5)="","",INDEX(LookupData!K:K,$AK5))))</f>
        <v/>
      </c>
      <c r="L5" s="7" t="str">
        <f>IF($AK5="","",IF($AK5=0,"",IF(INDEX(LookupData!L:L,$AK5)="","",INDEX(LookupData!L:L,$AK5))))</f>
        <v/>
      </c>
      <c r="M5" s="7" t="str">
        <f>IF($AK5="","",IF($AK5=0,"",IF(INDEX(LookupData!M:M,$AK5)="","",INDEX(LookupData!M:M,$AK5))))</f>
        <v/>
      </c>
      <c r="N5" s="7" t="str">
        <f>IF($AK5="","",IF($AK5=0,"",IF(INDEX(LookupData!N:N,$AK5)="","",INDEX(LookupData!N:N,$AK5))))</f>
        <v/>
      </c>
      <c r="O5" s="7" t="str">
        <f>IF($AK5="","",IF($AK5=0,"",IF(INDEX(LookupData!O:O,$AK5)="","",INDEX(LookupData!O:O,$AK5))))</f>
        <v/>
      </c>
      <c r="P5" s="7" t="str">
        <f>IF($AK5="","",IF($AK5=0,"",IF(INDEX(LookupData!P:P,$AK5)="","",INDEX(LookupData!P:P,$AK5))))</f>
        <v/>
      </c>
      <c r="Q5" s="7" t="str">
        <f>IF($AK5="","",IF($AK5=0,"",IF(INDEX(LookupData!Q:Q,$AK5)="","",INDEX(LookupData!Q:Q,$AK5))))</f>
        <v/>
      </c>
      <c r="R5" s="7" t="str">
        <f>IF($AK5="","",IF($AK5=0,"",IF(INDEX(LookupData!R:R,$AK5)="","",INDEX(LookupData!R:R,$AK5))))</f>
        <v/>
      </c>
      <c r="S5" s="7" t="str">
        <f>IF($AK5="","",IF($AK5=0,"",IF(INDEX(LookupData!S:S,$AK5)="","",INDEX(LookupData!S:S,$AK5))))</f>
        <v/>
      </c>
      <c r="T5" s="7" t="str">
        <f>IF($AK5="","",IF($AK5=0,"",IF(INDEX(LookupData!T:T,$AK5)="","",INDEX(LookupData!T:T,$AK5))))</f>
        <v/>
      </c>
      <c r="U5" s="7" t="str">
        <f>IF($AK5="","",IF($AK5=0,"",IF(INDEX(LookupData!U:U,$AK5)="","",INDEX(LookupData!U:U,$AK5))))</f>
        <v/>
      </c>
      <c r="V5" s="7" t="str">
        <f>IF($AK5="","",IF($AK5=0,"",IF(INDEX(LookupData!V:V,$AK5)="","",INDEX(LookupData!V:V,$AK5))))</f>
        <v/>
      </c>
      <c r="W5" t="str">
        <f>IF($AK5="","",IF($AK5=0,"",IF(INDEX(LookupData!W:W,$AK5)="","",INDEX(LookupData!W:W,$AK5))))</f>
        <v/>
      </c>
      <c r="X5" s="7" t="str">
        <f>IF($AK5="","",IF($AK5=0,"",IF(INDEX(LookupData!X:X,$AK5)="","",INDEX(LookupData!X:X,$AK5))))</f>
        <v/>
      </c>
      <c r="Y5" s="7" t="str">
        <f>IF($AK5="","",IF($AK5=0,"",IF(INDEX(LookupData!Y:Y,$AK5)="","",INDEX(LookupData!Y:Y,$AK5))))</f>
        <v/>
      </c>
      <c r="Z5" s="7" t="str">
        <f>IF($AK5="","",IF($AK5=0,"",IF(INDEX(LookupData!Z:Z,$AK5)="","",INDEX(LookupData!Z:Z,$AK5))))</f>
        <v/>
      </c>
      <c r="AA5" s="7" t="str">
        <f>IF($AK5="","",IF($AK5=0,"",IF(INDEX(LookupData!AA:AA,$AK5)="","",INDEX(LookupData!AA:AA,$AK5))))</f>
        <v/>
      </c>
      <c r="AB5" s="7" t="str">
        <f>IF($AK5="","",IF($AK5=0,"",IF(INDEX(LookupData!AB:AB,$AK5)="","",INDEX(LookupData!AB:AB,$AK5))))</f>
        <v/>
      </c>
      <c r="AC5" s="7" t="str">
        <f>IF($AK5="","",IF($AK5=0,"",IF(INDEX(LookupData!AC:AC,$AK5)="","",INDEX(LookupData!AC:AC,$AK5))))</f>
        <v/>
      </c>
      <c r="AD5" s="7" t="str">
        <f>IF($AK5="","",IF($AK5=0,"",IF(INDEX(LookupData!AD:AD,$AK5)="","",INDEX(LookupData!AD:AD,$AK5))))</f>
        <v/>
      </c>
      <c r="AE5" s="7" t="str">
        <f>IF($AK5="","",IF($AK5=0,"",IF(INDEX(LookupData!AE:AE,$AK5)="","",INDEX(LookupData!AE:AE,$AK5))))</f>
        <v/>
      </c>
      <c r="AF5" t="str">
        <f>IF($AK5="","",IF($AK5=0,"",IF(INDEX(LookupData!AF:AF,$AK5)="","",INDEX(LookupData!AF:AF,$AK5))))</f>
        <v/>
      </c>
      <c r="AG5" t="str">
        <f>IF($AK5="","",IF($AK5=0,"",IF(INDEX(LookupData!AG:AG,$AK5)="","",INDEX(LookupData!AG:AG,$AK5))))</f>
        <v/>
      </c>
      <c r="AH5" s="11" t="str">
        <f>IF($AK5="","",IF($AK5=0,"",IF(INDEX(LookupData!AH:AH,$AK5)="","",INDEX(LookupData!AH:AH,$AK5))))</f>
        <v/>
      </c>
      <c r="AI5" s="12" t="str">
        <f>IF($AK5="","",IF($AK5=0,"",IF(INDEX(LookupData!AI:AI,$AK5)="","",HYPERLINK(INDEX(LookupData!AI:AI,$AK5),"Open"))))</f>
        <v/>
      </c>
      <c r="AK5" t="str">
        <f>IF(AL5="","",IFERROR(MATCH(AL5,LookupData!$A:$A,0),0))</f>
        <v/>
      </c>
      <c r="AL5" t="str">
        <f t="shared" si="0"/>
        <v/>
      </c>
      <c r="AM5" t="str">
        <f t="shared" si="1"/>
        <v/>
      </c>
      <c r="AO5" t="str">
        <f>IF(MID($AN$1,961,240)="","|",MID($AN$1,961,240))</f>
        <v>|</v>
      </c>
    </row>
    <row r="6" spans="1:41" x14ac:dyDescent="0.2">
      <c r="A6" s="9"/>
      <c r="B6" s="10" t="str">
        <f>IF($AK6="","",IF($AK6=0,"not in the database",IF(INDEX(LookupData!B:B,$AK6)="","",INDEX(LookupData!B:B,$AK6))))</f>
        <v/>
      </c>
      <c r="C6" t="str">
        <f>IF($AK6="","",IF($AK6=0,"",IF(INDEX(LookupData!C:C,$AK6)="","",INDEX(LookupData!C:C,$AK6))))</f>
        <v/>
      </c>
      <c r="D6" t="str">
        <f>IF($AK6="","",IF($AK6=0,"",IF(INDEX(LookupData!D:D,$AK6)="","",INDEX(LookupData!D:D,$AK6))))</f>
        <v/>
      </c>
      <c r="E6" t="str">
        <f>IF($AK6="","",IF($AK6=0,"",IF(INDEX(LookupData!E:E,$AK6)="","",INDEX(LookupData!E:E,$AK6))))</f>
        <v/>
      </c>
      <c r="F6" t="str">
        <f>IF($AK6="","",IF($AK6=0,"",IF(INDEX(LookupData!F:F,$AK6)="","",INDEX(LookupData!F:F,$AK6))))</f>
        <v/>
      </c>
      <c r="G6" t="str">
        <f>IF($AK6="","",IF($AK6=0,"",IF(INDEX(LookupData!G:G,$AK6)="","",INDEX(LookupData!G:G,$AK6))))</f>
        <v/>
      </c>
      <c r="H6" t="str">
        <f>IF($AK6="","",IF($AK6=0,"",IF(INDEX(LookupData!H:H,$AK6)="","",INDEX(LookupData!H:H,$AK6))))</f>
        <v/>
      </c>
      <c r="I6" s="7" t="str">
        <f>IF($AK6="","",IF($AK6=0,"",IF(INDEX(LookupData!I:I,$AK6)="","",INDEX(LookupData!I:I,$AK6))))</f>
        <v/>
      </c>
      <c r="J6" s="7" t="str">
        <f>IF($AK6="","",IF($AK6=0,"",IF(INDEX(LookupData!J:J,$AK6)="","",INDEX(LookupData!J:J,$AK6))))</f>
        <v/>
      </c>
      <c r="K6" s="7" t="str">
        <f>IF($AK6="","",IF($AK6=0,"",IF(INDEX(LookupData!K:K,$AK6)="","",INDEX(LookupData!K:K,$AK6))))</f>
        <v/>
      </c>
      <c r="L6" s="7" t="str">
        <f>IF($AK6="","",IF($AK6=0,"",IF(INDEX(LookupData!L:L,$AK6)="","",INDEX(LookupData!L:L,$AK6))))</f>
        <v/>
      </c>
      <c r="M6" s="7" t="str">
        <f>IF($AK6="","",IF($AK6=0,"",IF(INDEX(LookupData!M:M,$AK6)="","",INDEX(LookupData!M:M,$AK6))))</f>
        <v/>
      </c>
      <c r="N6" s="7" t="str">
        <f>IF($AK6="","",IF($AK6=0,"",IF(INDEX(LookupData!N:N,$AK6)="","",INDEX(LookupData!N:N,$AK6))))</f>
        <v/>
      </c>
      <c r="O6" s="7" t="str">
        <f>IF($AK6="","",IF($AK6=0,"",IF(INDEX(LookupData!O:O,$AK6)="","",INDEX(LookupData!O:O,$AK6))))</f>
        <v/>
      </c>
      <c r="P6" s="7" t="str">
        <f>IF($AK6="","",IF($AK6=0,"",IF(INDEX(LookupData!P:P,$AK6)="","",INDEX(LookupData!P:P,$AK6))))</f>
        <v/>
      </c>
      <c r="Q6" s="7" t="str">
        <f>IF($AK6="","",IF($AK6=0,"",IF(INDEX(LookupData!Q:Q,$AK6)="","",INDEX(LookupData!Q:Q,$AK6))))</f>
        <v/>
      </c>
      <c r="R6" s="7" t="str">
        <f>IF($AK6="","",IF($AK6=0,"",IF(INDEX(LookupData!R:R,$AK6)="","",INDEX(LookupData!R:R,$AK6))))</f>
        <v/>
      </c>
      <c r="S6" s="7" t="str">
        <f>IF($AK6="","",IF($AK6=0,"",IF(INDEX(LookupData!S:S,$AK6)="","",INDEX(LookupData!S:S,$AK6))))</f>
        <v/>
      </c>
      <c r="T6" s="7" t="str">
        <f>IF($AK6="","",IF($AK6=0,"",IF(INDEX(LookupData!T:T,$AK6)="","",INDEX(LookupData!T:T,$AK6))))</f>
        <v/>
      </c>
      <c r="U6" s="7" t="str">
        <f>IF($AK6="","",IF($AK6=0,"",IF(INDEX(LookupData!U:U,$AK6)="","",INDEX(LookupData!U:U,$AK6))))</f>
        <v/>
      </c>
      <c r="V6" s="7" t="str">
        <f>IF($AK6="","",IF($AK6=0,"",IF(INDEX(LookupData!V:V,$AK6)="","",INDEX(LookupData!V:V,$AK6))))</f>
        <v/>
      </c>
      <c r="W6" t="str">
        <f>IF($AK6="","",IF($AK6=0,"",IF(INDEX(LookupData!W:W,$AK6)="","",INDEX(LookupData!W:W,$AK6))))</f>
        <v/>
      </c>
      <c r="X6" s="7" t="str">
        <f>IF($AK6="","",IF($AK6=0,"",IF(INDEX(LookupData!X:X,$AK6)="","",INDEX(LookupData!X:X,$AK6))))</f>
        <v/>
      </c>
      <c r="Y6" s="7" t="str">
        <f>IF($AK6="","",IF($AK6=0,"",IF(INDEX(LookupData!Y:Y,$AK6)="","",INDEX(LookupData!Y:Y,$AK6))))</f>
        <v/>
      </c>
      <c r="Z6" s="7" t="str">
        <f>IF($AK6="","",IF($AK6=0,"",IF(INDEX(LookupData!Z:Z,$AK6)="","",INDEX(LookupData!Z:Z,$AK6))))</f>
        <v/>
      </c>
      <c r="AA6" s="7" t="str">
        <f>IF($AK6="","",IF($AK6=0,"",IF(INDEX(LookupData!AA:AA,$AK6)="","",INDEX(LookupData!AA:AA,$AK6))))</f>
        <v/>
      </c>
      <c r="AB6" s="7" t="str">
        <f>IF($AK6="","",IF($AK6=0,"",IF(INDEX(LookupData!AB:AB,$AK6)="","",INDEX(LookupData!AB:AB,$AK6))))</f>
        <v/>
      </c>
      <c r="AC6" s="7" t="str">
        <f>IF($AK6="","",IF($AK6=0,"",IF(INDEX(LookupData!AC:AC,$AK6)="","",INDEX(LookupData!AC:AC,$AK6))))</f>
        <v/>
      </c>
      <c r="AD6" s="7" t="str">
        <f>IF($AK6="","",IF($AK6=0,"",IF(INDEX(LookupData!AD:AD,$AK6)="","",INDEX(LookupData!AD:AD,$AK6))))</f>
        <v/>
      </c>
      <c r="AE6" s="7" t="str">
        <f>IF($AK6="","",IF($AK6=0,"",IF(INDEX(LookupData!AE:AE,$AK6)="","",INDEX(LookupData!AE:AE,$AK6))))</f>
        <v/>
      </c>
      <c r="AF6" t="str">
        <f>IF($AK6="","",IF($AK6=0,"",IF(INDEX(LookupData!AF:AF,$AK6)="","",INDEX(LookupData!AF:AF,$AK6))))</f>
        <v/>
      </c>
      <c r="AG6" t="str">
        <f>IF($AK6="","",IF($AK6=0,"",IF(INDEX(LookupData!AG:AG,$AK6)="","",INDEX(LookupData!AG:AG,$AK6))))</f>
        <v/>
      </c>
      <c r="AH6" s="11" t="str">
        <f>IF($AK6="","",IF($AK6=0,"",IF(INDEX(LookupData!AH:AH,$AK6)="","",INDEX(LookupData!AH:AH,$AK6))))</f>
        <v/>
      </c>
      <c r="AI6" s="12" t="str">
        <f>IF($AK6="","",IF($AK6=0,"",IF(INDEX(LookupData!AI:AI,$AK6)="","",HYPERLINK(INDEX(LookupData!AI:AI,$AK6),"Open"))))</f>
        <v/>
      </c>
      <c r="AK6" t="str">
        <f>IF(AL6="","",IFERROR(MATCH(AL6,LookupData!$A:$A,0),0))</f>
        <v/>
      </c>
      <c r="AL6" t="str">
        <f t="shared" si="0"/>
        <v/>
      </c>
      <c r="AM6" t="str">
        <f t="shared" si="1"/>
        <v/>
      </c>
      <c r="AO6" t="str">
        <f>IF(MID($AN$1,1201,240)="","|",MID($AN$1,1201,240))</f>
        <v>|</v>
      </c>
    </row>
    <row r="7" spans="1:41" x14ac:dyDescent="0.2">
      <c r="A7" s="9"/>
      <c r="B7" s="10" t="str">
        <f>IF($AK7="","",IF($AK7=0,"not in the database",IF(INDEX(LookupData!B:B,$AK7)="","",INDEX(LookupData!B:B,$AK7))))</f>
        <v/>
      </c>
      <c r="C7" t="str">
        <f>IF($AK7="","",IF($AK7=0,"",IF(INDEX(LookupData!C:C,$AK7)="","",INDEX(LookupData!C:C,$AK7))))</f>
        <v/>
      </c>
      <c r="D7" t="str">
        <f>IF($AK7="","",IF($AK7=0,"",IF(INDEX(LookupData!D:D,$AK7)="","",INDEX(LookupData!D:D,$AK7))))</f>
        <v/>
      </c>
      <c r="E7" t="str">
        <f>IF($AK7="","",IF($AK7=0,"",IF(INDEX(LookupData!E:E,$AK7)="","",INDEX(LookupData!E:E,$AK7))))</f>
        <v/>
      </c>
      <c r="F7" t="str">
        <f>IF($AK7="","",IF($AK7=0,"",IF(INDEX(LookupData!F:F,$AK7)="","",INDEX(LookupData!F:F,$AK7))))</f>
        <v/>
      </c>
      <c r="G7" t="str">
        <f>IF($AK7="","",IF($AK7=0,"",IF(INDEX(LookupData!G:G,$AK7)="","",INDEX(LookupData!G:G,$AK7))))</f>
        <v/>
      </c>
      <c r="H7" t="str">
        <f>IF($AK7="","",IF($AK7=0,"",IF(INDEX(LookupData!H:H,$AK7)="","",INDEX(LookupData!H:H,$AK7))))</f>
        <v/>
      </c>
      <c r="I7" s="7" t="str">
        <f>IF($AK7="","",IF($AK7=0,"",IF(INDEX(LookupData!I:I,$AK7)="","",INDEX(LookupData!I:I,$AK7))))</f>
        <v/>
      </c>
      <c r="J7" s="7" t="str">
        <f>IF($AK7="","",IF($AK7=0,"",IF(INDEX(LookupData!J:J,$AK7)="","",INDEX(LookupData!J:J,$AK7))))</f>
        <v/>
      </c>
      <c r="K7" s="7" t="str">
        <f>IF($AK7="","",IF($AK7=0,"",IF(INDEX(LookupData!K:K,$AK7)="","",INDEX(LookupData!K:K,$AK7))))</f>
        <v/>
      </c>
      <c r="L7" s="7" t="str">
        <f>IF($AK7="","",IF($AK7=0,"",IF(INDEX(LookupData!L:L,$AK7)="","",INDEX(LookupData!L:L,$AK7))))</f>
        <v/>
      </c>
      <c r="M7" s="7" t="str">
        <f>IF($AK7="","",IF($AK7=0,"",IF(INDEX(LookupData!M:M,$AK7)="","",INDEX(LookupData!M:M,$AK7))))</f>
        <v/>
      </c>
      <c r="N7" s="7" t="str">
        <f>IF($AK7="","",IF($AK7=0,"",IF(INDEX(LookupData!N:N,$AK7)="","",INDEX(LookupData!N:N,$AK7))))</f>
        <v/>
      </c>
      <c r="O7" s="7" t="str">
        <f>IF($AK7="","",IF($AK7=0,"",IF(INDEX(LookupData!O:O,$AK7)="","",INDEX(LookupData!O:O,$AK7))))</f>
        <v/>
      </c>
      <c r="P7" s="7" t="str">
        <f>IF($AK7="","",IF($AK7=0,"",IF(INDEX(LookupData!P:P,$AK7)="","",INDEX(LookupData!P:P,$AK7))))</f>
        <v/>
      </c>
      <c r="Q7" s="7" t="str">
        <f>IF($AK7="","",IF($AK7=0,"",IF(INDEX(LookupData!Q:Q,$AK7)="","",INDEX(LookupData!Q:Q,$AK7))))</f>
        <v/>
      </c>
      <c r="R7" s="7" t="str">
        <f>IF($AK7="","",IF($AK7=0,"",IF(INDEX(LookupData!R:R,$AK7)="","",INDEX(LookupData!R:R,$AK7))))</f>
        <v/>
      </c>
      <c r="S7" s="7" t="str">
        <f>IF($AK7="","",IF($AK7=0,"",IF(INDEX(LookupData!S:S,$AK7)="","",INDEX(LookupData!S:S,$AK7))))</f>
        <v/>
      </c>
      <c r="T7" s="7" t="str">
        <f>IF($AK7="","",IF($AK7=0,"",IF(INDEX(LookupData!T:T,$AK7)="","",INDEX(LookupData!T:T,$AK7))))</f>
        <v/>
      </c>
      <c r="U7" s="7" t="str">
        <f>IF($AK7="","",IF($AK7=0,"",IF(INDEX(LookupData!U:U,$AK7)="","",INDEX(LookupData!U:U,$AK7))))</f>
        <v/>
      </c>
      <c r="V7" s="7" t="str">
        <f>IF($AK7="","",IF($AK7=0,"",IF(INDEX(LookupData!V:V,$AK7)="","",INDEX(LookupData!V:V,$AK7))))</f>
        <v/>
      </c>
      <c r="W7" t="str">
        <f>IF($AK7="","",IF($AK7=0,"",IF(INDEX(LookupData!W:W,$AK7)="","",INDEX(LookupData!W:W,$AK7))))</f>
        <v/>
      </c>
      <c r="X7" s="7" t="str">
        <f>IF($AK7="","",IF($AK7=0,"",IF(INDEX(LookupData!X:X,$AK7)="","",INDEX(LookupData!X:X,$AK7))))</f>
        <v/>
      </c>
      <c r="Y7" s="7" t="str">
        <f>IF($AK7="","",IF($AK7=0,"",IF(INDEX(LookupData!Y:Y,$AK7)="","",INDEX(LookupData!Y:Y,$AK7))))</f>
        <v/>
      </c>
      <c r="Z7" s="7" t="str">
        <f>IF($AK7="","",IF($AK7=0,"",IF(INDEX(LookupData!Z:Z,$AK7)="","",INDEX(LookupData!Z:Z,$AK7))))</f>
        <v/>
      </c>
      <c r="AA7" s="7" t="str">
        <f>IF($AK7="","",IF($AK7=0,"",IF(INDEX(LookupData!AA:AA,$AK7)="","",INDEX(LookupData!AA:AA,$AK7))))</f>
        <v/>
      </c>
      <c r="AB7" s="7" t="str">
        <f>IF($AK7="","",IF($AK7=0,"",IF(INDEX(LookupData!AB:AB,$AK7)="","",INDEX(LookupData!AB:AB,$AK7))))</f>
        <v/>
      </c>
      <c r="AC7" s="7" t="str">
        <f>IF($AK7="","",IF($AK7=0,"",IF(INDEX(LookupData!AC:AC,$AK7)="","",INDEX(LookupData!AC:AC,$AK7))))</f>
        <v/>
      </c>
      <c r="AD7" s="7" t="str">
        <f>IF($AK7="","",IF($AK7=0,"",IF(INDEX(LookupData!AD:AD,$AK7)="","",INDEX(LookupData!AD:AD,$AK7))))</f>
        <v/>
      </c>
      <c r="AE7" s="7" t="str">
        <f>IF($AK7="","",IF($AK7=0,"",IF(INDEX(LookupData!AE:AE,$AK7)="","",INDEX(LookupData!AE:AE,$AK7))))</f>
        <v/>
      </c>
      <c r="AF7" t="str">
        <f>IF($AK7="","",IF($AK7=0,"",IF(INDEX(LookupData!AF:AF,$AK7)="","",INDEX(LookupData!AF:AF,$AK7))))</f>
        <v/>
      </c>
      <c r="AG7" t="str">
        <f>IF($AK7="","",IF($AK7=0,"",IF(INDEX(LookupData!AG:AG,$AK7)="","",INDEX(LookupData!AG:AG,$AK7))))</f>
        <v/>
      </c>
      <c r="AH7" s="11" t="str">
        <f>IF($AK7="","",IF($AK7=0,"",IF(INDEX(LookupData!AH:AH,$AK7)="","",INDEX(LookupData!AH:AH,$AK7))))</f>
        <v/>
      </c>
      <c r="AI7" s="12" t="str">
        <f>IF($AK7="","",IF($AK7=0,"",IF(INDEX(LookupData!AI:AI,$AK7)="","",HYPERLINK(INDEX(LookupData!AI:AI,$AK7),"Open"))))</f>
        <v/>
      </c>
      <c r="AK7" t="str">
        <f>IF(AL7="","",IFERROR(MATCH(AL7,LookupData!$A:$A,0),0))</f>
        <v/>
      </c>
      <c r="AL7" t="str">
        <f t="shared" si="0"/>
        <v/>
      </c>
      <c r="AM7" t="str">
        <f t="shared" si="1"/>
        <v/>
      </c>
      <c r="AO7" t="str">
        <f>IF(MID($AN$1,1441,240)="","|",MID($AN$1,1441,240))</f>
        <v>|</v>
      </c>
    </row>
    <row r="8" spans="1:41" x14ac:dyDescent="0.2">
      <c r="A8" s="9"/>
      <c r="B8" s="10" t="str">
        <f>IF($AK8="","",IF($AK8=0,"not in the database",IF(INDEX(LookupData!B:B,$AK8)="","",INDEX(LookupData!B:B,$AK8))))</f>
        <v/>
      </c>
      <c r="C8" t="str">
        <f>IF($AK8="","",IF($AK8=0,"",IF(INDEX(LookupData!C:C,$AK8)="","",INDEX(LookupData!C:C,$AK8))))</f>
        <v/>
      </c>
      <c r="D8" t="str">
        <f>IF($AK8="","",IF($AK8=0,"",IF(INDEX(LookupData!D:D,$AK8)="","",INDEX(LookupData!D:D,$AK8))))</f>
        <v/>
      </c>
      <c r="E8" t="str">
        <f>IF($AK8="","",IF($AK8=0,"",IF(INDEX(LookupData!E:E,$AK8)="","",INDEX(LookupData!E:E,$AK8))))</f>
        <v/>
      </c>
      <c r="F8" t="str">
        <f>IF($AK8="","",IF($AK8=0,"",IF(INDEX(LookupData!F:F,$AK8)="","",INDEX(LookupData!F:F,$AK8))))</f>
        <v/>
      </c>
      <c r="G8" t="str">
        <f>IF($AK8="","",IF($AK8=0,"",IF(INDEX(LookupData!G:G,$AK8)="","",INDEX(LookupData!G:G,$AK8))))</f>
        <v/>
      </c>
      <c r="H8" t="str">
        <f>IF($AK8="","",IF($AK8=0,"",IF(INDEX(LookupData!H:H,$AK8)="","",INDEX(LookupData!H:H,$AK8))))</f>
        <v/>
      </c>
      <c r="I8" s="7" t="str">
        <f>IF($AK8="","",IF($AK8=0,"",IF(INDEX(LookupData!I:I,$AK8)="","",INDEX(LookupData!I:I,$AK8))))</f>
        <v/>
      </c>
      <c r="J8" s="7" t="str">
        <f>IF($AK8="","",IF($AK8=0,"",IF(INDEX(LookupData!J:J,$AK8)="","",INDEX(LookupData!J:J,$AK8))))</f>
        <v/>
      </c>
      <c r="K8" s="7" t="str">
        <f>IF($AK8="","",IF($AK8=0,"",IF(INDEX(LookupData!K:K,$AK8)="","",INDEX(LookupData!K:K,$AK8))))</f>
        <v/>
      </c>
      <c r="L8" s="7" t="str">
        <f>IF($AK8="","",IF($AK8=0,"",IF(INDEX(LookupData!L:L,$AK8)="","",INDEX(LookupData!L:L,$AK8))))</f>
        <v/>
      </c>
      <c r="M8" s="7" t="str">
        <f>IF($AK8="","",IF($AK8=0,"",IF(INDEX(LookupData!M:M,$AK8)="","",INDEX(LookupData!M:M,$AK8))))</f>
        <v/>
      </c>
      <c r="N8" s="7" t="str">
        <f>IF($AK8="","",IF($AK8=0,"",IF(INDEX(LookupData!N:N,$AK8)="","",INDEX(LookupData!N:N,$AK8))))</f>
        <v/>
      </c>
      <c r="O8" s="7" t="str">
        <f>IF($AK8="","",IF($AK8=0,"",IF(INDEX(LookupData!O:O,$AK8)="","",INDEX(LookupData!O:O,$AK8))))</f>
        <v/>
      </c>
      <c r="P8" s="7" t="str">
        <f>IF($AK8="","",IF($AK8=0,"",IF(INDEX(LookupData!P:P,$AK8)="","",INDEX(LookupData!P:P,$AK8))))</f>
        <v/>
      </c>
      <c r="Q8" s="7" t="str">
        <f>IF($AK8="","",IF($AK8=0,"",IF(INDEX(LookupData!Q:Q,$AK8)="","",INDEX(LookupData!Q:Q,$AK8))))</f>
        <v/>
      </c>
      <c r="R8" s="7" t="str">
        <f>IF($AK8="","",IF($AK8=0,"",IF(INDEX(LookupData!R:R,$AK8)="","",INDEX(LookupData!R:R,$AK8))))</f>
        <v/>
      </c>
      <c r="S8" s="7" t="str">
        <f>IF($AK8="","",IF($AK8=0,"",IF(INDEX(LookupData!S:S,$AK8)="","",INDEX(LookupData!S:S,$AK8))))</f>
        <v/>
      </c>
      <c r="T8" s="7" t="str">
        <f>IF($AK8="","",IF($AK8=0,"",IF(INDEX(LookupData!T:T,$AK8)="","",INDEX(LookupData!T:T,$AK8))))</f>
        <v/>
      </c>
      <c r="U8" s="7" t="str">
        <f>IF($AK8="","",IF($AK8=0,"",IF(INDEX(LookupData!U:U,$AK8)="","",INDEX(LookupData!U:U,$AK8))))</f>
        <v/>
      </c>
      <c r="V8" s="7" t="str">
        <f>IF($AK8="","",IF($AK8=0,"",IF(INDEX(LookupData!V:V,$AK8)="","",INDEX(LookupData!V:V,$AK8))))</f>
        <v/>
      </c>
      <c r="W8" t="str">
        <f>IF($AK8="","",IF($AK8=0,"",IF(INDEX(LookupData!W:W,$AK8)="","",INDEX(LookupData!W:W,$AK8))))</f>
        <v/>
      </c>
      <c r="X8" s="7" t="str">
        <f>IF($AK8="","",IF($AK8=0,"",IF(INDEX(LookupData!X:X,$AK8)="","",INDEX(LookupData!X:X,$AK8))))</f>
        <v/>
      </c>
      <c r="Y8" s="7" t="str">
        <f>IF($AK8="","",IF($AK8=0,"",IF(INDEX(LookupData!Y:Y,$AK8)="","",INDEX(LookupData!Y:Y,$AK8))))</f>
        <v/>
      </c>
      <c r="Z8" s="7" t="str">
        <f>IF($AK8="","",IF($AK8=0,"",IF(INDEX(LookupData!Z:Z,$AK8)="","",INDEX(LookupData!Z:Z,$AK8))))</f>
        <v/>
      </c>
      <c r="AA8" s="7" t="str">
        <f>IF($AK8="","",IF($AK8=0,"",IF(INDEX(LookupData!AA:AA,$AK8)="","",INDEX(LookupData!AA:AA,$AK8))))</f>
        <v/>
      </c>
      <c r="AB8" s="7" t="str">
        <f>IF($AK8="","",IF($AK8=0,"",IF(INDEX(LookupData!AB:AB,$AK8)="","",INDEX(LookupData!AB:AB,$AK8))))</f>
        <v/>
      </c>
      <c r="AC8" s="7" t="str">
        <f>IF($AK8="","",IF($AK8=0,"",IF(INDEX(LookupData!AC:AC,$AK8)="","",INDEX(LookupData!AC:AC,$AK8))))</f>
        <v/>
      </c>
      <c r="AD8" s="7" t="str">
        <f>IF($AK8="","",IF($AK8=0,"",IF(INDEX(LookupData!AD:AD,$AK8)="","",INDEX(LookupData!AD:AD,$AK8))))</f>
        <v/>
      </c>
      <c r="AE8" s="7" t="str">
        <f>IF($AK8="","",IF($AK8=0,"",IF(INDEX(LookupData!AE:AE,$AK8)="","",INDEX(LookupData!AE:AE,$AK8))))</f>
        <v/>
      </c>
      <c r="AF8" t="str">
        <f>IF($AK8="","",IF($AK8=0,"",IF(INDEX(LookupData!AF:AF,$AK8)="","",INDEX(LookupData!AF:AF,$AK8))))</f>
        <v/>
      </c>
      <c r="AG8" t="str">
        <f>IF($AK8="","",IF($AK8=0,"",IF(INDEX(LookupData!AG:AG,$AK8)="","",INDEX(LookupData!AG:AG,$AK8))))</f>
        <v/>
      </c>
      <c r="AH8" s="11" t="str">
        <f>IF($AK8="","",IF($AK8=0,"",IF(INDEX(LookupData!AH:AH,$AK8)="","",INDEX(LookupData!AH:AH,$AK8))))</f>
        <v/>
      </c>
      <c r="AI8" s="12" t="str">
        <f>IF($AK8="","",IF($AK8=0,"",IF(INDEX(LookupData!AI:AI,$AK8)="","",HYPERLINK(INDEX(LookupData!AI:AI,$AK8),"Open"))))</f>
        <v/>
      </c>
      <c r="AK8" t="str">
        <f>IF(AL8="","",IFERROR(MATCH(AL8,LookupData!$A:$A,0),0))</f>
        <v/>
      </c>
      <c r="AL8" t="str">
        <f t="shared" si="0"/>
        <v/>
      </c>
      <c r="AM8" t="str">
        <f t="shared" si="1"/>
        <v/>
      </c>
      <c r="AO8" t="str">
        <f>IF(MID($AN$1,1681,240)="","|",MID($AN$1,1681,240))</f>
        <v>|</v>
      </c>
    </row>
    <row r="9" spans="1:41" x14ac:dyDescent="0.2">
      <c r="A9" s="9"/>
      <c r="B9" s="10" t="str">
        <f>IF($AK9="","",IF($AK9=0,"not in the database",IF(INDEX(LookupData!B:B,$AK9)="","",INDEX(LookupData!B:B,$AK9))))</f>
        <v/>
      </c>
      <c r="C9" t="str">
        <f>IF($AK9="","",IF($AK9=0,"",IF(INDEX(LookupData!C:C,$AK9)="","",INDEX(LookupData!C:C,$AK9))))</f>
        <v/>
      </c>
      <c r="D9" t="str">
        <f>IF($AK9="","",IF($AK9=0,"",IF(INDEX(LookupData!D:D,$AK9)="","",INDEX(LookupData!D:D,$AK9))))</f>
        <v/>
      </c>
      <c r="E9" t="str">
        <f>IF($AK9="","",IF($AK9=0,"",IF(INDEX(LookupData!E:E,$AK9)="","",INDEX(LookupData!E:E,$AK9))))</f>
        <v/>
      </c>
      <c r="F9" t="str">
        <f>IF($AK9="","",IF($AK9=0,"",IF(INDEX(LookupData!F:F,$AK9)="","",INDEX(LookupData!F:F,$AK9))))</f>
        <v/>
      </c>
      <c r="G9" t="str">
        <f>IF($AK9="","",IF($AK9=0,"",IF(INDEX(LookupData!G:G,$AK9)="","",INDEX(LookupData!G:G,$AK9))))</f>
        <v/>
      </c>
      <c r="H9" t="str">
        <f>IF($AK9="","",IF($AK9=0,"",IF(INDEX(LookupData!H:H,$AK9)="","",INDEX(LookupData!H:H,$AK9))))</f>
        <v/>
      </c>
      <c r="I9" s="7" t="str">
        <f>IF($AK9="","",IF($AK9=0,"",IF(INDEX(LookupData!I:I,$AK9)="","",INDEX(LookupData!I:I,$AK9))))</f>
        <v/>
      </c>
      <c r="J9" s="7" t="str">
        <f>IF($AK9="","",IF($AK9=0,"",IF(INDEX(LookupData!J:J,$AK9)="","",INDEX(LookupData!J:J,$AK9))))</f>
        <v/>
      </c>
      <c r="K9" s="7" t="str">
        <f>IF($AK9="","",IF($AK9=0,"",IF(INDEX(LookupData!K:K,$AK9)="","",INDEX(LookupData!K:K,$AK9))))</f>
        <v/>
      </c>
      <c r="L9" s="7" t="str">
        <f>IF($AK9="","",IF($AK9=0,"",IF(INDEX(LookupData!L:L,$AK9)="","",INDEX(LookupData!L:L,$AK9))))</f>
        <v/>
      </c>
      <c r="M9" s="7" t="str">
        <f>IF($AK9="","",IF($AK9=0,"",IF(INDEX(LookupData!M:M,$AK9)="","",INDEX(LookupData!M:M,$AK9))))</f>
        <v/>
      </c>
      <c r="N9" s="7" t="str">
        <f>IF($AK9="","",IF($AK9=0,"",IF(INDEX(LookupData!N:N,$AK9)="","",INDEX(LookupData!N:N,$AK9))))</f>
        <v/>
      </c>
      <c r="O9" s="7" t="str">
        <f>IF($AK9="","",IF($AK9=0,"",IF(INDEX(LookupData!O:O,$AK9)="","",INDEX(LookupData!O:O,$AK9))))</f>
        <v/>
      </c>
      <c r="P9" s="7" t="str">
        <f>IF($AK9="","",IF($AK9=0,"",IF(INDEX(LookupData!P:P,$AK9)="","",INDEX(LookupData!P:P,$AK9))))</f>
        <v/>
      </c>
      <c r="Q9" s="7" t="str">
        <f>IF($AK9="","",IF($AK9=0,"",IF(INDEX(LookupData!Q:Q,$AK9)="","",INDEX(LookupData!Q:Q,$AK9))))</f>
        <v/>
      </c>
      <c r="R9" s="7" t="str">
        <f>IF($AK9="","",IF($AK9=0,"",IF(INDEX(LookupData!R:R,$AK9)="","",INDEX(LookupData!R:R,$AK9))))</f>
        <v/>
      </c>
      <c r="S9" s="7" t="str">
        <f>IF($AK9="","",IF($AK9=0,"",IF(INDEX(LookupData!S:S,$AK9)="","",INDEX(LookupData!S:S,$AK9))))</f>
        <v/>
      </c>
      <c r="T9" s="7" t="str">
        <f>IF($AK9="","",IF($AK9=0,"",IF(INDEX(LookupData!T:T,$AK9)="","",INDEX(LookupData!T:T,$AK9))))</f>
        <v/>
      </c>
      <c r="U9" s="7" t="str">
        <f>IF($AK9="","",IF($AK9=0,"",IF(INDEX(LookupData!U:U,$AK9)="","",INDEX(LookupData!U:U,$AK9))))</f>
        <v/>
      </c>
      <c r="V9" s="7" t="str">
        <f>IF($AK9="","",IF($AK9=0,"",IF(INDEX(LookupData!V:V,$AK9)="","",INDEX(LookupData!V:V,$AK9))))</f>
        <v/>
      </c>
      <c r="W9" t="str">
        <f>IF($AK9="","",IF($AK9=0,"",IF(INDEX(LookupData!W:W,$AK9)="","",INDEX(LookupData!W:W,$AK9))))</f>
        <v/>
      </c>
      <c r="X9" s="7" t="str">
        <f>IF($AK9="","",IF($AK9=0,"",IF(INDEX(LookupData!X:X,$AK9)="","",INDEX(LookupData!X:X,$AK9))))</f>
        <v/>
      </c>
      <c r="Y9" s="7" t="str">
        <f>IF($AK9="","",IF($AK9=0,"",IF(INDEX(LookupData!Y:Y,$AK9)="","",INDEX(LookupData!Y:Y,$AK9))))</f>
        <v/>
      </c>
      <c r="Z9" s="7" t="str">
        <f>IF($AK9="","",IF($AK9=0,"",IF(INDEX(LookupData!Z:Z,$AK9)="","",INDEX(LookupData!Z:Z,$AK9))))</f>
        <v/>
      </c>
      <c r="AA9" s="7" t="str">
        <f>IF($AK9="","",IF($AK9=0,"",IF(INDEX(LookupData!AA:AA,$AK9)="","",INDEX(LookupData!AA:AA,$AK9))))</f>
        <v/>
      </c>
      <c r="AB9" s="7" t="str">
        <f>IF($AK9="","",IF($AK9=0,"",IF(INDEX(LookupData!AB:AB,$AK9)="","",INDEX(LookupData!AB:AB,$AK9))))</f>
        <v/>
      </c>
      <c r="AC9" s="7" t="str">
        <f>IF($AK9="","",IF($AK9=0,"",IF(INDEX(LookupData!AC:AC,$AK9)="","",INDEX(LookupData!AC:AC,$AK9))))</f>
        <v/>
      </c>
      <c r="AD9" s="7" t="str">
        <f>IF($AK9="","",IF($AK9=0,"",IF(INDEX(LookupData!AD:AD,$AK9)="","",INDEX(LookupData!AD:AD,$AK9))))</f>
        <v/>
      </c>
      <c r="AE9" s="7" t="str">
        <f>IF($AK9="","",IF($AK9=0,"",IF(INDEX(LookupData!AE:AE,$AK9)="","",INDEX(LookupData!AE:AE,$AK9))))</f>
        <v/>
      </c>
      <c r="AF9" t="str">
        <f>IF($AK9="","",IF($AK9=0,"",IF(INDEX(LookupData!AF:AF,$AK9)="","",INDEX(LookupData!AF:AF,$AK9))))</f>
        <v/>
      </c>
      <c r="AG9" t="str">
        <f>IF($AK9="","",IF($AK9=0,"",IF(INDEX(LookupData!AG:AG,$AK9)="","",INDEX(LookupData!AG:AG,$AK9))))</f>
        <v/>
      </c>
      <c r="AH9" s="11" t="str">
        <f>IF($AK9="","",IF($AK9=0,"",IF(INDEX(LookupData!AH:AH,$AK9)="","",INDEX(LookupData!AH:AH,$AK9))))</f>
        <v/>
      </c>
      <c r="AI9" s="12" t="str">
        <f>IF($AK9="","",IF($AK9=0,"",IF(INDEX(LookupData!AI:AI,$AK9)="","",HYPERLINK(INDEX(LookupData!AI:AI,$AK9),"Open"))))</f>
        <v/>
      </c>
      <c r="AK9" t="str">
        <f>IF(AL9="","",IFERROR(MATCH(AL9,LookupData!$A:$A,0),0))</f>
        <v/>
      </c>
      <c r="AL9" t="str">
        <f t="shared" si="0"/>
        <v/>
      </c>
      <c r="AM9" t="str">
        <f t="shared" si="1"/>
        <v/>
      </c>
      <c r="AO9" t="str">
        <f>IF(MID($AN$1,1921,240)="","|",MID($AN$1,1921,240))</f>
        <v>|</v>
      </c>
    </row>
    <row r="10" spans="1:41" x14ac:dyDescent="0.2">
      <c r="A10" s="9"/>
      <c r="B10" s="10" t="str">
        <f>IF($AK10="","",IF($AK10=0,"not in the database",IF(INDEX(LookupData!B:B,$AK10)="","",INDEX(LookupData!B:B,$AK10))))</f>
        <v/>
      </c>
      <c r="C10" t="str">
        <f>IF($AK10="","",IF($AK10=0,"",IF(INDEX(LookupData!C:C,$AK10)="","",INDEX(LookupData!C:C,$AK10))))</f>
        <v/>
      </c>
      <c r="D10" t="str">
        <f>IF($AK10="","",IF($AK10=0,"",IF(INDEX(LookupData!D:D,$AK10)="","",INDEX(LookupData!D:D,$AK10))))</f>
        <v/>
      </c>
      <c r="E10" t="str">
        <f>IF($AK10="","",IF($AK10=0,"",IF(INDEX(LookupData!E:E,$AK10)="","",INDEX(LookupData!E:E,$AK10))))</f>
        <v/>
      </c>
      <c r="F10" t="str">
        <f>IF($AK10="","",IF($AK10=0,"",IF(INDEX(LookupData!F:F,$AK10)="","",INDEX(LookupData!F:F,$AK10))))</f>
        <v/>
      </c>
      <c r="G10" t="str">
        <f>IF($AK10="","",IF($AK10=0,"",IF(INDEX(LookupData!G:G,$AK10)="","",INDEX(LookupData!G:G,$AK10))))</f>
        <v/>
      </c>
      <c r="H10" t="str">
        <f>IF($AK10="","",IF($AK10=0,"",IF(INDEX(LookupData!H:H,$AK10)="","",INDEX(LookupData!H:H,$AK10))))</f>
        <v/>
      </c>
      <c r="I10" s="7" t="str">
        <f>IF($AK10="","",IF($AK10=0,"",IF(INDEX(LookupData!I:I,$AK10)="","",INDEX(LookupData!I:I,$AK10))))</f>
        <v/>
      </c>
      <c r="J10" s="7" t="str">
        <f>IF($AK10="","",IF($AK10=0,"",IF(INDEX(LookupData!J:J,$AK10)="","",INDEX(LookupData!J:J,$AK10))))</f>
        <v/>
      </c>
      <c r="K10" s="7" t="str">
        <f>IF($AK10="","",IF($AK10=0,"",IF(INDEX(LookupData!K:K,$AK10)="","",INDEX(LookupData!K:K,$AK10))))</f>
        <v/>
      </c>
      <c r="L10" s="7" t="str">
        <f>IF($AK10="","",IF($AK10=0,"",IF(INDEX(LookupData!L:L,$AK10)="","",INDEX(LookupData!L:L,$AK10))))</f>
        <v/>
      </c>
      <c r="M10" s="7" t="str">
        <f>IF($AK10="","",IF($AK10=0,"",IF(INDEX(LookupData!M:M,$AK10)="","",INDEX(LookupData!M:M,$AK10))))</f>
        <v/>
      </c>
      <c r="N10" s="7" t="str">
        <f>IF($AK10="","",IF($AK10=0,"",IF(INDEX(LookupData!N:N,$AK10)="","",INDEX(LookupData!N:N,$AK10))))</f>
        <v/>
      </c>
      <c r="O10" s="7" t="str">
        <f>IF($AK10="","",IF($AK10=0,"",IF(INDEX(LookupData!O:O,$AK10)="","",INDEX(LookupData!O:O,$AK10))))</f>
        <v/>
      </c>
      <c r="P10" s="7" t="str">
        <f>IF($AK10="","",IF($AK10=0,"",IF(INDEX(LookupData!P:P,$AK10)="","",INDEX(LookupData!P:P,$AK10))))</f>
        <v/>
      </c>
      <c r="Q10" s="7" t="str">
        <f>IF($AK10="","",IF($AK10=0,"",IF(INDEX(LookupData!Q:Q,$AK10)="","",INDEX(LookupData!Q:Q,$AK10))))</f>
        <v/>
      </c>
      <c r="R10" s="7" t="str">
        <f>IF($AK10="","",IF($AK10=0,"",IF(INDEX(LookupData!R:R,$AK10)="","",INDEX(LookupData!R:R,$AK10))))</f>
        <v/>
      </c>
      <c r="S10" s="7" t="str">
        <f>IF($AK10="","",IF($AK10=0,"",IF(INDEX(LookupData!S:S,$AK10)="","",INDEX(LookupData!S:S,$AK10))))</f>
        <v/>
      </c>
      <c r="T10" s="7" t="str">
        <f>IF($AK10="","",IF($AK10=0,"",IF(INDEX(LookupData!T:T,$AK10)="","",INDEX(LookupData!T:T,$AK10))))</f>
        <v/>
      </c>
      <c r="U10" s="7" t="str">
        <f>IF($AK10="","",IF($AK10=0,"",IF(INDEX(LookupData!U:U,$AK10)="","",INDEX(LookupData!U:U,$AK10))))</f>
        <v/>
      </c>
      <c r="V10" s="7" t="str">
        <f>IF($AK10="","",IF($AK10=0,"",IF(INDEX(LookupData!V:V,$AK10)="","",INDEX(LookupData!V:V,$AK10))))</f>
        <v/>
      </c>
      <c r="W10" t="str">
        <f>IF($AK10="","",IF($AK10=0,"",IF(INDEX(LookupData!W:W,$AK10)="","",INDEX(LookupData!W:W,$AK10))))</f>
        <v/>
      </c>
      <c r="X10" s="7" t="str">
        <f>IF($AK10="","",IF($AK10=0,"",IF(INDEX(LookupData!X:X,$AK10)="","",INDEX(LookupData!X:X,$AK10))))</f>
        <v/>
      </c>
      <c r="Y10" s="7" t="str">
        <f>IF($AK10="","",IF($AK10=0,"",IF(INDEX(LookupData!Y:Y,$AK10)="","",INDEX(LookupData!Y:Y,$AK10))))</f>
        <v/>
      </c>
      <c r="Z10" s="7" t="str">
        <f>IF($AK10="","",IF($AK10=0,"",IF(INDEX(LookupData!Z:Z,$AK10)="","",INDEX(LookupData!Z:Z,$AK10))))</f>
        <v/>
      </c>
      <c r="AA10" s="7" t="str">
        <f>IF($AK10="","",IF($AK10=0,"",IF(INDEX(LookupData!AA:AA,$AK10)="","",INDEX(LookupData!AA:AA,$AK10))))</f>
        <v/>
      </c>
      <c r="AB10" s="7" t="str">
        <f>IF($AK10="","",IF($AK10=0,"",IF(INDEX(LookupData!AB:AB,$AK10)="","",INDEX(LookupData!AB:AB,$AK10))))</f>
        <v/>
      </c>
      <c r="AC10" s="7" t="str">
        <f>IF($AK10="","",IF($AK10=0,"",IF(INDEX(LookupData!AC:AC,$AK10)="","",INDEX(LookupData!AC:AC,$AK10))))</f>
        <v/>
      </c>
      <c r="AD10" s="7" t="str">
        <f>IF($AK10="","",IF($AK10=0,"",IF(INDEX(LookupData!AD:AD,$AK10)="","",INDEX(LookupData!AD:AD,$AK10))))</f>
        <v/>
      </c>
      <c r="AE10" s="7" t="str">
        <f>IF($AK10="","",IF($AK10=0,"",IF(INDEX(LookupData!AE:AE,$AK10)="","",INDEX(LookupData!AE:AE,$AK10))))</f>
        <v/>
      </c>
      <c r="AF10" t="str">
        <f>IF($AK10="","",IF($AK10=0,"",IF(INDEX(LookupData!AF:AF,$AK10)="","",INDEX(LookupData!AF:AF,$AK10))))</f>
        <v/>
      </c>
      <c r="AG10" t="str">
        <f>IF($AK10="","",IF($AK10=0,"",IF(INDEX(LookupData!AG:AG,$AK10)="","",INDEX(LookupData!AG:AG,$AK10))))</f>
        <v/>
      </c>
      <c r="AH10" s="11" t="str">
        <f>IF($AK10="","",IF($AK10=0,"",IF(INDEX(LookupData!AH:AH,$AK10)="","",INDEX(LookupData!AH:AH,$AK10))))</f>
        <v/>
      </c>
      <c r="AI10" s="12" t="str">
        <f>IF($AK10="","",IF($AK10=0,"",IF(INDEX(LookupData!AI:AI,$AK10)="","",HYPERLINK(INDEX(LookupData!AI:AI,$AK10),"Open"))))</f>
        <v/>
      </c>
      <c r="AK10" t="str">
        <f>IF(AL10="","",IFERROR(MATCH(AL10,LookupData!$A:$A,0),0))</f>
        <v/>
      </c>
      <c r="AL10" t="str">
        <f t="shared" si="0"/>
        <v/>
      </c>
      <c r="AM10" t="str">
        <f t="shared" si="1"/>
        <v/>
      </c>
      <c r="AO10" t="str">
        <f>IF(MID($AN$1,2161,240)="","|",MID($AN$1,2161,240))</f>
        <v>|</v>
      </c>
    </row>
    <row r="11" spans="1:41" x14ac:dyDescent="0.2">
      <c r="A11" s="9"/>
      <c r="B11" s="10" t="str">
        <f>IF($AK11="","",IF($AK11=0,"not in the database",IF(INDEX(LookupData!B:B,$AK11)="","",INDEX(LookupData!B:B,$AK11))))</f>
        <v/>
      </c>
      <c r="C11" t="str">
        <f>IF($AK11="","",IF($AK11=0,"",IF(INDEX(LookupData!C:C,$AK11)="","",INDEX(LookupData!C:C,$AK11))))</f>
        <v/>
      </c>
      <c r="D11" t="str">
        <f>IF($AK11="","",IF($AK11=0,"",IF(INDEX(LookupData!D:D,$AK11)="","",INDEX(LookupData!D:D,$AK11))))</f>
        <v/>
      </c>
      <c r="E11" t="str">
        <f>IF($AK11="","",IF($AK11=0,"",IF(INDEX(LookupData!E:E,$AK11)="","",INDEX(LookupData!E:E,$AK11))))</f>
        <v/>
      </c>
      <c r="F11" t="str">
        <f>IF($AK11="","",IF($AK11=0,"",IF(INDEX(LookupData!F:F,$AK11)="","",INDEX(LookupData!F:F,$AK11))))</f>
        <v/>
      </c>
      <c r="G11" t="str">
        <f>IF($AK11="","",IF($AK11=0,"",IF(INDEX(LookupData!G:G,$AK11)="","",INDEX(LookupData!G:G,$AK11))))</f>
        <v/>
      </c>
      <c r="H11" t="str">
        <f>IF($AK11="","",IF($AK11=0,"",IF(INDEX(LookupData!H:H,$AK11)="","",INDEX(LookupData!H:H,$AK11))))</f>
        <v/>
      </c>
      <c r="I11" s="7" t="str">
        <f>IF($AK11="","",IF($AK11=0,"",IF(INDEX(LookupData!I:I,$AK11)="","",INDEX(LookupData!I:I,$AK11))))</f>
        <v/>
      </c>
      <c r="J11" s="7" t="str">
        <f>IF($AK11="","",IF($AK11=0,"",IF(INDEX(LookupData!J:J,$AK11)="","",INDEX(LookupData!J:J,$AK11))))</f>
        <v/>
      </c>
      <c r="K11" s="7" t="str">
        <f>IF($AK11="","",IF($AK11=0,"",IF(INDEX(LookupData!K:K,$AK11)="","",INDEX(LookupData!K:K,$AK11))))</f>
        <v/>
      </c>
      <c r="L11" s="7" t="str">
        <f>IF($AK11="","",IF($AK11=0,"",IF(INDEX(LookupData!L:L,$AK11)="","",INDEX(LookupData!L:L,$AK11))))</f>
        <v/>
      </c>
      <c r="M11" s="7" t="str">
        <f>IF($AK11="","",IF($AK11=0,"",IF(INDEX(LookupData!M:M,$AK11)="","",INDEX(LookupData!M:M,$AK11))))</f>
        <v/>
      </c>
      <c r="N11" s="7" t="str">
        <f>IF($AK11="","",IF($AK11=0,"",IF(INDEX(LookupData!N:N,$AK11)="","",INDEX(LookupData!N:N,$AK11))))</f>
        <v/>
      </c>
      <c r="O11" s="7" t="str">
        <f>IF($AK11="","",IF($AK11=0,"",IF(INDEX(LookupData!O:O,$AK11)="","",INDEX(LookupData!O:O,$AK11))))</f>
        <v/>
      </c>
      <c r="P11" s="7" t="str">
        <f>IF($AK11="","",IF($AK11=0,"",IF(INDEX(LookupData!P:P,$AK11)="","",INDEX(LookupData!P:P,$AK11))))</f>
        <v/>
      </c>
      <c r="Q11" s="7" t="str">
        <f>IF($AK11="","",IF($AK11=0,"",IF(INDEX(LookupData!Q:Q,$AK11)="","",INDEX(LookupData!Q:Q,$AK11))))</f>
        <v/>
      </c>
      <c r="R11" s="7" t="str">
        <f>IF($AK11="","",IF($AK11=0,"",IF(INDEX(LookupData!R:R,$AK11)="","",INDEX(LookupData!R:R,$AK11))))</f>
        <v/>
      </c>
      <c r="S11" s="7" t="str">
        <f>IF($AK11="","",IF($AK11=0,"",IF(INDEX(LookupData!S:S,$AK11)="","",INDEX(LookupData!S:S,$AK11))))</f>
        <v/>
      </c>
      <c r="T11" s="7" t="str">
        <f>IF($AK11="","",IF($AK11=0,"",IF(INDEX(LookupData!T:T,$AK11)="","",INDEX(LookupData!T:T,$AK11))))</f>
        <v/>
      </c>
      <c r="U11" s="7" t="str">
        <f>IF($AK11="","",IF($AK11=0,"",IF(INDEX(LookupData!U:U,$AK11)="","",INDEX(LookupData!U:U,$AK11))))</f>
        <v/>
      </c>
      <c r="V11" s="7" t="str">
        <f>IF($AK11="","",IF($AK11=0,"",IF(INDEX(LookupData!V:V,$AK11)="","",INDEX(LookupData!V:V,$AK11))))</f>
        <v/>
      </c>
      <c r="W11" t="str">
        <f>IF($AK11="","",IF($AK11=0,"",IF(INDEX(LookupData!W:W,$AK11)="","",INDEX(LookupData!W:W,$AK11))))</f>
        <v/>
      </c>
      <c r="X11" s="7" t="str">
        <f>IF($AK11="","",IF($AK11=0,"",IF(INDEX(LookupData!X:X,$AK11)="","",INDEX(LookupData!X:X,$AK11))))</f>
        <v/>
      </c>
      <c r="Y11" s="7" t="str">
        <f>IF($AK11="","",IF($AK11=0,"",IF(INDEX(LookupData!Y:Y,$AK11)="","",INDEX(LookupData!Y:Y,$AK11))))</f>
        <v/>
      </c>
      <c r="Z11" s="7" t="str">
        <f>IF($AK11="","",IF($AK11=0,"",IF(INDEX(LookupData!Z:Z,$AK11)="","",INDEX(LookupData!Z:Z,$AK11))))</f>
        <v/>
      </c>
      <c r="AA11" s="7" t="str">
        <f>IF($AK11="","",IF($AK11=0,"",IF(INDEX(LookupData!AA:AA,$AK11)="","",INDEX(LookupData!AA:AA,$AK11))))</f>
        <v/>
      </c>
      <c r="AB11" s="7" t="str">
        <f>IF($AK11="","",IF($AK11=0,"",IF(INDEX(LookupData!AB:AB,$AK11)="","",INDEX(LookupData!AB:AB,$AK11))))</f>
        <v/>
      </c>
      <c r="AC11" s="7" t="str">
        <f>IF($AK11="","",IF($AK11=0,"",IF(INDEX(LookupData!AC:AC,$AK11)="","",INDEX(LookupData!AC:AC,$AK11))))</f>
        <v/>
      </c>
      <c r="AD11" s="7" t="str">
        <f>IF($AK11="","",IF($AK11=0,"",IF(INDEX(LookupData!AD:AD,$AK11)="","",INDEX(LookupData!AD:AD,$AK11))))</f>
        <v/>
      </c>
      <c r="AE11" s="7" t="str">
        <f>IF($AK11="","",IF($AK11=0,"",IF(INDEX(LookupData!AE:AE,$AK11)="","",INDEX(LookupData!AE:AE,$AK11))))</f>
        <v/>
      </c>
      <c r="AF11" t="str">
        <f>IF($AK11="","",IF($AK11=0,"",IF(INDEX(LookupData!AF:AF,$AK11)="","",INDEX(LookupData!AF:AF,$AK11))))</f>
        <v/>
      </c>
      <c r="AG11" t="str">
        <f>IF($AK11="","",IF($AK11=0,"",IF(INDEX(LookupData!AG:AG,$AK11)="","",INDEX(LookupData!AG:AG,$AK11))))</f>
        <v/>
      </c>
      <c r="AH11" s="11" t="str">
        <f>IF($AK11="","",IF($AK11=0,"",IF(INDEX(LookupData!AH:AH,$AK11)="","",INDEX(LookupData!AH:AH,$AK11))))</f>
        <v/>
      </c>
      <c r="AI11" s="12" t="str">
        <f>IF($AK11="","",IF($AK11=0,"",IF(INDEX(LookupData!AI:AI,$AK11)="","",HYPERLINK(INDEX(LookupData!AI:AI,$AK11),"Open"))))</f>
        <v/>
      </c>
      <c r="AK11" t="str">
        <f>IF(AL11="","",IFERROR(MATCH(AL11,LookupData!$A:$A,0),0))</f>
        <v/>
      </c>
      <c r="AL11" t="str">
        <f t="shared" si="0"/>
        <v/>
      </c>
      <c r="AM11" t="str">
        <f t="shared" si="1"/>
        <v/>
      </c>
      <c r="AO11" t="str">
        <f>IF(MID($AN$1,2401,240)="","|",MID($AN$1,2401,240))</f>
        <v>|</v>
      </c>
    </row>
    <row r="12" spans="1:41" x14ac:dyDescent="0.2">
      <c r="A12" s="9"/>
      <c r="B12" s="10" t="str">
        <f>IF($AK12="","",IF($AK12=0,"not in the database",IF(INDEX(LookupData!B:B,$AK12)="","",INDEX(LookupData!B:B,$AK12))))</f>
        <v/>
      </c>
      <c r="C12" t="str">
        <f>IF($AK12="","",IF($AK12=0,"",IF(INDEX(LookupData!C:C,$AK12)="","",INDEX(LookupData!C:C,$AK12))))</f>
        <v/>
      </c>
      <c r="D12" t="str">
        <f>IF($AK12="","",IF($AK12=0,"",IF(INDEX(LookupData!D:D,$AK12)="","",INDEX(LookupData!D:D,$AK12))))</f>
        <v/>
      </c>
      <c r="E12" t="str">
        <f>IF($AK12="","",IF($AK12=0,"",IF(INDEX(LookupData!E:E,$AK12)="","",INDEX(LookupData!E:E,$AK12))))</f>
        <v/>
      </c>
      <c r="F12" t="str">
        <f>IF($AK12="","",IF($AK12=0,"",IF(INDEX(LookupData!F:F,$AK12)="","",INDEX(LookupData!F:F,$AK12))))</f>
        <v/>
      </c>
      <c r="G12" t="str">
        <f>IF($AK12="","",IF($AK12=0,"",IF(INDEX(LookupData!G:G,$AK12)="","",INDEX(LookupData!G:G,$AK12))))</f>
        <v/>
      </c>
      <c r="H12" t="str">
        <f>IF($AK12="","",IF($AK12=0,"",IF(INDEX(LookupData!H:H,$AK12)="","",INDEX(LookupData!H:H,$AK12))))</f>
        <v/>
      </c>
      <c r="I12" s="7" t="str">
        <f>IF($AK12="","",IF($AK12=0,"",IF(INDEX(LookupData!I:I,$AK12)="","",INDEX(LookupData!I:I,$AK12))))</f>
        <v/>
      </c>
      <c r="J12" s="7" t="str">
        <f>IF($AK12="","",IF($AK12=0,"",IF(INDEX(LookupData!J:J,$AK12)="","",INDEX(LookupData!J:J,$AK12))))</f>
        <v/>
      </c>
      <c r="K12" s="7" t="str">
        <f>IF($AK12="","",IF($AK12=0,"",IF(INDEX(LookupData!K:K,$AK12)="","",INDEX(LookupData!K:K,$AK12))))</f>
        <v/>
      </c>
      <c r="L12" s="7" t="str">
        <f>IF($AK12="","",IF($AK12=0,"",IF(INDEX(LookupData!L:L,$AK12)="","",INDEX(LookupData!L:L,$AK12))))</f>
        <v/>
      </c>
      <c r="M12" s="7" t="str">
        <f>IF($AK12="","",IF($AK12=0,"",IF(INDEX(LookupData!M:M,$AK12)="","",INDEX(LookupData!M:M,$AK12))))</f>
        <v/>
      </c>
      <c r="N12" s="7" t="str">
        <f>IF($AK12="","",IF($AK12=0,"",IF(INDEX(LookupData!N:N,$AK12)="","",INDEX(LookupData!N:N,$AK12))))</f>
        <v/>
      </c>
      <c r="O12" s="7" t="str">
        <f>IF($AK12="","",IF($AK12=0,"",IF(INDEX(LookupData!O:O,$AK12)="","",INDEX(LookupData!O:O,$AK12))))</f>
        <v/>
      </c>
      <c r="P12" s="7" t="str">
        <f>IF($AK12="","",IF($AK12=0,"",IF(INDEX(LookupData!P:P,$AK12)="","",INDEX(LookupData!P:P,$AK12))))</f>
        <v/>
      </c>
      <c r="Q12" s="7" t="str">
        <f>IF($AK12="","",IF($AK12=0,"",IF(INDEX(LookupData!Q:Q,$AK12)="","",INDEX(LookupData!Q:Q,$AK12))))</f>
        <v/>
      </c>
      <c r="R12" s="7" t="str">
        <f>IF($AK12="","",IF($AK12=0,"",IF(INDEX(LookupData!R:R,$AK12)="","",INDEX(LookupData!R:R,$AK12))))</f>
        <v/>
      </c>
      <c r="S12" s="7" t="str">
        <f>IF($AK12="","",IF($AK12=0,"",IF(INDEX(LookupData!S:S,$AK12)="","",INDEX(LookupData!S:S,$AK12))))</f>
        <v/>
      </c>
      <c r="T12" s="7" t="str">
        <f>IF($AK12="","",IF($AK12=0,"",IF(INDEX(LookupData!T:T,$AK12)="","",INDEX(LookupData!T:T,$AK12))))</f>
        <v/>
      </c>
      <c r="U12" s="7" t="str">
        <f>IF($AK12="","",IF($AK12=0,"",IF(INDEX(LookupData!U:U,$AK12)="","",INDEX(LookupData!U:U,$AK12))))</f>
        <v/>
      </c>
      <c r="V12" s="7" t="str">
        <f>IF($AK12="","",IF($AK12=0,"",IF(INDEX(LookupData!V:V,$AK12)="","",INDEX(LookupData!V:V,$AK12))))</f>
        <v/>
      </c>
      <c r="W12" t="str">
        <f>IF($AK12="","",IF($AK12=0,"",IF(INDEX(LookupData!W:W,$AK12)="","",INDEX(LookupData!W:W,$AK12))))</f>
        <v/>
      </c>
      <c r="X12" s="7" t="str">
        <f>IF($AK12="","",IF($AK12=0,"",IF(INDEX(LookupData!X:X,$AK12)="","",INDEX(LookupData!X:X,$AK12))))</f>
        <v/>
      </c>
      <c r="Y12" s="7" t="str">
        <f>IF($AK12="","",IF($AK12=0,"",IF(INDEX(LookupData!Y:Y,$AK12)="","",INDEX(LookupData!Y:Y,$AK12))))</f>
        <v/>
      </c>
      <c r="Z12" s="7" t="str">
        <f>IF($AK12="","",IF($AK12=0,"",IF(INDEX(LookupData!Z:Z,$AK12)="","",INDEX(LookupData!Z:Z,$AK12))))</f>
        <v/>
      </c>
      <c r="AA12" s="7" t="str">
        <f>IF($AK12="","",IF($AK12=0,"",IF(INDEX(LookupData!AA:AA,$AK12)="","",INDEX(LookupData!AA:AA,$AK12))))</f>
        <v/>
      </c>
      <c r="AB12" s="7" t="str">
        <f>IF($AK12="","",IF($AK12=0,"",IF(INDEX(LookupData!AB:AB,$AK12)="","",INDEX(LookupData!AB:AB,$AK12))))</f>
        <v/>
      </c>
      <c r="AC12" s="7" t="str">
        <f>IF($AK12="","",IF($AK12=0,"",IF(INDEX(LookupData!AC:AC,$AK12)="","",INDEX(LookupData!AC:AC,$AK12))))</f>
        <v/>
      </c>
      <c r="AD12" s="7" t="str">
        <f>IF($AK12="","",IF($AK12=0,"",IF(INDEX(LookupData!AD:AD,$AK12)="","",INDEX(LookupData!AD:AD,$AK12))))</f>
        <v/>
      </c>
      <c r="AE12" s="7" t="str">
        <f>IF($AK12="","",IF($AK12=0,"",IF(INDEX(LookupData!AE:AE,$AK12)="","",INDEX(LookupData!AE:AE,$AK12))))</f>
        <v/>
      </c>
      <c r="AF12" t="str">
        <f>IF($AK12="","",IF($AK12=0,"",IF(INDEX(LookupData!AF:AF,$AK12)="","",INDEX(LookupData!AF:AF,$AK12))))</f>
        <v/>
      </c>
      <c r="AG12" t="str">
        <f>IF($AK12="","",IF($AK12=0,"",IF(INDEX(LookupData!AG:AG,$AK12)="","",INDEX(LookupData!AG:AG,$AK12))))</f>
        <v/>
      </c>
      <c r="AH12" s="11" t="str">
        <f>IF($AK12="","",IF($AK12=0,"",IF(INDEX(LookupData!AH:AH,$AK12)="","",INDEX(LookupData!AH:AH,$AK12))))</f>
        <v/>
      </c>
      <c r="AI12" s="12" t="str">
        <f>IF($AK12="","",IF($AK12=0,"",IF(INDEX(LookupData!AI:AI,$AK12)="","",HYPERLINK(INDEX(LookupData!AI:AI,$AK12),"Open"))))</f>
        <v/>
      </c>
      <c r="AK12" t="str">
        <f>IF(AL12="","",IFERROR(MATCH(AL12,LookupData!$A:$A,0),0))</f>
        <v/>
      </c>
      <c r="AL12" t="str">
        <f t="shared" si="0"/>
        <v/>
      </c>
      <c r="AM12" t="str">
        <f t="shared" si="1"/>
        <v/>
      </c>
      <c r="AO12" t="str">
        <f>IF(MID($AN$1,2641,240)="","|",MID($AN$1,2641,240))</f>
        <v>|</v>
      </c>
    </row>
    <row r="13" spans="1:41" x14ac:dyDescent="0.2">
      <c r="A13" s="9"/>
      <c r="B13" s="10" t="str">
        <f>IF($AK13="","",IF($AK13=0,"not in the database",IF(INDEX(LookupData!B:B,$AK13)="","",INDEX(LookupData!B:B,$AK13))))</f>
        <v/>
      </c>
      <c r="C13" t="str">
        <f>IF($AK13="","",IF($AK13=0,"",IF(INDEX(LookupData!C:C,$AK13)="","",INDEX(LookupData!C:C,$AK13))))</f>
        <v/>
      </c>
      <c r="D13" t="str">
        <f>IF($AK13="","",IF($AK13=0,"",IF(INDEX(LookupData!D:D,$AK13)="","",INDEX(LookupData!D:D,$AK13))))</f>
        <v/>
      </c>
      <c r="E13" t="str">
        <f>IF($AK13="","",IF($AK13=0,"",IF(INDEX(LookupData!E:E,$AK13)="","",INDEX(LookupData!E:E,$AK13))))</f>
        <v/>
      </c>
      <c r="F13" t="str">
        <f>IF($AK13="","",IF($AK13=0,"",IF(INDEX(LookupData!F:F,$AK13)="","",INDEX(LookupData!F:F,$AK13))))</f>
        <v/>
      </c>
      <c r="G13" t="str">
        <f>IF($AK13="","",IF($AK13=0,"",IF(INDEX(LookupData!G:G,$AK13)="","",INDEX(LookupData!G:G,$AK13))))</f>
        <v/>
      </c>
      <c r="H13" t="str">
        <f>IF($AK13="","",IF($AK13=0,"",IF(INDEX(LookupData!H:H,$AK13)="","",INDEX(LookupData!H:H,$AK13))))</f>
        <v/>
      </c>
      <c r="I13" s="7" t="str">
        <f>IF($AK13="","",IF($AK13=0,"",IF(INDEX(LookupData!I:I,$AK13)="","",INDEX(LookupData!I:I,$AK13))))</f>
        <v/>
      </c>
      <c r="J13" s="7" t="str">
        <f>IF($AK13="","",IF($AK13=0,"",IF(INDEX(LookupData!J:J,$AK13)="","",INDEX(LookupData!J:J,$AK13))))</f>
        <v/>
      </c>
      <c r="K13" s="7" t="str">
        <f>IF($AK13="","",IF($AK13=0,"",IF(INDEX(LookupData!K:K,$AK13)="","",INDEX(LookupData!K:K,$AK13))))</f>
        <v/>
      </c>
      <c r="L13" s="7" t="str">
        <f>IF($AK13="","",IF($AK13=0,"",IF(INDEX(LookupData!L:L,$AK13)="","",INDEX(LookupData!L:L,$AK13))))</f>
        <v/>
      </c>
      <c r="M13" s="7" t="str">
        <f>IF($AK13="","",IF($AK13=0,"",IF(INDEX(LookupData!M:M,$AK13)="","",INDEX(LookupData!M:M,$AK13))))</f>
        <v/>
      </c>
      <c r="N13" s="7" t="str">
        <f>IF($AK13="","",IF($AK13=0,"",IF(INDEX(LookupData!N:N,$AK13)="","",INDEX(LookupData!N:N,$AK13))))</f>
        <v/>
      </c>
      <c r="O13" s="7" t="str">
        <f>IF($AK13="","",IF($AK13=0,"",IF(INDEX(LookupData!O:O,$AK13)="","",INDEX(LookupData!O:O,$AK13))))</f>
        <v/>
      </c>
      <c r="P13" s="7" t="str">
        <f>IF($AK13="","",IF($AK13=0,"",IF(INDEX(LookupData!P:P,$AK13)="","",INDEX(LookupData!P:P,$AK13))))</f>
        <v/>
      </c>
      <c r="Q13" s="7" t="str">
        <f>IF($AK13="","",IF($AK13=0,"",IF(INDEX(LookupData!Q:Q,$AK13)="","",INDEX(LookupData!Q:Q,$AK13))))</f>
        <v/>
      </c>
      <c r="R13" s="7" t="str">
        <f>IF($AK13="","",IF($AK13=0,"",IF(INDEX(LookupData!R:R,$AK13)="","",INDEX(LookupData!R:R,$AK13))))</f>
        <v/>
      </c>
      <c r="S13" s="7" t="str">
        <f>IF($AK13="","",IF($AK13=0,"",IF(INDEX(LookupData!S:S,$AK13)="","",INDEX(LookupData!S:S,$AK13))))</f>
        <v/>
      </c>
      <c r="T13" s="7" t="str">
        <f>IF($AK13="","",IF($AK13=0,"",IF(INDEX(LookupData!T:T,$AK13)="","",INDEX(LookupData!T:T,$AK13))))</f>
        <v/>
      </c>
      <c r="U13" s="7" t="str">
        <f>IF($AK13="","",IF($AK13=0,"",IF(INDEX(LookupData!U:U,$AK13)="","",INDEX(LookupData!U:U,$AK13))))</f>
        <v/>
      </c>
      <c r="V13" s="7" t="str">
        <f>IF($AK13="","",IF($AK13=0,"",IF(INDEX(LookupData!V:V,$AK13)="","",INDEX(LookupData!V:V,$AK13))))</f>
        <v/>
      </c>
      <c r="W13" t="str">
        <f>IF($AK13="","",IF($AK13=0,"",IF(INDEX(LookupData!W:W,$AK13)="","",INDEX(LookupData!W:W,$AK13))))</f>
        <v/>
      </c>
      <c r="X13" s="7" t="str">
        <f>IF($AK13="","",IF($AK13=0,"",IF(INDEX(LookupData!X:X,$AK13)="","",INDEX(LookupData!X:X,$AK13))))</f>
        <v/>
      </c>
      <c r="Y13" s="7" t="str">
        <f>IF($AK13="","",IF($AK13=0,"",IF(INDEX(LookupData!Y:Y,$AK13)="","",INDEX(LookupData!Y:Y,$AK13))))</f>
        <v/>
      </c>
      <c r="Z13" s="7" t="str">
        <f>IF($AK13="","",IF($AK13=0,"",IF(INDEX(LookupData!Z:Z,$AK13)="","",INDEX(LookupData!Z:Z,$AK13))))</f>
        <v/>
      </c>
      <c r="AA13" s="7" t="str">
        <f>IF($AK13="","",IF($AK13=0,"",IF(INDEX(LookupData!AA:AA,$AK13)="","",INDEX(LookupData!AA:AA,$AK13))))</f>
        <v/>
      </c>
      <c r="AB13" s="7" t="str">
        <f>IF($AK13="","",IF($AK13=0,"",IF(INDEX(LookupData!AB:AB,$AK13)="","",INDEX(LookupData!AB:AB,$AK13))))</f>
        <v/>
      </c>
      <c r="AC13" s="7" t="str">
        <f>IF($AK13="","",IF($AK13=0,"",IF(INDEX(LookupData!AC:AC,$AK13)="","",INDEX(LookupData!AC:AC,$AK13))))</f>
        <v/>
      </c>
      <c r="AD13" s="7" t="str">
        <f>IF($AK13="","",IF($AK13=0,"",IF(INDEX(LookupData!AD:AD,$AK13)="","",INDEX(LookupData!AD:AD,$AK13))))</f>
        <v/>
      </c>
      <c r="AE13" s="7" t="str">
        <f>IF($AK13="","",IF($AK13=0,"",IF(INDEX(LookupData!AE:AE,$AK13)="","",INDEX(LookupData!AE:AE,$AK13))))</f>
        <v/>
      </c>
      <c r="AF13" t="str">
        <f>IF($AK13="","",IF($AK13=0,"",IF(INDEX(LookupData!AF:AF,$AK13)="","",INDEX(LookupData!AF:AF,$AK13))))</f>
        <v/>
      </c>
      <c r="AG13" t="str">
        <f>IF($AK13="","",IF($AK13=0,"",IF(INDEX(LookupData!AG:AG,$AK13)="","",INDEX(LookupData!AG:AG,$AK13))))</f>
        <v/>
      </c>
      <c r="AH13" s="11" t="str">
        <f>IF($AK13="","",IF($AK13=0,"",IF(INDEX(LookupData!AH:AH,$AK13)="","",INDEX(LookupData!AH:AH,$AK13))))</f>
        <v/>
      </c>
      <c r="AI13" s="12" t="str">
        <f>IF($AK13="","",IF($AK13=0,"",IF(INDEX(LookupData!AI:AI,$AK13)="","",HYPERLINK(INDEX(LookupData!AI:AI,$AK13),"Open"))))</f>
        <v/>
      </c>
      <c r="AK13" t="str">
        <f>IF(AL13="","",IFERROR(MATCH(AL13,LookupData!$A:$A,0),0))</f>
        <v/>
      </c>
      <c r="AL13" t="str">
        <f t="shared" si="0"/>
        <v/>
      </c>
      <c r="AM13" t="str">
        <f t="shared" si="1"/>
        <v/>
      </c>
      <c r="AO13" t="str">
        <f>IF(MID($AN$1,2881,240)="","|",MID($AN$1,2881,240))</f>
        <v>|</v>
      </c>
    </row>
    <row r="14" spans="1:41" x14ac:dyDescent="0.2">
      <c r="A14" s="9"/>
      <c r="B14" s="10" t="str">
        <f>IF($AK14="","",IF($AK14=0,"not in the database",IF(INDEX(LookupData!B:B,$AK14)="","",INDEX(LookupData!B:B,$AK14))))</f>
        <v/>
      </c>
      <c r="C14" t="str">
        <f>IF($AK14="","",IF($AK14=0,"",IF(INDEX(LookupData!C:C,$AK14)="","",INDEX(LookupData!C:C,$AK14))))</f>
        <v/>
      </c>
      <c r="D14" t="str">
        <f>IF($AK14="","",IF($AK14=0,"",IF(INDEX(LookupData!D:D,$AK14)="","",INDEX(LookupData!D:D,$AK14))))</f>
        <v/>
      </c>
      <c r="E14" t="str">
        <f>IF($AK14="","",IF($AK14=0,"",IF(INDEX(LookupData!E:E,$AK14)="","",INDEX(LookupData!E:E,$AK14))))</f>
        <v/>
      </c>
      <c r="F14" t="str">
        <f>IF($AK14="","",IF($AK14=0,"",IF(INDEX(LookupData!F:F,$AK14)="","",INDEX(LookupData!F:F,$AK14))))</f>
        <v/>
      </c>
      <c r="G14" t="str">
        <f>IF($AK14="","",IF($AK14=0,"",IF(INDEX(LookupData!G:G,$AK14)="","",INDEX(LookupData!G:G,$AK14))))</f>
        <v/>
      </c>
      <c r="H14" t="str">
        <f>IF($AK14="","",IF($AK14=0,"",IF(INDEX(LookupData!H:H,$AK14)="","",INDEX(LookupData!H:H,$AK14))))</f>
        <v/>
      </c>
      <c r="I14" s="7" t="str">
        <f>IF($AK14="","",IF($AK14=0,"",IF(INDEX(LookupData!I:I,$AK14)="","",INDEX(LookupData!I:I,$AK14))))</f>
        <v/>
      </c>
      <c r="J14" s="7" t="str">
        <f>IF($AK14="","",IF($AK14=0,"",IF(INDEX(LookupData!J:J,$AK14)="","",INDEX(LookupData!J:J,$AK14))))</f>
        <v/>
      </c>
      <c r="K14" s="7" t="str">
        <f>IF($AK14="","",IF($AK14=0,"",IF(INDEX(LookupData!K:K,$AK14)="","",INDEX(LookupData!K:K,$AK14))))</f>
        <v/>
      </c>
      <c r="L14" s="7" t="str">
        <f>IF($AK14="","",IF($AK14=0,"",IF(INDEX(LookupData!L:L,$AK14)="","",INDEX(LookupData!L:L,$AK14))))</f>
        <v/>
      </c>
      <c r="M14" s="7" t="str">
        <f>IF($AK14="","",IF($AK14=0,"",IF(INDEX(LookupData!M:M,$AK14)="","",INDEX(LookupData!M:M,$AK14))))</f>
        <v/>
      </c>
      <c r="N14" s="7" t="str">
        <f>IF($AK14="","",IF($AK14=0,"",IF(INDEX(LookupData!N:N,$AK14)="","",INDEX(LookupData!N:N,$AK14))))</f>
        <v/>
      </c>
      <c r="O14" s="7" t="str">
        <f>IF($AK14="","",IF($AK14=0,"",IF(INDEX(LookupData!O:O,$AK14)="","",INDEX(LookupData!O:O,$AK14))))</f>
        <v/>
      </c>
      <c r="P14" s="7" t="str">
        <f>IF($AK14="","",IF($AK14=0,"",IF(INDEX(LookupData!P:P,$AK14)="","",INDEX(LookupData!P:P,$AK14))))</f>
        <v/>
      </c>
      <c r="Q14" s="7" t="str">
        <f>IF($AK14="","",IF($AK14=0,"",IF(INDEX(LookupData!Q:Q,$AK14)="","",INDEX(LookupData!Q:Q,$AK14))))</f>
        <v/>
      </c>
      <c r="R14" s="7" t="str">
        <f>IF($AK14="","",IF($AK14=0,"",IF(INDEX(LookupData!R:R,$AK14)="","",INDEX(LookupData!R:R,$AK14))))</f>
        <v/>
      </c>
      <c r="S14" s="7" t="str">
        <f>IF($AK14="","",IF($AK14=0,"",IF(INDEX(LookupData!S:S,$AK14)="","",INDEX(LookupData!S:S,$AK14))))</f>
        <v/>
      </c>
      <c r="T14" s="7" t="str">
        <f>IF($AK14="","",IF($AK14=0,"",IF(INDEX(LookupData!T:T,$AK14)="","",INDEX(LookupData!T:T,$AK14))))</f>
        <v/>
      </c>
      <c r="U14" s="7" t="str">
        <f>IF($AK14="","",IF($AK14=0,"",IF(INDEX(LookupData!U:U,$AK14)="","",INDEX(LookupData!U:U,$AK14))))</f>
        <v/>
      </c>
      <c r="V14" s="7" t="str">
        <f>IF($AK14="","",IF($AK14=0,"",IF(INDEX(LookupData!V:V,$AK14)="","",INDEX(LookupData!V:V,$AK14))))</f>
        <v/>
      </c>
      <c r="W14" t="str">
        <f>IF($AK14="","",IF($AK14=0,"",IF(INDEX(LookupData!W:W,$AK14)="","",INDEX(LookupData!W:W,$AK14))))</f>
        <v/>
      </c>
      <c r="X14" s="7" t="str">
        <f>IF($AK14="","",IF($AK14=0,"",IF(INDEX(LookupData!X:X,$AK14)="","",INDEX(LookupData!X:X,$AK14))))</f>
        <v/>
      </c>
      <c r="Y14" s="7" t="str">
        <f>IF($AK14="","",IF($AK14=0,"",IF(INDEX(LookupData!Y:Y,$AK14)="","",INDEX(LookupData!Y:Y,$AK14))))</f>
        <v/>
      </c>
      <c r="Z14" s="7" t="str">
        <f>IF($AK14="","",IF($AK14=0,"",IF(INDEX(LookupData!Z:Z,$AK14)="","",INDEX(LookupData!Z:Z,$AK14))))</f>
        <v/>
      </c>
      <c r="AA14" s="7" t="str">
        <f>IF($AK14="","",IF($AK14=0,"",IF(INDEX(LookupData!AA:AA,$AK14)="","",INDEX(LookupData!AA:AA,$AK14))))</f>
        <v/>
      </c>
      <c r="AB14" s="7" t="str">
        <f>IF($AK14="","",IF($AK14=0,"",IF(INDEX(LookupData!AB:AB,$AK14)="","",INDEX(LookupData!AB:AB,$AK14))))</f>
        <v/>
      </c>
      <c r="AC14" s="7" t="str">
        <f>IF($AK14="","",IF($AK14=0,"",IF(INDEX(LookupData!AC:AC,$AK14)="","",INDEX(LookupData!AC:AC,$AK14))))</f>
        <v/>
      </c>
      <c r="AD14" s="7" t="str">
        <f>IF($AK14="","",IF($AK14=0,"",IF(INDEX(LookupData!AD:AD,$AK14)="","",INDEX(LookupData!AD:AD,$AK14))))</f>
        <v/>
      </c>
      <c r="AE14" s="7" t="str">
        <f>IF($AK14="","",IF($AK14=0,"",IF(INDEX(LookupData!AE:AE,$AK14)="","",INDEX(LookupData!AE:AE,$AK14))))</f>
        <v/>
      </c>
      <c r="AF14" t="str">
        <f>IF($AK14="","",IF($AK14=0,"",IF(INDEX(LookupData!AF:AF,$AK14)="","",INDEX(LookupData!AF:AF,$AK14))))</f>
        <v/>
      </c>
      <c r="AG14" t="str">
        <f>IF($AK14="","",IF($AK14=0,"",IF(INDEX(LookupData!AG:AG,$AK14)="","",INDEX(LookupData!AG:AG,$AK14))))</f>
        <v/>
      </c>
      <c r="AH14" s="11" t="str">
        <f>IF($AK14="","",IF($AK14=0,"",IF(INDEX(LookupData!AH:AH,$AK14)="","",INDEX(LookupData!AH:AH,$AK14))))</f>
        <v/>
      </c>
      <c r="AI14" s="12" t="str">
        <f>IF($AK14="","",IF($AK14=0,"",IF(INDEX(LookupData!AI:AI,$AK14)="","",HYPERLINK(INDEX(LookupData!AI:AI,$AK14),"Open"))))</f>
        <v/>
      </c>
      <c r="AK14" t="str">
        <f>IF(AL14="","",IFERROR(MATCH(AL14,LookupData!$A:$A,0),0))</f>
        <v/>
      </c>
      <c r="AL14" t="str">
        <f t="shared" si="0"/>
        <v/>
      </c>
      <c r="AM14" t="str">
        <f t="shared" si="1"/>
        <v/>
      </c>
      <c r="AO14" t="str">
        <f>IF(MID($AN$1,3121,240)="","|",MID($AN$1,3121,240))</f>
        <v>|</v>
      </c>
    </row>
    <row r="15" spans="1:41" x14ac:dyDescent="0.2">
      <c r="A15" s="9"/>
      <c r="B15" s="10" t="str">
        <f>IF($AK15="","",IF($AK15=0,"not in the database",IF(INDEX(LookupData!B:B,$AK15)="","",INDEX(LookupData!B:B,$AK15))))</f>
        <v/>
      </c>
      <c r="C15" t="str">
        <f>IF($AK15="","",IF($AK15=0,"",IF(INDEX(LookupData!C:C,$AK15)="","",INDEX(LookupData!C:C,$AK15))))</f>
        <v/>
      </c>
      <c r="D15" t="str">
        <f>IF($AK15="","",IF($AK15=0,"",IF(INDEX(LookupData!D:D,$AK15)="","",INDEX(LookupData!D:D,$AK15))))</f>
        <v/>
      </c>
      <c r="E15" t="str">
        <f>IF($AK15="","",IF($AK15=0,"",IF(INDEX(LookupData!E:E,$AK15)="","",INDEX(LookupData!E:E,$AK15))))</f>
        <v/>
      </c>
      <c r="F15" t="str">
        <f>IF($AK15="","",IF($AK15=0,"",IF(INDEX(LookupData!F:F,$AK15)="","",INDEX(LookupData!F:F,$AK15))))</f>
        <v/>
      </c>
      <c r="G15" t="str">
        <f>IF($AK15="","",IF($AK15=0,"",IF(INDEX(LookupData!G:G,$AK15)="","",INDEX(LookupData!G:G,$AK15))))</f>
        <v/>
      </c>
      <c r="H15" t="str">
        <f>IF($AK15="","",IF($AK15=0,"",IF(INDEX(LookupData!H:H,$AK15)="","",INDEX(LookupData!H:H,$AK15))))</f>
        <v/>
      </c>
      <c r="I15" s="7" t="str">
        <f>IF($AK15="","",IF($AK15=0,"",IF(INDEX(LookupData!I:I,$AK15)="","",INDEX(LookupData!I:I,$AK15))))</f>
        <v/>
      </c>
      <c r="J15" s="7" t="str">
        <f>IF($AK15="","",IF($AK15=0,"",IF(INDEX(LookupData!J:J,$AK15)="","",INDEX(LookupData!J:J,$AK15))))</f>
        <v/>
      </c>
      <c r="K15" s="7" t="str">
        <f>IF($AK15="","",IF($AK15=0,"",IF(INDEX(LookupData!K:K,$AK15)="","",INDEX(LookupData!K:K,$AK15))))</f>
        <v/>
      </c>
      <c r="L15" s="7" t="str">
        <f>IF($AK15="","",IF($AK15=0,"",IF(INDEX(LookupData!L:L,$AK15)="","",INDEX(LookupData!L:L,$AK15))))</f>
        <v/>
      </c>
      <c r="M15" s="7" t="str">
        <f>IF($AK15="","",IF($AK15=0,"",IF(INDEX(LookupData!M:M,$AK15)="","",INDEX(LookupData!M:M,$AK15))))</f>
        <v/>
      </c>
      <c r="N15" s="7" t="str">
        <f>IF($AK15="","",IF($AK15=0,"",IF(INDEX(LookupData!N:N,$AK15)="","",INDEX(LookupData!N:N,$AK15))))</f>
        <v/>
      </c>
      <c r="O15" s="7" t="str">
        <f>IF($AK15="","",IF($AK15=0,"",IF(INDEX(LookupData!O:O,$AK15)="","",INDEX(LookupData!O:O,$AK15))))</f>
        <v/>
      </c>
      <c r="P15" s="7" t="str">
        <f>IF($AK15="","",IF($AK15=0,"",IF(INDEX(LookupData!P:P,$AK15)="","",INDEX(LookupData!P:P,$AK15))))</f>
        <v/>
      </c>
      <c r="Q15" s="7" t="str">
        <f>IF($AK15="","",IF($AK15=0,"",IF(INDEX(LookupData!Q:Q,$AK15)="","",INDEX(LookupData!Q:Q,$AK15))))</f>
        <v/>
      </c>
      <c r="R15" s="7" t="str">
        <f>IF($AK15="","",IF($AK15=0,"",IF(INDEX(LookupData!R:R,$AK15)="","",INDEX(LookupData!R:R,$AK15))))</f>
        <v/>
      </c>
      <c r="S15" s="7" t="str">
        <f>IF($AK15="","",IF($AK15=0,"",IF(INDEX(LookupData!S:S,$AK15)="","",INDEX(LookupData!S:S,$AK15))))</f>
        <v/>
      </c>
      <c r="T15" s="7" t="str">
        <f>IF($AK15="","",IF($AK15=0,"",IF(INDEX(LookupData!T:T,$AK15)="","",INDEX(LookupData!T:T,$AK15))))</f>
        <v/>
      </c>
      <c r="U15" s="7" t="str">
        <f>IF($AK15="","",IF($AK15=0,"",IF(INDEX(LookupData!U:U,$AK15)="","",INDEX(LookupData!U:U,$AK15))))</f>
        <v/>
      </c>
      <c r="V15" s="7" t="str">
        <f>IF($AK15="","",IF($AK15=0,"",IF(INDEX(LookupData!V:V,$AK15)="","",INDEX(LookupData!V:V,$AK15))))</f>
        <v/>
      </c>
      <c r="W15" t="str">
        <f>IF($AK15="","",IF($AK15=0,"",IF(INDEX(LookupData!W:W,$AK15)="","",INDEX(LookupData!W:W,$AK15))))</f>
        <v/>
      </c>
      <c r="X15" s="7" t="str">
        <f>IF($AK15="","",IF($AK15=0,"",IF(INDEX(LookupData!X:X,$AK15)="","",INDEX(LookupData!X:X,$AK15))))</f>
        <v/>
      </c>
      <c r="Y15" s="7" t="str">
        <f>IF($AK15="","",IF($AK15=0,"",IF(INDEX(LookupData!Y:Y,$AK15)="","",INDEX(LookupData!Y:Y,$AK15))))</f>
        <v/>
      </c>
      <c r="Z15" s="7" t="str">
        <f>IF($AK15="","",IF($AK15=0,"",IF(INDEX(LookupData!Z:Z,$AK15)="","",INDEX(LookupData!Z:Z,$AK15))))</f>
        <v/>
      </c>
      <c r="AA15" s="7" t="str">
        <f>IF($AK15="","",IF($AK15=0,"",IF(INDEX(LookupData!AA:AA,$AK15)="","",INDEX(LookupData!AA:AA,$AK15))))</f>
        <v/>
      </c>
      <c r="AB15" s="7" t="str">
        <f>IF($AK15="","",IF($AK15=0,"",IF(INDEX(LookupData!AB:AB,$AK15)="","",INDEX(LookupData!AB:AB,$AK15))))</f>
        <v/>
      </c>
      <c r="AC15" s="7" t="str">
        <f>IF($AK15="","",IF($AK15=0,"",IF(INDEX(LookupData!AC:AC,$AK15)="","",INDEX(LookupData!AC:AC,$AK15))))</f>
        <v/>
      </c>
      <c r="AD15" s="7" t="str">
        <f>IF($AK15="","",IF($AK15=0,"",IF(INDEX(LookupData!AD:AD,$AK15)="","",INDEX(LookupData!AD:AD,$AK15))))</f>
        <v/>
      </c>
      <c r="AE15" s="7" t="str">
        <f>IF($AK15="","",IF($AK15=0,"",IF(INDEX(LookupData!AE:AE,$AK15)="","",INDEX(LookupData!AE:AE,$AK15))))</f>
        <v/>
      </c>
      <c r="AF15" t="str">
        <f>IF($AK15="","",IF($AK15=0,"",IF(INDEX(LookupData!AF:AF,$AK15)="","",INDEX(LookupData!AF:AF,$AK15))))</f>
        <v/>
      </c>
      <c r="AG15" t="str">
        <f>IF($AK15="","",IF($AK15=0,"",IF(INDEX(LookupData!AG:AG,$AK15)="","",INDEX(LookupData!AG:AG,$AK15))))</f>
        <v/>
      </c>
      <c r="AH15" s="11" t="str">
        <f>IF($AK15="","",IF($AK15=0,"",IF(INDEX(LookupData!AH:AH,$AK15)="","",INDEX(LookupData!AH:AH,$AK15))))</f>
        <v/>
      </c>
      <c r="AI15" s="12" t="str">
        <f>IF($AK15="","",IF($AK15=0,"",IF(INDEX(LookupData!AI:AI,$AK15)="","",HYPERLINK(INDEX(LookupData!AI:AI,$AK15),"Open"))))</f>
        <v/>
      </c>
      <c r="AK15" t="str">
        <f>IF(AL15="","",IFERROR(MATCH(AL15,LookupData!$A:$A,0),0))</f>
        <v/>
      </c>
      <c r="AL15" t="str">
        <f t="shared" si="0"/>
        <v/>
      </c>
      <c r="AM15" t="str">
        <f t="shared" si="1"/>
        <v/>
      </c>
      <c r="AO15" t="str">
        <f>IF(MID($AN$1,3361,240)="","|",MID($AN$1,3361,240))</f>
        <v>|</v>
      </c>
    </row>
    <row r="16" spans="1:41" x14ac:dyDescent="0.2">
      <c r="A16" s="9"/>
      <c r="B16" s="10" t="str">
        <f>IF($AK16="","",IF($AK16=0,"not in the database",IF(INDEX(LookupData!B:B,$AK16)="","",INDEX(LookupData!B:B,$AK16))))</f>
        <v/>
      </c>
      <c r="C16" t="str">
        <f>IF($AK16="","",IF($AK16=0,"",IF(INDEX(LookupData!C:C,$AK16)="","",INDEX(LookupData!C:C,$AK16))))</f>
        <v/>
      </c>
      <c r="D16" t="str">
        <f>IF($AK16="","",IF($AK16=0,"",IF(INDEX(LookupData!D:D,$AK16)="","",INDEX(LookupData!D:D,$AK16))))</f>
        <v/>
      </c>
      <c r="E16" t="str">
        <f>IF($AK16="","",IF($AK16=0,"",IF(INDEX(LookupData!E:E,$AK16)="","",INDEX(LookupData!E:E,$AK16))))</f>
        <v/>
      </c>
      <c r="F16" t="str">
        <f>IF($AK16="","",IF($AK16=0,"",IF(INDEX(LookupData!F:F,$AK16)="","",INDEX(LookupData!F:F,$AK16))))</f>
        <v/>
      </c>
      <c r="G16" t="str">
        <f>IF($AK16="","",IF($AK16=0,"",IF(INDEX(LookupData!G:G,$AK16)="","",INDEX(LookupData!G:G,$AK16))))</f>
        <v/>
      </c>
      <c r="H16" t="str">
        <f>IF($AK16="","",IF($AK16=0,"",IF(INDEX(LookupData!H:H,$AK16)="","",INDEX(LookupData!H:H,$AK16))))</f>
        <v/>
      </c>
      <c r="I16" s="7" t="str">
        <f>IF($AK16="","",IF($AK16=0,"",IF(INDEX(LookupData!I:I,$AK16)="","",INDEX(LookupData!I:I,$AK16))))</f>
        <v/>
      </c>
      <c r="J16" s="7" t="str">
        <f>IF($AK16="","",IF($AK16=0,"",IF(INDEX(LookupData!J:J,$AK16)="","",INDEX(LookupData!J:J,$AK16))))</f>
        <v/>
      </c>
      <c r="K16" s="7" t="str">
        <f>IF($AK16="","",IF($AK16=0,"",IF(INDEX(LookupData!K:K,$AK16)="","",INDEX(LookupData!K:K,$AK16))))</f>
        <v/>
      </c>
      <c r="L16" s="7" t="str">
        <f>IF($AK16="","",IF($AK16=0,"",IF(INDEX(LookupData!L:L,$AK16)="","",INDEX(LookupData!L:L,$AK16))))</f>
        <v/>
      </c>
      <c r="M16" s="7" t="str">
        <f>IF($AK16="","",IF($AK16=0,"",IF(INDEX(LookupData!M:M,$AK16)="","",INDEX(LookupData!M:M,$AK16))))</f>
        <v/>
      </c>
      <c r="N16" s="7" t="str">
        <f>IF($AK16="","",IF($AK16=0,"",IF(INDEX(LookupData!N:N,$AK16)="","",INDEX(LookupData!N:N,$AK16))))</f>
        <v/>
      </c>
      <c r="O16" s="7" t="str">
        <f>IF($AK16="","",IF($AK16=0,"",IF(INDEX(LookupData!O:O,$AK16)="","",INDEX(LookupData!O:O,$AK16))))</f>
        <v/>
      </c>
      <c r="P16" s="7" t="str">
        <f>IF($AK16="","",IF($AK16=0,"",IF(INDEX(LookupData!P:P,$AK16)="","",INDEX(LookupData!P:P,$AK16))))</f>
        <v/>
      </c>
      <c r="Q16" s="7" t="str">
        <f>IF($AK16="","",IF($AK16=0,"",IF(INDEX(LookupData!Q:Q,$AK16)="","",INDEX(LookupData!Q:Q,$AK16))))</f>
        <v/>
      </c>
      <c r="R16" s="7" t="str">
        <f>IF($AK16="","",IF($AK16=0,"",IF(INDEX(LookupData!R:R,$AK16)="","",INDEX(LookupData!R:R,$AK16))))</f>
        <v/>
      </c>
      <c r="S16" s="7" t="str">
        <f>IF($AK16="","",IF($AK16=0,"",IF(INDEX(LookupData!S:S,$AK16)="","",INDEX(LookupData!S:S,$AK16))))</f>
        <v/>
      </c>
      <c r="T16" s="7" t="str">
        <f>IF($AK16="","",IF($AK16=0,"",IF(INDEX(LookupData!T:T,$AK16)="","",INDEX(LookupData!T:T,$AK16))))</f>
        <v/>
      </c>
      <c r="U16" s="7" t="str">
        <f>IF($AK16="","",IF($AK16=0,"",IF(INDEX(LookupData!U:U,$AK16)="","",INDEX(LookupData!U:U,$AK16))))</f>
        <v/>
      </c>
      <c r="V16" s="7" t="str">
        <f>IF($AK16="","",IF($AK16=0,"",IF(INDEX(LookupData!V:V,$AK16)="","",INDEX(LookupData!V:V,$AK16))))</f>
        <v/>
      </c>
      <c r="W16" t="str">
        <f>IF($AK16="","",IF($AK16=0,"",IF(INDEX(LookupData!W:W,$AK16)="","",INDEX(LookupData!W:W,$AK16))))</f>
        <v/>
      </c>
      <c r="X16" s="7" t="str">
        <f>IF($AK16="","",IF($AK16=0,"",IF(INDEX(LookupData!X:X,$AK16)="","",INDEX(LookupData!X:X,$AK16))))</f>
        <v/>
      </c>
      <c r="Y16" s="7" t="str">
        <f>IF($AK16="","",IF($AK16=0,"",IF(INDEX(LookupData!Y:Y,$AK16)="","",INDEX(LookupData!Y:Y,$AK16))))</f>
        <v/>
      </c>
      <c r="Z16" s="7" t="str">
        <f>IF($AK16="","",IF($AK16=0,"",IF(INDEX(LookupData!Z:Z,$AK16)="","",INDEX(LookupData!Z:Z,$AK16))))</f>
        <v/>
      </c>
      <c r="AA16" s="7" t="str">
        <f>IF($AK16="","",IF($AK16=0,"",IF(INDEX(LookupData!AA:AA,$AK16)="","",INDEX(LookupData!AA:AA,$AK16))))</f>
        <v/>
      </c>
      <c r="AB16" s="7" t="str">
        <f>IF($AK16="","",IF($AK16=0,"",IF(INDEX(LookupData!AB:AB,$AK16)="","",INDEX(LookupData!AB:AB,$AK16))))</f>
        <v/>
      </c>
      <c r="AC16" s="7" t="str">
        <f>IF($AK16="","",IF($AK16=0,"",IF(INDEX(LookupData!AC:AC,$AK16)="","",INDEX(LookupData!AC:AC,$AK16))))</f>
        <v/>
      </c>
      <c r="AD16" s="7" t="str">
        <f>IF($AK16="","",IF($AK16=0,"",IF(INDEX(LookupData!AD:AD,$AK16)="","",INDEX(LookupData!AD:AD,$AK16))))</f>
        <v/>
      </c>
      <c r="AE16" s="7" t="str">
        <f>IF($AK16="","",IF($AK16=0,"",IF(INDEX(LookupData!AE:AE,$AK16)="","",INDEX(LookupData!AE:AE,$AK16))))</f>
        <v/>
      </c>
      <c r="AF16" t="str">
        <f>IF($AK16="","",IF($AK16=0,"",IF(INDEX(LookupData!AF:AF,$AK16)="","",INDEX(LookupData!AF:AF,$AK16))))</f>
        <v/>
      </c>
      <c r="AG16" t="str">
        <f>IF($AK16="","",IF($AK16=0,"",IF(INDEX(LookupData!AG:AG,$AK16)="","",INDEX(LookupData!AG:AG,$AK16))))</f>
        <v/>
      </c>
      <c r="AH16" s="11" t="str">
        <f>IF($AK16="","",IF($AK16=0,"",IF(INDEX(LookupData!AH:AH,$AK16)="","",INDEX(LookupData!AH:AH,$AK16))))</f>
        <v/>
      </c>
      <c r="AI16" s="12" t="str">
        <f>IF($AK16="","",IF($AK16=0,"",IF(INDEX(LookupData!AI:AI,$AK16)="","",HYPERLINK(INDEX(LookupData!AI:AI,$AK16),"Open"))))</f>
        <v/>
      </c>
      <c r="AK16" t="str">
        <f>IF(AL16="","",IFERROR(MATCH(AL16,LookupData!$A:$A,0),0))</f>
        <v/>
      </c>
      <c r="AL16" t="str">
        <f t="shared" si="0"/>
        <v/>
      </c>
      <c r="AM16" t="str">
        <f t="shared" si="1"/>
        <v/>
      </c>
      <c r="AO16" t="str">
        <f>IF(MID($AN$1,3601,240)="","|",MID($AN$1,3601,240))</f>
        <v>|</v>
      </c>
    </row>
    <row r="17" spans="1:41" x14ac:dyDescent="0.2">
      <c r="A17" s="9"/>
      <c r="B17" s="10" t="str">
        <f>IF($AK17="","",IF($AK17=0,"not in the database",IF(INDEX(LookupData!B:B,$AK17)="","",INDEX(LookupData!B:B,$AK17))))</f>
        <v/>
      </c>
      <c r="C17" t="str">
        <f>IF($AK17="","",IF($AK17=0,"",IF(INDEX(LookupData!C:C,$AK17)="","",INDEX(LookupData!C:C,$AK17))))</f>
        <v/>
      </c>
      <c r="D17" t="str">
        <f>IF($AK17="","",IF($AK17=0,"",IF(INDEX(LookupData!D:D,$AK17)="","",INDEX(LookupData!D:D,$AK17))))</f>
        <v/>
      </c>
      <c r="E17" t="str">
        <f>IF($AK17="","",IF($AK17=0,"",IF(INDEX(LookupData!E:E,$AK17)="","",INDEX(LookupData!E:E,$AK17))))</f>
        <v/>
      </c>
      <c r="F17" t="str">
        <f>IF($AK17="","",IF($AK17=0,"",IF(INDEX(LookupData!F:F,$AK17)="","",INDEX(LookupData!F:F,$AK17))))</f>
        <v/>
      </c>
      <c r="G17" t="str">
        <f>IF($AK17="","",IF($AK17=0,"",IF(INDEX(LookupData!G:G,$AK17)="","",INDEX(LookupData!G:G,$AK17))))</f>
        <v/>
      </c>
      <c r="H17" t="str">
        <f>IF($AK17="","",IF($AK17=0,"",IF(INDEX(LookupData!H:H,$AK17)="","",INDEX(LookupData!H:H,$AK17))))</f>
        <v/>
      </c>
      <c r="I17" s="7" t="str">
        <f>IF($AK17="","",IF($AK17=0,"",IF(INDEX(LookupData!I:I,$AK17)="","",INDEX(LookupData!I:I,$AK17))))</f>
        <v/>
      </c>
      <c r="J17" s="7" t="str">
        <f>IF($AK17="","",IF($AK17=0,"",IF(INDEX(LookupData!J:J,$AK17)="","",INDEX(LookupData!J:J,$AK17))))</f>
        <v/>
      </c>
      <c r="K17" s="7" t="str">
        <f>IF($AK17="","",IF($AK17=0,"",IF(INDEX(LookupData!K:K,$AK17)="","",INDEX(LookupData!K:K,$AK17))))</f>
        <v/>
      </c>
      <c r="L17" s="7" t="str">
        <f>IF($AK17="","",IF($AK17=0,"",IF(INDEX(LookupData!L:L,$AK17)="","",INDEX(LookupData!L:L,$AK17))))</f>
        <v/>
      </c>
      <c r="M17" s="7" t="str">
        <f>IF($AK17="","",IF($AK17=0,"",IF(INDEX(LookupData!M:M,$AK17)="","",INDEX(LookupData!M:M,$AK17))))</f>
        <v/>
      </c>
      <c r="N17" s="7" t="str">
        <f>IF($AK17="","",IF($AK17=0,"",IF(INDEX(LookupData!N:N,$AK17)="","",INDEX(LookupData!N:N,$AK17))))</f>
        <v/>
      </c>
      <c r="O17" s="7" t="str">
        <f>IF($AK17="","",IF($AK17=0,"",IF(INDEX(LookupData!O:O,$AK17)="","",INDEX(LookupData!O:O,$AK17))))</f>
        <v/>
      </c>
      <c r="P17" s="7" t="str">
        <f>IF($AK17="","",IF($AK17=0,"",IF(INDEX(LookupData!P:P,$AK17)="","",INDEX(LookupData!P:P,$AK17))))</f>
        <v/>
      </c>
      <c r="Q17" s="7" t="str">
        <f>IF($AK17="","",IF($AK17=0,"",IF(INDEX(LookupData!Q:Q,$AK17)="","",INDEX(LookupData!Q:Q,$AK17))))</f>
        <v/>
      </c>
      <c r="R17" s="7" t="str">
        <f>IF($AK17="","",IF($AK17=0,"",IF(INDEX(LookupData!R:R,$AK17)="","",INDEX(LookupData!R:R,$AK17))))</f>
        <v/>
      </c>
      <c r="S17" s="7" t="str">
        <f>IF($AK17="","",IF($AK17=0,"",IF(INDEX(LookupData!S:S,$AK17)="","",INDEX(LookupData!S:S,$AK17))))</f>
        <v/>
      </c>
      <c r="T17" s="7" t="str">
        <f>IF($AK17="","",IF($AK17=0,"",IF(INDEX(LookupData!T:T,$AK17)="","",INDEX(LookupData!T:T,$AK17))))</f>
        <v/>
      </c>
      <c r="U17" s="7" t="str">
        <f>IF($AK17="","",IF($AK17=0,"",IF(INDEX(LookupData!U:U,$AK17)="","",INDEX(LookupData!U:U,$AK17))))</f>
        <v/>
      </c>
      <c r="V17" s="7" t="str">
        <f>IF($AK17="","",IF($AK17=0,"",IF(INDEX(LookupData!V:V,$AK17)="","",INDEX(LookupData!V:V,$AK17))))</f>
        <v/>
      </c>
      <c r="W17" t="str">
        <f>IF($AK17="","",IF($AK17=0,"",IF(INDEX(LookupData!W:W,$AK17)="","",INDEX(LookupData!W:W,$AK17))))</f>
        <v/>
      </c>
      <c r="X17" s="7" t="str">
        <f>IF($AK17="","",IF($AK17=0,"",IF(INDEX(LookupData!X:X,$AK17)="","",INDEX(LookupData!X:X,$AK17))))</f>
        <v/>
      </c>
      <c r="Y17" s="7" t="str">
        <f>IF($AK17="","",IF($AK17=0,"",IF(INDEX(LookupData!Y:Y,$AK17)="","",INDEX(LookupData!Y:Y,$AK17))))</f>
        <v/>
      </c>
      <c r="Z17" s="7" t="str">
        <f>IF($AK17="","",IF($AK17=0,"",IF(INDEX(LookupData!Z:Z,$AK17)="","",INDEX(LookupData!Z:Z,$AK17))))</f>
        <v/>
      </c>
      <c r="AA17" s="7" t="str">
        <f>IF($AK17="","",IF($AK17=0,"",IF(INDEX(LookupData!AA:AA,$AK17)="","",INDEX(LookupData!AA:AA,$AK17))))</f>
        <v/>
      </c>
      <c r="AB17" s="7" t="str">
        <f>IF($AK17="","",IF($AK17=0,"",IF(INDEX(LookupData!AB:AB,$AK17)="","",INDEX(LookupData!AB:AB,$AK17))))</f>
        <v/>
      </c>
      <c r="AC17" s="7" t="str">
        <f>IF($AK17="","",IF($AK17=0,"",IF(INDEX(LookupData!AC:AC,$AK17)="","",INDEX(LookupData!AC:AC,$AK17))))</f>
        <v/>
      </c>
      <c r="AD17" s="7" t="str">
        <f>IF($AK17="","",IF($AK17=0,"",IF(INDEX(LookupData!AD:AD,$AK17)="","",INDEX(LookupData!AD:AD,$AK17))))</f>
        <v/>
      </c>
      <c r="AE17" s="7" t="str">
        <f>IF($AK17="","",IF($AK17=0,"",IF(INDEX(LookupData!AE:AE,$AK17)="","",INDEX(LookupData!AE:AE,$AK17))))</f>
        <v/>
      </c>
      <c r="AF17" t="str">
        <f>IF($AK17="","",IF($AK17=0,"",IF(INDEX(LookupData!AF:AF,$AK17)="","",INDEX(LookupData!AF:AF,$AK17))))</f>
        <v/>
      </c>
      <c r="AG17" t="str">
        <f>IF($AK17="","",IF($AK17=0,"",IF(INDEX(LookupData!AG:AG,$AK17)="","",INDEX(LookupData!AG:AG,$AK17))))</f>
        <v/>
      </c>
      <c r="AH17" s="11" t="str">
        <f>IF($AK17="","",IF($AK17=0,"",IF(INDEX(LookupData!AH:AH,$AK17)="","",INDEX(LookupData!AH:AH,$AK17))))</f>
        <v/>
      </c>
      <c r="AI17" s="12" t="str">
        <f>IF($AK17="","",IF($AK17=0,"",IF(INDEX(LookupData!AI:AI,$AK17)="","",HYPERLINK(INDEX(LookupData!AI:AI,$AK17),"Open"))))</f>
        <v/>
      </c>
      <c r="AK17" t="str">
        <f>IF(AL17="","",IFERROR(MATCH(AL17,LookupData!$A:$A,0),0))</f>
        <v/>
      </c>
      <c r="AL17" t="str">
        <f t="shared" si="0"/>
        <v/>
      </c>
      <c r="AM17" t="str">
        <f t="shared" si="1"/>
        <v/>
      </c>
      <c r="AO17" t="str">
        <f>IF(MID($AN$1,3841,240)="","|",MID($AN$1,3841,240))</f>
        <v>|</v>
      </c>
    </row>
    <row r="18" spans="1:41" x14ac:dyDescent="0.2">
      <c r="A18" s="9"/>
      <c r="B18" s="10" t="str">
        <f>IF($AK18="","",IF($AK18=0,"not in the database",IF(INDEX(LookupData!B:B,$AK18)="","",INDEX(LookupData!B:B,$AK18))))</f>
        <v/>
      </c>
      <c r="C18" t="str">
        <f>IF($AK18="","",IF($AK18=0,"",IF(INDEX(LookupData!C:C,$AK18)="","",INDEX(LookupData!C:C,$AK18))))</f>
        <v/>
      </c>
      <c r="D18" t="str">
        <f>IF($AK18="","",IF($AK18=0,"",IF(INDEX(LookupData!D:D,$AK18)="","",INDEX(LookupData!D:D,$AK18))))</f>
        <v/>
      </c>
      <c r="E18" t="str">
        <f>IF($AK18="","",IF($AK18=0,"",IF(INDEX(LookupData!E:E,$AK18)="","",INDEX(LookupData!E:E,$AK18))))</f>
        <v/>
      </c>
      <c r="F18" t="str">
        <f>IF($AK18="","",IF($AK18=0,"",IF(INDEX(LookupData!F:F,$AK18)="","",INDEX(LookupData!F:F,$AK18))))</f>
        <v/>
      </c>
      <c r="G18" t="str">
        <f>IF($AK18="","",IF($AK18=0,"",IF(INDEX(LookupData!G:G,$AK18)="","",INDEX(LookupData!G:G,$AK18))))</f>
        <v/>
      </c>
      <c r="H18" t="str">
        <f>IF($AK18="","",IF($AK18=0,"",IF(INDEX(LookupData!H:H,$AK18)="","",INDEX(LookupData!H:H,$AK18))))</f>
        <v/>
      </c>
      <c r="I18" s="7" t="str">
        <f>IF($AK18="","",IF($AK18=0,"",IF(INDEX(LookupData!I:I,$AK18)="","",INDEX(LookupData!I:I,$AK18))))</f>
        <v/>
      </c>
      <c r="J18" s="7" t="str">
        <f>IF($AK18="","",IF($AK18=0,"",IF(INDEX(LookupData!J:J,$AK18)="","",INDEX(LookupData!J:J,$AK18))))</f>
        <v/>
      </c>
      <c r="K18" s="7" t="str">
        <f>IF($AK18="","",IF($AK18=0,"",IF(INDEX(LookupData!K:K,$AK18)="","",INDEX(LookupData!K:K,$AK18))))</f>
        <v/>
      </c>
      <c r="L18" s="7" t="str">
        <f>IF($AK18="","",IF($AK18=0,"",IF(INDEX(LookupData!L:L,$AK18)="","",INDEX(LookupData!L:L,$AK18))))</f>
        <v/>
      </c>
      <c r="M18" s="7" t="str">
        <f>IF($AK18="","",IF($AK18=0,"",IF(INDEX(LookupData!M:M,$AK18)="","",INDEX(LookupData!M:M,$AK18))))</f>
        <v/>
      </c>
      <c r="N18" s="7" t="str">
        <f>IF($AK18="","",IF($AK18=0,"",IF(INDEX(LookupData!N:N,$AK18)="","",INDEX(LookupData!N:N,$AK18))))</f>
        <v/>
      </c>
      <c r="O18" s="7" t="str">
        <f>IF($AK18="","",IF($AK18=0,"",IF(INDEX(LookupData!O:O,$AK18)="","",INDEX(LookupData!O:O,$AK18))))</f>
        <v/>
      </c>
      <c r="P18" s="7" t="str">
        <f>IF($AK18="","",IF($AK18=0,"",IF(INDEX(LookupData!P:P,$AK18)="","",INDEX(LookupData!P:P,$AK18))))</f>
        <v/>
      </c>
      <c r="Q18" s="7" t="str">
        <f>IF($AK18="","",IF($AK18=0,"",IF(INDEX(LookupData!Q:Q,$AK18)="","",INDEX(LookupData!Q:Q,$AK18))))</f>
        <v/>
      </c>
      <c r="R18" s="7" t="str">
        <f>IF($AK18="","",IF($AK18=0,"",IF(INDEX(LookupData!R:R,$AK18)="","",INDEX(LookupData!R:R,$AK18))))</f>
        <v/>
      </c>
      <c r="S18" s="7" t="str">
        <f>IF($AK18="","",IF($AK18=0,"",IF(INDEX(LookupData!S:S,$AK18)="","",INDEX(LookupData!S:S,$AK18))))</f>
        <v/>
      </c>
      <c r="T18" s="7" t="str">
        <f>IF($AK18="","",IF($AK18=0,"",IF(INDEX(LookupData!T:T,$AK18)="","",INDEX(LookupData!T:T,$AK18))))</f>
        <v/>
      </c>
      <c r="U18" s="7" t="str">
        <f>IF($AK18="","",IF($AK18=0,"",IF(INDEX(LookupData!U:U,$AK18)="","",INDEX(LookupData!U:U,$AK18))))</f>
        <v/>
      </c>
      <c r="V18" s="7" t="str">
        <f>IF($AK18="","",IF($AK18=0,"",IF(INDEX(LookupData!V:V,$AK18)="","",INDEX(LookupData!V:V,$AK18))))</f>
        <v/>
      </c>
      <c r="W18" t="str">
        <f>IF($AK18="","",IF($AK18=0,"",IF(INDEX(LookupData!W:W,$AK18)="","",INDEX(LookupData!W:W,$AK18))))</f>
        <v/>
      </c>
      <c r="X18" s="7" t="str">
        <f>IF($AK18="","",IF($AK18=0,"",IF(INDEX(LookupData!X:X,$AK18)="","",INDEX(LookupData!X:X,$AK18))))</f>
        <v/>
      </c>
      <c r="Y18" s="7" t="str">
        <f>IF($AK18="","",IF($AK18=0,"",IF(INDEX(LookupData!Y:Y,$AK18)="","",INDEX(LookupData!Y:Y,$AK18))))</f>
        <v/>
      </c>
      <c r="Z18" s="7" t="str">
        <f>IF($AK18="","",IF($AK18=0,"",IF(INDEX(LookupData!Z:Z,$AK18)="","",INDEX(LookupData!Z:Z,$AK18))))</f>
        <v/>
      </c>
      <c r="AA18" s="7" t="str">
        <f>IF($AK18="","",IF($AK18=0,"",IF(INDEX(LookupData!AA:AA,$AK18)="","",INDEX(LookupData!AA:AA,$AK18))))</f>
        <v/>
      </c>
      <c r="AB18" s="7" t="str">
        <f>IF($AK18="","",IF($AK18=0,"",IF(INDEX(LookupData!AB:AB,$AK18)="","",INDEX(LookupData!AB:AB,$AK18))))</f>
        <v/>
      </c>
      <c r="AC18" s="7" t="str">
        <f>IF($AK18="","",IF($AK18=0,"",IF(INDEX(LookupData!AC:AC,$AK18)="","",INDEX(LookupData!AC:AC,$AK18))))</f>
        <v/>
      </c>
      <c r="AD18" s="7" t="str">
        <f>IF($AK18="","",IF($AK18=0,"",IF(INDEX(LookupData!AD:AD,$AK18)="","",INDEX(LookupData!AD:AD,$AK18))))</f>
        <v/>
      </c>
      <c r="AE18" s="7" t="str">
        <f>IF($AK18="","",IF($AK18=0,"",IF(INDEX(LookupData!AE:AE,$AK18)="","",INDEX(LookupData!AE:AE,$AK18))))</f>
        <v/>
      </c>
      <c r="AF18" t="str">
        <f>IF($AK18="","",IF($AK18=0,"",IF(INDEX(LookupData!AF:AF,$AK18)="","",INDEX(LookupData!AF:AF,$AK18))))</f>
        <v/>
      </c>
      <c r="AG18" t="str">
        <f>IF($AK18="","",IF($AK18=0,"",IF(INDEX(LookupData!AG:AG,$AK18)="","",INDEX(LookupData!AG:AG,$AK18))))</f>
        <v/>
      </c>
      <c r="AH18" s="11" t="str">
        <f>IF($AK18="","",IF($AK18=0,"",IF(INDEX(LookupData!AH:AH,$AK18)="","",INDEX(LookupData!AH:AH,$AK18))))</f>
        <v/>
      </c>
      <c r="AI18" s="12" t="str">
        <f>IF($AK18="","",IF($AK18=0,"",IF(INDEX(LookupData!AI:AI,$AK18)="","",HYPERLINK(INDEX(LookupData!AI:AI,$AK18),"Open"))))</f>
        <v/>
      </c>
      <c r="AK18" t="str">
        <f>IF(AL18="","",IFERROR(MATCH(AL18,LookupData!$A:$A,0),0))</f>
        <v/>
      </c>
      <c r="AL18" t="str">
        <f t="shared" si="0"/>
        <v/>
      </c>
      <c r="AM18" t="str">
        <f t="shared" si="1"/>
        <v/>
      </c>
      <c r="AO18" t="str">
        <f>IF(MID($AN$1,4081,240)="","|",MID($AN$1,4081,240))</f>
        <v>|</v>
      </c>
    </row>
    <row r="19" spans="1:41" x14ac:dyDescent="0.2">
      <c r="A19" s="9"/>
      <c r="B19" s="10" t="str">
        <f>IF($AK19="","",IF($AK19=0,"not in the database",IF(INDEX(LookupData!B:B,$AK19)="","",INDEX(LookupData!B:B,$AK19))))</f>
        <v/>
      </c>
      <c r="C19" t="str">
        <f>IF($AK19="","",IF($AK19=0,"",IF(INDEX(LookupData!C:C,$AK19)="","",INDEX(LookupData!C:C,$AK19))))</f>
        <v/>
      </c>
      <c r="D19" t="str">
        <f>IF($AK19="","",IF($AK19=0,"",IF(INDEX(LookupData!D:D,$AK19)="","",INDEX(LookupData!D:D,$AK19))))</f>
        <v/>
      </c>
      <c r="E19" t="str">
        <f>IF($AK19="","",IF($AK19=0,"",IF(INDEX(LookupData!E:E,$AK19)="","",INDEX(LookupData!E:E,$AK19))))</f>
        <v/>
      </c>
      <c r="F19" t="str">
        <f>IF($AK19="","",IF($AK19=0,"",IF(INDEX(LookupData!F:F,$AK19)="","",INDEX(LookupData!F:F,$AK19))))</f>
        <v/>
      </c>
      <c r="G19" t="str">
        <f>IF($AK19="","",IF($AK19=0,"",IF(INDEX(LookupData!G:G,$AK19)="","",INDEX(LookupData!G:G,$AK19))))</f>
        <v/>
      </c>
      <c r="H19" t="str">
        <f>IF($AK19="","",IF($AK19=0,"",IF(INDEX(LookupData!H:H,$AK19)="","",INDEX(LookupData!H:H,$AK19))))</f>
        <v/>
      </c>
      <c r="I19" s="7" t="str">
        <f>IF($AK19="","",IF($AK19=0,"",IF(INDEX(LookupData!I:I,$AK19)="","",INDEX(LookupData!I:I,$AK19))))</f>
        <v/>
      </c>
      <c r="J19" s="7" t="str">
        <f>IF($AK19="","",IF($AK19=0,"",IF(INDEX(LookupData!J:J,$AK19)="","",INDEX(LookupData!J:J,$AK19))))</f>
        <v/>
      </c>
      <c r="K19" s="7" t="str">
        <f>IF($AK19="","",IF($AK19=0,"",IF(INDEX(LookupData!K:K,$AK19)="","",INDEX(LookupData!K:K,$AK19))))</f>
        <v/>
      </c>
      <c r="L19" s="7" t="str">
        <f>IF($AK19="","",IF($AK19=0,"",IF(INDEX(LookupData!L:L,$AK19)="","",INDEX(LookupData!L:L,$AK19))))</f>
        <v/>
      </c>
      <c r="M19" s="7" t="str">
        <f>IF($AK19="","",IF($AK19=0,"",IF(INDEX(LookupData!M:M,$AK19)="","",INDEX(LookupData!M:M,$AK19))))</f>
        <v/>
      </c>
      <c r="N19" s="7" t="str">
        <f>IF($AK19="","",IF($AK19=0,"",IF(INDEX(LookupData!N:N,$AK19)="","",INDEX(LookupData!N:N,$AK19))))</f>
        <v/>
      </c>
      <c r="O19" s="7" t="str">
        <f>IF($AK19="","",IF($AK19=0,"",IF(INDEX(LookupData!O:O,$AK19)="","",INDEX(LookupData!O:O,$AK19))))</f>
        <v/>
      </c>
      <c r="P19" s="7" t="str">
        <f>IF($AK19="","",IF($AK19=0,"",IF(INDEX(LookupData!P:P,$AK19)="","",INDEX(LookupData!P:P,$AK19))))</f>
        <v/>
      </c>
      <c r="Q19" s="7" t="str">
        <f>IF($AK19="","",IF($AK19=0,"",IF(INDEX(LookupData!Q:Q,$AK19)="","",INDEX(LookupData!Q:Q,$AK19))))</f>
        <v/>
      </c>
      <c r="R19" s="7" t="str">
        <f>IF($AK19="","",IF($AK19=0,"",IF(INDEX(LookupData!R:R,$AK19)="","",INDEX(LookupData!R:R,$AK19))))</f>
        <v/>
      </c>
      <c r="S19" s="7" t="str">
        <f>IF($AK19="","",IF($AK19=0,"",IF(INDEX(LookupData!S:S,$AK19)="","",INDEX(LookupData!S:S,$AK19))))</f>
        <v/>
      </c>
      <c r="T19" s="7" t="str">
        <f>IF($AK19="","",IF($AK19=0,"",IF(INDEX(LookupData!T:T,$AK19)="","",INDEX(LookupData!T:T,$AK19))))</f>
        <v/>
      </c>
      <c r="U19" s="7" t="str">
        <f>IF($AK19="","",IF($AK19=0,"",IF(INDEX(LookupData!U:U,$AK19)="","",INDEX(LookupData!U:U,$AK19))))</f>
        <v/>
      </c>
      <c r="V19" s="7" t="str">
        <f>IF($AK19="","",IF($AK19=0,"",IF(INDEX(LookupData!V:V,$AK19)="","",INDEX(LookupData!V:V,$AK19))))</f>
        <v/>
      </c>
      <c r="W19" t="str">
        <f>IF($AK19="","",IF($AK19=0,"",IF(INDEX(LookupData!W:W,$AK19)="","",INDEX(LookupData!W:W,$AK19))))</f>
        <v/>
      </c>
      <c r="X19" s="7" t="str">
        <f>IF($AK19="","",IF($AK19=0,"",IF(INDEX(LookupData!X:X,$AK19)="","",INDEX(LookupData!X:X,$AK19))))</f>
        <v/>
      </c>
      <c r="Y19" s="7" t="str">
        <f>IF($AK19="","",IF($AK19=0,"",IF(INDEX(LookupData!Y:Y,$AK19)="","",INDEX(LookupData!Y:Y,$AK19))))</f>
        <v/>
      </c>
      <c r="Z19" s="7" t="str">
        <f>IF($AK19="","",IF($AK19=0,"",IF(INDEX(LookupData!Z:Z,$AK19)="","",INDEX(LookupData!Z:Z,$AK19))))</f>
        <v/>
      </c>
      <c r="AA19" s="7" t="str">
        <f>IF($AK19="","",IF($AK19=0,"",IF(INDEX(LookupData!AA:AA,$AK19)="","",INDEX(LookupData!AA:AA,$AK19))))</f>
        <v/>
      </c>
      <c r="AB19" s="7" t="str">
        <f>IF($AK19="","",IF($AK19=0,"",IF(INDEX(LookupData!AB:AB,$AK19)="","",INDEX(LookupData!AB:AB,$AK19))))</f>
        <v/>
      </c>
      <c r="AC19" s="7" t="str">
        <f>IF($AK19="","",IF($AK19=0,"",IF(INDEX(LookupData!AC:AC,$AK19)="","",INDEX(LookupData!AC:AC,$AK19))))</f>
        <v/>
      </c>
      <c r="AD19" s="7" t="str">
        <f>IF($AK19="","",IF($AK19=0,"",IF(INDEX(LookupData!AD:AD,$AK19)="","",INDEX(LookupData!AD:AD,$AK19))))</f>
        <v/>
      </c>
      <c r="AE19" s="7" t="str">
        <f>IF($AK19="","",IF($AK19=0,"",IF(INDEX(LookupData!AE:AE,$AK19)="","",INDEX(LookupData!AE:AE,$AK19))))</f>
        <v/>
      </c>
      <c r="AF19" t="str">
        <f>IF($AK19="","",IF($AK19=0,"",IF(INDEX(LookupData!AF:AF,$AK19)="","",INDEX(LookupData!AF:AF,$AK19))))</f>
        <v/>
      </c>
      <c r="AG19" t="str">
        <f>IF($AK19="","",IF($AK19=0,"",IF(INDEX(LookupData!AG:AG,$AK19)="","",INDEX(LookupData!AG:AG,$AK19))))</f>
        <v/>
      </c>
      <c r="AH19" s="11" t="str">
        <f>IF($AK19="","",IF($AK19=0,"",IF(INDEX(LookupData!AH:AH,$AK19)="","",INDEX(LookupData!AH:AH,$AK19))))</f>
        <v/>
      </c>
      <c r="AI19" s="12" t="str">
        <f>IF($AK19="","",IF($AK19=0,"",IF(INDEX(LookupData!AI:AI,$AK19)="","",HYPERLINK(INDEX(LookupData!AI:AI,$AK19),"Open"))))</f>
        <v/>
      </c>
      <c r="AK19" t="str">
        <f>IF(AL19="","",IFERROR(MATCH(AL19,LookupData!$A:$A,0),0))</f>
        <v/>
      </c>
      <c r="AL19" t="str">
        <f t="shared" si="0"/>
        <v/>
      </c>
      <c r="AM19" t="str">
        <f t="shared" si="1"/>
        <v/>
      </c>
      <c r="AO19" t="str">
        <f>IF(MID($AN$1,4321,240)="","|",MID($AN$1,4321,240))</f>
        <v>|</v>
      </c>
    </row>
    <row r="20" spans="1:41" x14ac:dyDescent="0.2">
      <c r="A20" s="9"/>
      <c r="B20" s="10" t="str">
        <f>IF($AK20="","",IF($AK20=0,"not in the database",IF(INDEX(LookupData!B:B,$AK20)="","",INDEX(LookupData!B:B,$AK20))))</f>
        <v/>
      </c>
      <c r="C20" t="str">
        <f>IF($AK20="","",IF($AK20=0,"",IF(INDEX(LookupData!C:C,$AK20)="","",INDEX(LookupData!C:C,$AK20))))</f>
        <v/>
      </c>
      <c r="D20" t="str">
        <f>IF($AK20="","",IF($AK20=0,"",IF(INDEX(LookupData!D:D,$AK20)="","",INDEX(LookupData!D:D,$AK20))))</f>
        <v/>
      </c>
      <c r="E20" t="str">
        <f>IF($AK20="","",IF($AK20=0,"",IF(INDEX(LookupData!E:E,$AK20)="","",INDEX(LookupData!E:E,$AK20))))</f>
        <v/>
      </c>
      <c r="F20" t="str">
        <f>IF($AK20="","",IF($AK20=0,"",IF(INDEX(LookupData!F:F,$AK20)="","",INDEX(LookupData!F:F,$AK20))))</f>
        <v/>
      </c>
      <c r="G20" t="str">
        <f>IF($AK20="","",IF($AK20=0,"",IF(INDEX(LookupData!G:G,$AK20)="","",INDEX(LookupData!G:G,$AK20))))</f>
        <v/>
      </c>
      <c r="H20" t="str">
        <f>IF($AK20="","",IF($AK20=0,"",IF(INDEX(LookupData!H:H,$AK20)="","",INDEX(LookupData!H:H,$AK20))))</f>
        <v/>
      </c>
      <c r="I20" s="7" t="str">
        <f>IF($AK20="","",IF($AK20=0,"",IF(INDEX(LookupData!I:I,$AK20)="","",INDEX(LookupData!I:I,$AK20))))</f>
        <v/>
      </c>
      <c r="J20" s="7" t="str">
        <f>IF($AK20="","",IF($AK20=0,"",IF(INDEX(LookupData!J:J,$AK20)="","",INDEX(LookupData!J:J,$AK20))))</f>
        <v/>
      </c>
      <c r="K20" s="7" t="str">
        <f>IF($AK20="","",IF($AK20=0,"",IF(INDEX(LookupData!K:K,$AK20)="","",INDEX(LookupData!K:K,$AK20))))</f>
        <v/>
      </c>
      <c r="L20" s="7" t="str">
        <f>IF($AK20="","",IF($AK20=0,"",IF(INDEX(LookupData!L:L,$AK20)="","",INDEX(LookupData!L:L,$AK20))))</f>
        <v/>
      </c>
      <c r="M20" s="7" t="str">
        <f>IF($AK20="","",IF($AK20=0,"",IF(INDEX(LookupData!M:M,$AK20)="","",INDEX(LookupData!M:M,$AK20))))</f>
        <v/>
      </c>
      <c r="N20" s="7" t="str">
        <f>IF($AK20="","",IF($AK20=0,"",IF(INDEX(LookupData!N:N,$AK20)="","",INDEX(LookupData!N:N,$AK20))))</f>
        <v/>
      </c>
      <c r="O20" s="7" t="str">
        <f>IF($AK20="","",IF($AK20=0,"",IF(INDEX(LookupData!O:O,$AK20)="","",INDEX(LookupData!O:O,$AK20))))</f>
        <v/>
      </c>
      <c r="P20" s="7" t="str">
        <f>IF($AK20="","",IF($AK20=0,"",IF(INDEX(LookupData!P:P,$AK20)="","",INDEX(LookupData!P:P,$AK20))))</f>
        <v/>
      </c>
      <c r="Q20" s="7" t="str">
        <f>IF($AK20="","",IF($AK20=0,"",IF(INDEX(LookupData!Q:Q,$AK20)="","",INDEX(LookupData!Q:Q,$AK20))))</f>
        <v/>
      </c>
      <c r="R20" s="7" t="str">
        <f>IF($AK20="","",IF($AK20=0,"",IF(INDEX(LookupData!R:R,$AK20)="","",INDEX(LookupData!R:R,$AK20))))</f>
        <v/>
      </c>
      <c r="S20" s="7" t="str">
        <f>IF($AK20="","",IF($AK20=0,"",IF(INDEX(LookupData!S:S,$AK20)="","",INDEX(LookupData!S:S,$AK20))))</f>
        <v/>
      </c>
      <c r="T20" s="7" t="str">
        <f>IF($AK20="","",IF($AK20=0,"",IF(INDEX(LookupData!T:T,$AK20)="","",INDEX(LookupData!T:T,$AK20))))</f>
        <v/>
      </c>
      <c r="U20" s="7" t="str">
        <f>IF($AK20="","",IF($AK20=0,"",IF(INDEX(LookupData!U:U,$AK20)="","",INDEX(LookupData!U:U,$AK20))))</f>
        <v/>
      </c>
      <c r="V20" s="7" t="str">
        <f>IF($AK20="","",IF($AK20=0,"",IF(INDEX(LookupData!V:V,$AK20)="","",INDEX(LookupData!V:V,$AK20))))</f>
        <v/>
      </c>
      <c r="W20" t="str">
        <f>IF($AK20="","",IF($AK20=0,"",IF(INDEX(LookupData!W:W,$AK20)="","",INDEX(LookupData!W:W,$AK20))))</f>
        <v/>
      </c>
      <c r="X20" s="7" t="str">
        <f>IF($AK20="","",IF($AK20=0,"",IF(INDEX(LookupData!X:X,$AK20)="","",INDEX(LookupData!X:X,$AK20))))</f>
        <v/>
      </c>
      <c r="Y20" s="7" t="str">
        <f>IF($AK20="","",IF($AK20=0,"",IF(INDEX(LookupData!Y:Y,$AK20)="","",INDEX(LookupData!Y:Y,$AK20))))</f>
        <v/>
      </c>
      <c r="Z20" s="7" t="str">
        <f>IF($AK20="","",IF($AK20=0,"",IF(INDEX(LookupData!Z:Z,$AK20)="","",INDEX(LookupData!Z:Z,$AK20))))</f>
        <v/>
      </c>
      <c r="AA20" s="7" t="str">
        <f>IF($AK20="","",IF($AK20=0,"",IF(INDEX(LookupData!AA:AA,$AK20)="","",INDEX(LookupData!AA:AA,$AK20))))</f>
        <v/>
      </c>
      <c r="AB20" s="7" t="str">
        <f>IF($AK20="","",IF($AK20=0,"",IF(INDEX(LookupData!AB:AB,$AK20)="","",INDEX(LookupData!AB:AB,$AK20))))</f>
        <v/>
      </c>
      <c r="AC20" s="7" t="str">
        <f>IF($AK20="","",IF($AK20=0,"",IF(INDEX(LookupData!AC:AC,$AK20)="","",INDEX(LookupData!AC:AC,$AK20))))</f>
        <v/>
      </c>
      <c r="AD20" s="7" t="str">
        <f>IF($AK20="","",IF($AK20=0,"",IF(INDEX(LookupData!AD:AD,$AK20)="","",INDEX(LookupData!AD:AD,$AK20))))</f>
        <v/>
      </c>
      <c r="AE20" s="7" t="str">
        <f>IF($AK20="","",IF($AK20=0,"",IF(INDEX(LookupData!AE:AE,$AK20)="","",INDEX(LookupData!AE:AE,$AK20))))</f>
        <v/>
      </c>
      <c r="AF20" t="str">
        <f>IF($AK20="","",IF($AK20=0,"",IF(INDEX(LookupData!AF:AF,$AK20)="","",INDEX(LookupData!AF:AF,$AK20))))</f>
        <v/>
      </c>
      <c r="AG20" t="str">
        <f>IF($AK20="","",IF($AK20=0,"",IF(INDEX(LookupData!AG:AG,$AK20)="","",INDEX(LookupData!AG:AG,$AK20))))</f>
        <v/>
      </c>
      <c r="AH20" s="11" t="str">
        <f>IF($AK20="","",IF($AK20=0,"",IF(INDEX(LookupData!AH:AH,$AK20)="","",INDEX(LookupData!AH:AH,$AK20))))</f>
        <v/>
      </c>
      <c r="AI20" s="12" t="str">
        <f>IF($AK20="","",IF($AK20=0,"",IF(INDEX(LookupData!AI:AI,$AK20)="","",HYPERLINK(INDEX(LookupData!AI:AI,$AK20),"Open"))))</f>
        <v/>
      </c>
      <c r="AK20" t="str">
        <f>IF(AL20="","",IFERROR(MATCH(AL20,LookupData!$A:$A,0),0))</f>
        <v/>
      </c>
      <c r="AL20" t="str">
        <f t="shared" si="0"/>
        <v/>
      </c>
      <c r="AM20" t="str">
        <f t="shared" si="1"/>
        <v/>
      </c>
      <c r="AO20" t="str">
        <f>IF(MID($AN$1,4561,240)="","|",MID($AN$1,4561,240))</f>
        <v>|</v>
      </c>
    </row>
    <row r="21" spans="1:41" x14ac:dyDescent="0.2">
      <c r="A21" s="9"/>
      <c r="B21" s="10" t="str">
        <f>IF($AK21="","",IF($AK21=0,"not in the database",IF(INDEX(LookupData!B:B,$AK21)="","",INDEX(LookupData!B:B,$AK21))))</f>
        <v/>
      </c>
      <c r="C21" t="str">
        <f>IF($AK21="","",IF($AK21=0,"",IF(INDEX(LookupData!C:C,$AK21)="","",INDEX(LookupData!C:C,$AK21))))</f>
        <v/>
      </c>
      <c r="D21" t="str">
        <f>IF($AK21="","",IF($AK21=0,"",IF(INDEX(LookupData!D:D,$AK21)="","",INDEX(LookupData!D:D,$AK21))))</f>
        <v/>
      </c>
      <c r="E21" t="str">
        <f>IF($AK21="","",IF($AK21=0,"",IF(INDEX(LookupData!E:E,$AK21)="","",INDEX(LookupData!E:E,$AK21))))</f>
        <v/>
      </c>
      <c r="F21" t="str">
        <f>IF($AK21="","",IF($AK21=0,"",IF(INDEX(LookupData!F:F,$AK21)="","",INDEX(LookupData!F:F,$AK21))))</f>
        <v/>
      </c>
      <c r="G21" t="str">
        <f>IF($AK21="","",IF($AK21=0,"",IF(INDEX(LookupData!G:G,$AK21)="","",INDEX(LookupData!G:G,$AK21))))</f>
        <v/>
      </c>
      <c r="H21" t="str">
        <f>IF($AK21="","",IF($AK21=0,"",IF(INDEX(LookupData!H:H,$AK21)="","",INDEX(LookupData!H:H,$AK21))))</f>
        <v/>
      </c>
      <c r="I21" s="7" t="str">
        <f>IF($AK21="","",IF($AK21=0,"",IF(INDEX(LookupData!I:I,$AK21)="","",INDEX(LookupData!I:I,$AK21))))</f>
        <v/>
      </c>
      <c r="J21" s="7" t="str">
        <f>IF($AK21="","",IF($AK21=0,"",IF(INDEX(LookupData!J:J,$AK21)="","",INDEX(LookupData!J:J,$AK21))))</f>
        <v/>
      </c>
      <c r="K21" s="7" t="str">
        <f>IF($AK21="","",IF($AK21=0,"",IF(INDEX(LookupData!K:K,$AK21)="","",INDEX(LookupData!K:K,$AK21))))</f>
        <v/>
      </c>
      <c r="L21" s="7" t="str">
        <f>IF($AK21="","",IF($AK21=0,"",IF(INDEX(LookupData!L:L,$AK21)="","",INDEX(LookupData!L:L,$AK21))))</f>
        <v/>
      </c>
      <c r="M21" s="7" t="str">
        <f>IF($AK21="","",IF($AK21=0,"",IF(INDEX(LookupData!M:M,$AK21)="","",INDEX(LookupData!M:M,$AK21))))</f>
        <v/>
      </c>
      <c r="N21" s="7" t="str">
        <f>IF($AK21="","",IF($AK21=0,"",IF(INDEX(LookupData!N:N,$AK21)="","",INDEX(LookupData!N:N,$AK21))))</f>
        <v/>
      </c>
      <c r="O21" s="7" t="str">
        <f>IF($AK21="","",IF($AK21=0,"",IF(INDEX(LookupData!O:O,$AK21)="","",INDEX(LookupData!O:O,$AK21))))</f>
        <v/>
      </c>
      <c r="P21" s="7" t="str">
        <f>IF($AK21="","",IF($AK21=0,"",IF(INDEX(LookupData!P:P,$AK21)="","",INDEX(LookupData!P:P,$AK21))))</f>
        <v/>
      </c>
      <c r="Q21" s="7" t="str">
        <f>IF($AK21="","",IF($AK21=0,"",IF(INDEX(LookupData!Q:Q,$AK21)="","",INDEX(LookupData!Q:Q,$AK21))))</f>
        <v/>
      </c>
      <c r="R21" s="7" t="str">
        <f>IF($AK21="","",IF($AK21=0,"",IF(INDEX(LookupData!R:R,$AK21)="","",INDEX(LookupData!R:R,$AK21))))</f>
        <v/>
      </c>
      <c r="S21" s="7" t="str">
        <f>IF($AK21="","",IF($AK21=0,"",IF(INDEX(LookupData!S:S,$AK21)="","",INDEX(LookupData!S:S,$AK21))))</f>
        <v/>
      </c>
      <c r="T21" s="7" t="str">
        <f>IF($AK21="","",IF($AK21=0,"",IF(INDEX(LookupData!T:T,$AK21)="","",INDEX(LookupData!T:T,$AK21))))</f>
        <v/>
      </c>
      <c r="U21" s="7" t="str">
        <f>IF($AK21="","",IF($AK21=0,"",IF(INDEX(LookupData!U:U,$AK21)="","",INDEX(LookupData!U:U,$AK21))))</f>
        <v/>
      </c>
      <c r="V21" s="7" t="str">
        <f>IF($AK21="","",IF($AK21=0,"",IF(INDEX(LookupData!V:V,$AK21)="","",INDEX(LookupData!V:V,$AK21))))</f>
        <v/>
      </c>
      <c r="W21" t="str">
        <f>IF($AK21="","",IF($AK21=0,"",IF(INDEX(LookupData!W:W,$AK21)="","",INDEX(LookupData!W:W,$AK21))))</f>
        <v/>
      </c>
      <c r="X21" s="7" t="str">
        <f>IF($AK21="","",IF($AK21=0,"",IF(INDEX(LookupData!X:X,$AK21)="","",INDEX(LookupData!X:X,$AK21))))</f>
        <v/>
      </c>
      <c r="Y21" s="7" t="str">
        <f>IF($AK21="","",IF($AK21=0,"",IF(INDEX(LookupData!Y:Y,$AK21)="","",INDEX(LookupData!Y:Y,$AK21))))</f>
        <v/>
      </c>
      <c r="Z21" s="7" t="str">
        <f>IF($AK21="","",IF($AK21=0,"",IF(INDEX(LookupData!Z:Z,$AK21)="","",INDEX(LookupData!Z:Z,$AK21))))</f>
        <v/>
      </c>
      <c r="AA21" s="7" t="str">
        <f>IF($AK21="","",IF($AK21=0,"",IF(INDEX(LookupData!AA:AA,$AK21)="","",INDEX(LookupData!AA:AA,$AK21))))</f>
        <v/>
      </c>
      <c r="AB21" s="7" t="str">
        <f>IF($AK21="","",IF($AK21=0,"",IF(INDEX(LookupData!AB:AB,$AK21)="","",INDEX(LookupData!AB:AB,$AK21))))</f>
        <v/>
      </c>
      <c r="AC21" s="7" t="str">
        <f>IF($AK21="","",IF($AK21=0,"",IF(INDEX(LookupData!AC:AC,$AK21)="","",INDEX(LookupData!AC:AC,$AK21))))</f>
        <v/>
      </c>
      <c r="AD21" s="7" t="str">
        <f>IF($AK21="","",IF($AK21=0,"",IF(INDEX(LookupData!AD:AD,$AK21)="","",INDEX(LookupData!AD:AD,$AK21))))</f>
        <v/>
      </c>
      <c r="AE21" s="7" t="str">
        <f>IF($AK21="","",IF($AK21=0,"",IF(INDEX(LookupData!AE:AE,$AK21)="","",INDEX(LookupData!AE:AE,$AK21))))</f>
        <v/>
      </c>
      <c r="AF21" t="str">
        <f>IF($AK21="","",IF($AK21=0,"",IF(INDEX(LookupData!AF:AF,$AK21)="","",INDEX(LookupData!AF:AF,$AK21))))</f>
        <v/>
      </c>
      <c r="AG21" t="str">
        <f>IF($AK21="","",IF($AK21=0,"",IF(INDEX(LookupData!AG:AG,$AK21)="","",INDEX(LookupData!AG:AG,$AK21))))</f>
        <v/>
      </c>
      <c r="AH21" s="11" t="str">
        <f>IF($AK21="","",IF($AK21=0,"",IF(INDEX(LookupData!AH:AH,$AK21)="","",INDEX(LookupData!AH:AH,$AK21))))</f>
        <v/>
      </c>
      <c r="AI21" s="12" t="str">
        <f>IF($AK21="","",IF($AK21=0,"",IF(INDEX(LookupData!AI:AI,$AK21)="","",HYPERLINK(INDEX(LookupData!AI:AI,$AK21),"Open"))))</f>
        <v/>
      </c>
      <c r="AK21" t="str">
        <f>IF(AL21="","",IFERROR(MATCH(AL21,LookupData!$A:$A,0),0))</f>
        <v/>
      </c>
      <c r="AL21" t="str">
        <f t="shared" si="0"/>
        <v/>
      </c>
      <c r="AM21" t="str">
        <f t="shared" si="1"/>
        <v/>
      </c>
      <c r="AO21" t="str">
        <f>IF(MID($AN$1,4801,240)="","|",MID($AN$1,4801,240))</f>
        <v>|</v>
      </c>
    </row>
    <row r="22" spans="1:41" x14ac:dyDescent="0.2">
      <c r="A22" s="9"/>
      <c r="B22" s="10" t="str">
        <f>IF($AK22="","",IF($AK22=0,"not in the database",IF(INDEX(LookupData!B:B,$AK22)="","",INDEX(LookupData!B:B,$AK22))))</f>
        <v/>
      </c>
      <c r="C22" t="str">
        <f>IF($AK22="","",IF($AK22=0,"",IF(INDEX(LookupData!C:C,$AK22)="","",INDEX(LookupData!C:C,$AK22))))</f>
        <v/>
      </c>
      <c r="D22" t="str">
        <f>IF($AK22="","",IF($AK22=0,"",IF(INDEX(LookupData!D:D,$AK22)="","",INDEX(LookupData!D:D,$AK22))))</f>
        <v/>
      </c>
      <c r="E22" t="str">
        <f>IF($AK22="","",IF($AK22=0,"",IF(INDEX(LookupData!E:E,$AK22)="","",INDEX(LookupData!E:E,$AK22))))</f>
        <v/>
      </c>
      <c r="F22" t="str">
        <f>IF($AK22="","",IF($AK22=0,"",IF(INDEX(LookupData!F:F,$AK22)="","",INDEX(LookupData!F:F,$AK22))))</f>
        <v/>
      </c>
      <c r="G22" t="str">
        <f>IF($AK22="","",IF($AK22=0,"",IF(INDEX(LookupData!G:G,$AK22)="","",INDEX(LookupData!G:G,$AK22))))</f>
        <v/>
      </c>
      <c r="H22" t="str">
        <f>IF($AK22="","",IF($AK22=0,"",IF(INDEX(LookupData!H:H,$AK22)="","",INDEX(LookupData!H:H,$AK22))))</f>
        <v/>
      </c>
      <c r="I22" s="7" t="str">
        <f>IF($AK22="","",IF($AK22=0,"",IF(INDEX(LookupData!I:I,$AK22)="","",INDEX(LookupData!I:I,$AK22))))</f>
        <v/>
      </c>
      <c r="J22" s="7" t="str">
        <f>IF($AK22="","",IF($AK22=0,"",IF(INDEX(LookupData!J:J,$AK22)="","",INDEX(LookupData!J:J,$AK22))))</f>
        <v/>
      </c>
      <c r="K22" s="7" t="str">
        <f>IF($AK22="","",IF($AK22=0,"",IF(INDEX(LookupData!K:K,$AK22)="","",INDEX(LookupData!K:K,$AK22))))</f>
        <v/>
      </c>
      <c r="L22" s="7" t="str">
        <f>IF($AK22="","",IF($AK22=0,"",IF(INDEX(LookupData!L:L,$AK22)="","",INDEX(LookupData!L:L,$AK22))))</f>
        <v/>
      </c>
      <c r="M22" s="7" t="str">
        <f>IF($AK22="","",IF($AK22=0,"",IF(INDEX(LookupData!M:M,$AK22)="","",INDEX(LookupData!M:M,$AK22))))</f>
        <v/>
      </c>
      <c r="N22" s="7" t="str">
        <f>IF($AK22="","",IF($AK22=0,"",IF(INDEX(LookupData!N:N,$AK22)="","",INDEX(LookupData!N:N,$AK22))))</f>
        <v/>
      </c>
      <c r="O22" s="7" t="str">
        <f>IF($AK22="","",IF($AK22=0,"",IF(INDEX(LookupData!O:O,$AK22)="","",INDEX(LookupData!O:O,$AK22))))</f>
        <v/>
      </c>
      <c r="P22" s="7" t="str">
        <f>IF($AK22="","",IF($AK22=0,"",IF(INDEX(LookupData!P:P,$AK22)="","",INDEX(LookupData!P:P,$AK22))))</f>
        <v/>
      </c>
      <c r="Q22" s="7" t="str">
        <f>IF($AK22="","",IF($AK22=0,"",IF(INDEX(LookupData!Q:Q,$AK22)="","",INDEX(LookupData!Q:Q,$AK22))))</f>
        <v/>
      </c>
      <c r="R22" s="7" t="str">
        <f>IF($AK22="","",IF($AK22=0,"",IF(INDEX(LookupData!R:R,$AK22)="","",INDEX(LookupData!R:R,$AK22))))</f>
        <v/>
      </c>
      <c r="S22" s="7" t="str">
        <f>IF($AK22="","",IF($AK22=0,"",IF(INDEX(LookupData!S:S,$AK22)="","",INDEX(LookupData!S:S,$AK22))))</f>
        <v/>
      </c>
      <c r="T22" s="7" t="str">
        <f>IF($AK22="","",IF($AK22=0,"",IF(INDEX(LookupData!T:T,$AK22)="","",INDEX(LookupData!T:T,$AK22))))</f>
        <v/>
      </c>
      <c r="U22" s="7" t="str">
        <f>IF($AK22="","",IF($AK22=0,"",IF(INDEX(LookupData!U:U,$AK22)="","",INDEX(LookupData!U:U,$AK22))))</f>
        <v/>
      </c>
      <c r="V22" s="7" t="str">
        <f>IF($AK22="","",IF($AK22=0,"",IF(INDEX(LookupData!V:V,$AK22)="","",INDEX(LookupData!V:V,$AK22))))</f>
        <v/>
      </c>
      <c r="W22" t="str">
        <f>IF($AK22="","",IF($AK22=0,"",IF(INDEX(LookupData!W:W,$AK22)="","",INDEX(LookupData!W:W,$AK22))))</f>
        <v/>
      </c>
      <c r="X22" s="7" t="str">
        <f>IF($AK22="","",IF($AK22=0,"",IF(INDEX(LookupData!X:X,$AK22)="","",INDEX(LookupData!X:X,$AK22))))</f>
        <v/>
      </c>
      <c r="Y22" s="7" t="str">
        <f>IF($AK22="","",IF($AK22=0,"",IF(INDEX(LookupData!Y:Y,$AK22)="","",INDEX(LookupData!Y:Y,$AK22))))</f>
        <v/>
      </c>
      <c r="Z22" s="7" t="str">
        <f>IF($AK22="","",IF($AK22=0,"",IF(INDEX(LookupData!Z:Z,$AK22)="","",INDEX(LookupData!Z:Z,$AK22))))</f>
        <v/>
      </c>
      <c r="AA22" s="7" t="str">
        <f>IF($AK22="","",IF($AK22=0,"",IF(INDEX(LookupData!AA:AA,$AK22)="","",INDEX(LookupData!AA:AA,$AK22))))</f>
        <v/>
      </c>
      <c r="AB22" s="7" t="str">
        <f>IF($AK22="","",IF($AK22=0,"",IF(INDEX(LookupData!AB:AB,$AK22)="","",INDEX(LookupData!AB:AB,$AK22))))</f>
        <v/>
      </c>
      <c r="AC22" s="7" t="str">
        <f>IF($AK22="","",IF($AK22=0,"",IF(INDEX(LookupData!AC:AC,$AK22)="","",INDEX(LookupData!AC:AC,$AK22))))</f>
        <v/>
      </c>
      <c r="AD22" s="7" t="str">
        <f>IF($AK22="","",IF($AK22=0,"",IF(INDEX(LookupData!AD:AD,$AK22)="","",INDEX(LookupData!AD:AD,$AK22))))</f>
        <v/>
      </c>
      <c r="AE22" s="7" t="str">
        <f>IF($AK22="","",IF($AK22=0,"",IF(INDEX(LookupData!AE:AE,$AK22)="","",INDEX(LookupData!AE:AE,$AK22))))</f>
        <v/>
      </c>
      <c r="AF22" t="str">
        <f>IF($AK22="","",IF($AK22=0,"",IF(INDEX(LookupData!AF:AF,$AK22)="","",INDEX(LookupData!AF:AF,$AK22))))</f>
        <v/>
      </c>
      <c r="AG22" t="str">
        <f>IF($AK22="","",IF($AK22=0,"",IF(INDEX(LookupData!AG:AG,$AK22)="","",INDEX(LookupData!AG:AG,$AK22))))</f>
        <v/>
      </c>
      <c r="AH22" s="11" t="str">
        <f>IF($AK22="","",IF($AK22=0,"",IF(INDEX(LookupData!AH:AH,$AK22)="","",INDEX(LookupData!AH:AH,$AK22))))</f>
        <v/>
      </c>
      <c r="AI22" s="12" t="str">
        <f>IF($AK22="","",IF($AK22=0,"",IF(INDEX(LookupData!AI:AI,$AK22)="","",HYPERLINK(INDEX(LookupData!AI:AI,$AK22),"Open"))))</f>
        <v/>
      </c>
      <c r="AK22" t="str">
        <f>IF(AL22="","",IFERROR(MATCH(AL22,LookupData!$A:$A,0),0))</f>
        <v/>
      </c>
      <c r="AL22" t="str">
        <f t="shared" si="0"/>
        <v/>
      </c>
      <c r="AM22" t="str">
        <f t="shared" si="1"/>
        <v/>
      </c>
      <c r="AO22" t="str">
        <f>IF(MID($AN$1,5041,240)="","|",MID($AN$1,5041,240))</f>
        <v>|</v>
      </c>
    </row>
    <row r="23" spans="1:41" x14ac:dyDescent="0.2">
      <c r="A23" s="9"/>
      <c r="B23" s="10" t="str">
        <f>IF($AK23="","",IF($AK23=0,"not in the database",IF(INDEX(LookupData!B:B,$AK23)="","",INDEX(LookupData!B:B,$AK23))))</f>
        <v/>
      </c>
      <c r="C23" t="str">
        <f>IF($AK23="","",IF($AK23=0,"",IF(INDEX(LookupData!C:C,$AK23)="","",INDEX(LookupData!C:C,$AK23))))</f>
        <v/>
      </c>
      <c r="D23" t="str">
        <f>IF($AK23="","",IF($AK23=0,"",IF(INDEX(LookupData!D:D,$AK23)="","",INDEX(LookupData!D:D,$AK23))))</f>
        <v/>
      </c>
      <c r="E23" t="str">
        <f>IF($AK23="","",IF($AK23=0,"",IF(INDEX(LookupData!E:E,$AK23)="","",INDEX(LookupData!E:E,$AK23))))</f>
        <v/>
      </c>
      <c r="F23" t="str">
        <f>IF($AK23="","",IF($AK23=0,"",IF(INDEX(LookupData!F:F,$AK23)="","",INDEX(LookupData!F:F,$AK23))))</f>
        <v/>
      </c>
      <c r="G23" t="str">
        <f>IF($AK23="","",IF($AK23=0,"",IF(INDEX(LookupData!G:G,$AK23)="","",INDEX(LookupData!G:G,$AK23))))</f>
        <v/>
      </c>
      <c r="H23" t="str">
        <f>IF($AK23="","",IF($AK23=0,"",IF(INDEX(LookupData!H:H,$AK23)="","",INDEX(LookupData!H:H,$AK23))))</f>
        <v/>
      </c>
      <c r="I23" s="7" t="str">
        <f>IF($AK23="","",IF($AK23=0,"",IF(INDEX(LookupData!I:I,$AK23)="","",INDEX(LookupData!I:I,$AK23))))</f>
        <v/>
      </c>
      <c r="J23" s="7" t="str">
        <f>IF($AK23="","",IF($AK23=0,"",IF(INDEX(LookupData!J:J,$AK23)="","",INDEX(LookupData!J:J,$AK23))))</f>
        <v/>
      </c>
      <c r="K23" s="7" t="str">
        <f>IF($AK23="","",IF($AK23=0,"",IF(INDEX(LookupData!K:K,$AK23)="","",INDEX(LookupData!K:K,$AK23))))</f>
        <v/>
      </c>
      <c r="L23" s="7" t="str">
        <f>IF($AK23="","",IF($AK23=0,"",IF(INDEX(LookupData!L:L,$AK23)="","",INDEX(LookupData!L:L,$AK23))))</f>
        <v/>
      </c>
      <c r="M23" s="7" t="str">
        <f>IF($AK23="","",IF($AK23=0,"",IF(INDEX(LookupData!M:M,$AK23)="","",INDEX(LookupData!M:M,$AK23))))</f>
        <v/>
      </c>
      <c r="N23" s="7" t="str">
        <f>IF($AK23="","",IF($AK23=0,"",IF(INDEX(LookupData!N:N,$AK23)="","",INDEX(LookupData!N:N,$AK23))))</f>
        <v/>
      </c>
      <c r="O23" s="7" t="str">
        <f>IF($AK23="","",IF($AK23=0,"",IF(INDEX(LookupData!O:O,$AK23)="","",INDEX(LookupData!O:O,$AK23))))</f>
        <v/>
      </c>
      <c r="P23" s="7" t="str">
        <f>IF($AK23="","",IF($AK23=0,"",IF(INDEX(LookupData!P:P,$AK23)="","",INDEX(LookupData!P:P,$AK23))))</f>
        <v/>
      </c>
      <c r="Q23" s="7" t="str">
        <f>IF($AK23="","",IF($AK23=0,"",IF(INDEX(LookupData!Q:Q,$AK23)="","",INDEX(LookupData!Q:Q,$AK23))))</f>
        <v/>
      </c>
      <c r="R23" s="7" t="str">
        <f>IF($AK23="","",IF($AK23=0,"",IF(INDEX(LookupData!R:R,$AK23)="","",INDEX(LookupData!R:R,$AK23))))</f>
        <v/>
      </c>
      <c r="S23" s="7" t="str">
        <f>IF($AK23="","",IF($AK23=0,"",IF(INDEX(LookupData!S:S,$AK23)="","",INDEX(LookupData!S:S,$AK23))))</f>
        <v/>
      </c>
      <c r="T23" s="7" t="str">
        <f>IF($AK23="","",IF($AK23=0,"",IF(INDEX(LookupData!T:T,$AK23)="","",INDEX(LookupData!T:T,$AK23))))</f>
        <v/>
      </c>
      <c r="U23" s="7" t="str">
        <f>IF($AK23="","",IF($AK23=0,"",IF(INDEX(LookupData!U:U,$AK23)="","",INDEX(LookupData!U:U,$AK23))))</f>
        <v/>
      </c>
      <c r="V23" s="7" t="str">
        <f>IF($AK23="","",IF($AK23=0,"",IF(INDEX(LookupData!V:V,$AK23)="","",INDEX(LookupData!V:V,$AK23))))</f>
        <v/>
      </c>
      <c r="W23" t="str">
        <f>IF($AK23="","",IF($AK23=0,"",IF(INDEX(LookupData!W:W,$AK23)="","",INDEX(LookupData!W:W,$AK23))))</f>
        <v/>
      </c>
      <c r="X23" s="7" t="str">
        <f>IF($AK23="","",IF($AK23=0,"",IF(INDEX(LookupData!X:X,$AK23)="","",INDEX(LookupData!X:X,$AK23))))</f>
        <v/>
      </c>
      <c r="Y23" s="7" t="str">
        <f>IF($AK23="","",IF($AK23=0,"",IF(INDEX(LookupData!Y:Y,$AK23)="","",INDEX(LookupData!Y:Y,$AK23))))</f>
        <v/>
      </c>
      <c r="Z23" s="7" t="str">
        <f>IF($AK23="","",IF($AK23=0,"",IF(INDEX(LookupData!Z:Z,$AK23)="","",INDEX(LookupData!Z:Z,$AK23))))</f>
        <v/>
      </c>
      <c r="AA23" s="7" t="str">
        <f>IF($AK23="","",IF($AK23=0,"",IF(INDEX(LookupData!AA:AA,$AK23)="","",INDEX(LookupData!AA:AA,$AK23))))</f>
        <v/>
      </c>
      <c r="AB23" s="7" t="str">
        <f>IF($AK23="","",IF($AK23=0,"",IF(INDEX(LookupData!AB:AB,$AK23)="","",INDEX(LookupData!AB:AB,$AK23))))</f>
        <v/>
      </c>
      <c r="AC23" s="7" t="str">
        <f>IF($AK23="","",IF($AK23=0,"",IF(INDEX(LookupData!AC:AC,$AK23)="","",INDEX(LookupData!AC:AC,$AK23))))</f>
        <v/>
      </c>
      <c r="AD23" s="7" t="str">
        <f>IF($AK23="","",IF($AK23=0,"",IF(INDEX(LookupData!AD:AD,$AK23)="","",INDEX(LookupData!AD:AD,$AK23))))</f>
        <v/>
      </c>
      <c r="AE23" s="7" t="str">
        <f>IF($AK23="","",IF($AK23=0,"",IF(INDEX(LookupData!AE:AE,$AK23)="","",INDEX(LookupData!AE:AE,$AK23))))</f>
        <v/>
      </c>
      <c r="AF23" t="str">
        <f>IF($AK23="","",IF($AK23=0,"",IF(INDEX(LookupData!AF:AF,$AK23)="","",INDEX(LookupData!AF:AF,$AK23))))</f>
        <v/>
      </c>
      <c r="AG23" t="str">
        <f>IF($AK23="","",IF($AK23=0,"",IF(INDEX(LookupData!AG:AG,$AK23)="","",INDEX(LookupData!AG:AG,$AK23))))</f>
        <v/>
      </c>
      <c r="AH23" s="11" t="str">
        <f>IF($AK23="","",IF($AK23=0,"",IF(INDEX(LookupData!AH:AH,$AK23)="","",INDEX(LookupData!AH:AH,$AK23))))</f>
        <v/>
      </c>
      <c r="AI23" s="12" t="str">
        <f>IF($AK23="","",IF($AK23=0,"",IF(INDEX(LookupData!AI:AI,$AK23)="","",HYPERLINK(INDEX(LookupData!AI:AI,$AK23),"Open"))))</f>
        <v/>
      </c>
      <c r="AK23" t="str">
        <f>IF(AL23="","",IFERROR(MATCH(AL23,LookupData!$A:$A,0),0))</f>
        <v/>
      </c>
      <c r="AL23" t="str">
        <f t="shared" si="0"/>
        <v/>
      </c>
      <c r="AM23" t="str">
        <f t="shared" si="1"/>
        <v/>
      </c>
      <c r="AO23" t="str">
        <f>IF(MID($AN$1,5281,240)="","|",MID($AN$1,5281,240))</f>
        <v>|</v>
      </c>
    </row>
    <row r="24" spans="1:41" x14ac:dyDescent="0.2">
      <c r="A24" s="9"/>
      <c r="B24" s="10" t="str">
        <f>IF($AK24="","",IF($AK24=0,"not in the database",IF(INDEX(LookupData!B:B,$AK24)="","",INDEX(LookupData!B:B,$AK24))))</f>
        <v/>
      </c>
      <c r="C24" t="str">
        <f>IF($AK24="","",IF($AK24=0,"",IF(INDEX(LookupData!C:C,$AK24)="","",INDEX(LookupData!C:C,$AK24))))</f>
        <v/>
      </c>
      <c r="D24" t="str">
        <f>IF($AK24="","",IF($AK24=0,"",IF(INDEX(LookupData!D:D,$AK24)="","",INDEX(LookupData!D:D,$AK24))))</f>
        <v/>
      </c>
      <c r="E24" t="str">
        <f>IF($AK24="","",IF($AK24=0,"",IF(INDEX(LookupData!E:E,$AK24)="","",INDEX(LookupData!E:E,$AK24))))</f>
        <v/>
      </c>
      <c r="F24" t="str">
        <f>IF($AK24="","",IF($AK24=0,"",IF(INDEX(LookupData!F:F,$AK24)="","",INDEX(LookupData!F:F,$AK24))))</f>
        <v/>
      </c>
      <c r="G24" t="str">
        <f>IF($AK24="","",IF($AK24=0,"",IF(INDEX(LookupData!G:G,$AK24)="","",INDEX(LookupData!G:G,$AK24))))</f>
        <v/>
      </c>
      <c r="H24" t="str">
        <f>IF($AK24="","",IF($AK24=0,"",IF(INDEX(LookupData!H:H,$AK24)="","",INDEX(LookupData!H:H,$AK24))))</f>
        <v/>
      </c>
      <c r="I24" s="7" t="str">
        <f>IF($AK24="","",IF($AK24=0,"",IF(INDEX(LookupData!I:I,$AK24)="","",INDEX(LookupData!I:I,$AK24))))</f>
        <v/>
      </c>
      <c r="J24" s="7" t="str">
        <f>IF($AK24="","",IF($AK24=0,"",IF(INDEX(LookupData!J:J,$AK24)="","",INDEX(LookupData!J:J,$AK24))))</f>
        <v/>
      </c>
      <c r="K24" s="7" t="str">
        <f>IF($AK24="","",IF($AK24=0,"",IF(INDEX(LookupData!K:K,$AK24)="","",INDEX(LookupData!K:K,$AK24))))</f>
        <v/>
      </c>
      <c r="L24" s="7" t="str">
        <f>IF($AK24="","",IF($AK24=0,"",IF(INDEX(LookupData!L:L,$AK24)="","",INDEX(LookupData!L:L,$AK24))))</f>
        <v/>
      </c>
      <c r="M24" s="7" t="str">
        <f>IF($AK24="","",IF($AK24=0,"",IF(INDEX(LookupData!M:M,$AK24)="","",INDEX(LookupData!M:M,$AK24))))</f>
        <v/>
      </c>
      <c r="N24" s="7" t="str">
        <f>IF($AK24="","",IF($AK24=0,"",IF(INDEX(LookupData!N:N,$AK24)="","",INDEX(LookupData!N:N,$AK24))))</f>
        <v/>
      </c>
      <c r="O24" s="7" t="str">
        <f>IF($AK24="","",IF($AK24=0,"",IF(INDEX(LookupData!O:O,$AK24)="","",INDEX(LookupData!O:O,$AK24))))</f>
        <v/>
      </c>
      <c r="P24" s="7" t="str">
        <f>IF($AK24="","",IF($AK24=0,"",IF(INDEX(LookupData!P:P,$AK24)="","",INDEX(LookupData!P:P,$AK24))))</f>
        <v/>
      </c>
      <c r="Q24" s="7" t="str">
        <f>IF($AK24="","",IF($AK24=0,"",IF(INDEX(LookupData!Q:Q,$AK24)="","",INDEX(LookupData!Q:Q,$AK24))))</f>
        <v/>
      </c>
      <c r="R24" s="7" t="str">
        <f>IF($AK24="","",IF($AK24=0,"",IF(INDEX(LookupData!R:R,$AK24)="","",INDEX(LookupData!R:R,$AK24))))</f>
        <v/>
      </c>
      <c r="S24" s="7" t="str">
        <f>IF($AK24="","",IF($AK24=0,"",IF(INDEX(LookupData!S:S,$AK24)="","",INDEX(LookupData!S:S,$AK24))))</f>
        <v/>
      </c>
      <c r="T24" s="7" t="str">
        <f>IF($AK24="","",IF($AK24=0,"",IF(INDEX(LookupData!T:T,$AK24)="","",INDEX(LookupData!T:T,$AK24))))</f>
        <v/>
      </c>
      <c r="U24" s="7" t="str">
        <f>IF($AK24="","",IF($AK24=0,"",IF(INDEX(LookupData!U:U,$AK24)="","",INDEX(LookupData!U:U,$AK24))))</f>
        <v/>
      </c>
      <c r="V24" s="7" t="str">
        <f>IF($AK24="","",IF($AK24=0,"",IF(INDEX(LookupData!V:V,$AK24)="","",INDEX(LookupData!V:V,$AK24))))</f>
        <v/>
      </c>
      <c r="W24" t="str">
        <f>IF($AK24="","",IF($AK24=0,"",IF(INDEX(LookupData!W:W,$AK24)="","",INDEX(LookupData!W:W,$AK24))))</f>
        <v/>
      </c>
      <c r="X24" s="7" t="str">
        <f>IF($AK24="","",IF($AK24=0,"",IF(INDEX(LookupData!X:X,$AK24)="","",INDEX(LookupData!X:X,$AK24))))</f>
        <v/>
      </c>
      <c r="Y24" s="7" t="str">
        <f>IF($AK24="","",IF($AK24=0,"",IF(INDEX(LookupData!Y:Y,$AK24)="","",INDEX(LookupData!Y:Y,$AK24))))</f>
        <v/>
      </c>
      <c r="Z24" s="7" t="str">
        <f>IF($AK24="","",IF($AK24=0,"",IF(INDEX(LookupData!Z:Z,$AK24)="","",INDEX(LookupData!Z:Z,$AK24))))</f>
        <v/>
      </c>
      <c r="AA24" s="7" t="str">
        <f>IF($AK24="","",IF($AK24=0,"",IF(INDEX(LookupData!AA:AA,$AK24)="","",INDEX(LookupData!AA:AA,$AK24))))</f>
        <v/>
      </c>
      <c r="AB24" s="7" t="str">
        <f>IF($AK24="","",IF($AK24=0,"",IF(INDEX(LookupData!AB:AB,$AK24)="","",INDEX(LookupData!AB:AB,$AK24))))</f>
        <v/>
      </c>
      <c r="AC24" s="7" t="str">
        <f>IF($AK24="","",IF($AK24=0,"",IF(INDEX(LookupData!AC:AC,$AK24)="","",INDEX(LookupData!AC:AC,$AK24))))</f>
        <v/>
      </c>
      <c r="AD24" s="7" t="str">
        <f>IF($AK24="","",IF($AK24=0,"",IF(INDEX(LookupData!AD:AD,$AK24)="","",INDEX(LookupData!AD:AD,$AK24))))</f>
        <v/>
      </c>
      <c r="AE24" s="7" t="str">
        <f>IF($AK24="","",IF($AK24=0,"",IF(INDEX(LookupData!AE:AE,$AK24)="","",INDEX(LookupData!AE:AE,$AK24))))</f>
        <v/>
      </c>
      <c r="AF24" t="str">
        <f>IF($AK24="","",IF($AK24=0,"",IF(INDEX(LookupData!AF:AF,$AK24)="","",INDEX(LookupData!AF:AF,$AK24))))</f>
        <v/>
      </c>
      <c r="AG24" t="str">
        <f>IF($AK24="","",IF($AK24=0,"",IF(INDEX(LookupData!AG:AG,$AK24)="","",INDEX(LookupData!AG:AG,$AK24))))</f>
        <v/>
      </c>
      <c r="AH24" s="11" t="str">
        <f>IF($AK24="","",IF($AK24=0,"",IF(INDEX(LookupData!AH:AH,$AK24)="","",INDEX(LookupData!AH:AH,$AK24))))</f>
        <v/>
      </c>
      <c r="AI24" s="12" t="str">
        <f>IF($AK24="","",IF($AK24=0,"",IF(INDEX(LookupData!AI:AI,$AK24)="","",HYPERLINK(INDEX(LookupData!AI:AI,$AK24),"Open"))))</f>
        <v/>
      </c>
      <c r="AK24" t="str">
        <f>IF(AL24="","",IFERROR(MATCH(AL24,LookupData!$A:$A,0),0))</f>
        <v/>
      </c>
      <c r="AL24" t="str">
        <f t="shared" si="0"/>
        <v/>
      </c>
      <c r="AM24" t="str">
        <f t="shared" si="1"/>
        <v/>
      </c>
      <c r="AO24" t="str">
        <f>IF(MID($AN$1,5521,240)="","|",MID($AN$1,5521,240))</f>
        <v>|</v>
      </c>
    </row>
    <row r="25" spans="1:41" x14ac:dyDescent="0.2">
      <c r="A25" s="9"/>
      <c r="B25" s="10" t="str">
        <f>IF($AK25="","",IF($AK25=0,"not in the database",IF(INDEX(LookupData!B:B,$AK25)="","",INDEX(LookupData!B:B,$AK25))))</f>
        <v/>
      </c>
      <c r="C25" t="str">
        <f>IF($AK25="","",IF($AK25=0,"",IF(INDEX(LookupData!C:C,$AK25)="","",INDEX(LookupData!C:C,$AK25))))</f>
        <v/>
      </c>
      <c r="D25" t="str">
        <f>IF($AK25="","",IF($AK25=0,"",IF(INDEX(LookupData!D:D,$AK25)="","",INDEX(LookupData!D:D,$AK25))))</f>
        <v/>
      </c>
      <c r="E25" t="str">
        <f>IF($AK25="","",IF($AK25=0,"",IF(INDEX(LookupData!E:E,$AK25)="","",INDEX(LookupData!E:E,$AK25))))</f>
        <v/>
      </c>
      <c r="F25" t="str">
        <f>IF($AK25="","",IF($AK25=0,"",IF(INDEX(LookupData!F:F,$AK25)="","",INDEX(LookupData!F:F,$AK25))))</f>
        <v/>
      </c>
      <c r="G25" t="str">
        <f>IF($AK25="","",IF($AK25=0,"",IF(INDEX(LookupData!G:G,$AK25)="","",INDEX(LookupData!G:G,$AK25))))</f>
        <v/>
      </c>
      <c r="H25" t="str">
        <f>IF($AK25="","",IF($AK25=0,"",IF(INDEX(LookupData!H:H,$AK25)="","",INDEX(LookupData!H:H,$AK25))))</f>
        <v/>
      </c>
      <c r="I25" s="7" t="str">
        <f>IF($AK25="","",IF($AK25=0,"",IF(INDEX(LookupData!I:I,$AK25)="","",INDEX(LookupData!I:I,$AK25))))</f>
        <v/>
      </c>
      <c r="J25" s="7" t="str">
        <f>IF($AK25="","",IF($AK25=0,"",IF(INDEX(LookupData!J:J,$AK25)="","",INDEX(LookupData!J:J,$AK25))))</f>
        <v/>
      </c>
      <c r="K25" s="7" t="str">
        <f>IF($AK25="","",IF($AK25=0,"",IF(INDEX(LookupData!K:K,$AK25)="","",INDEX(LookupData!K:K,$AK25))))</f>
        <v/>
      </c>
      <c r="L25" s="7" t="str">
        <f>IF($AK25="","",IF($AK25=0,"",IF(INDEX(LookupData!L:L,$AK25)="","",INDEX(LookupData!L:L,$AK25))))</f>
        <v/>
      </c>
      <c r="M25" s="7" t="str">
        <f>IF($AK25="","",IF($AK25=0,"",IF(INDEX(LookupData!M:M,$AK25)="","",INDEX(LookupData!M:M,$AK25))))</f>
        <v/>
      </c>
      <c r="N25" s="7" t="str">
        <f>IF($AK25="","",IF($AK25=0,"",IF(INDEX(LookupData!N:N,$AK25)="","",INDEX(LookupData!N:N,$AK25))))</f>
        <v/>
      </c>
      <c r="O25" s="7" t="str">
        <f>IF($AK25="","",IF($AK25=0,"",IF(INDEX(LookupData!O:O,$AK25)="","",INDEX(LookupData!O:O,$AK25))))</f>
        <v/>
      </c>
      <c r="P25" s="7" t="str">
        <f>IF($AK25="","",IF($AK25=0,"",IF(INDEX(LookupData!P:P,$AK25)="","",INDEX(LookupData!P:P,$AK25))))</f>
        <v/>
      </c>
      <c r="Q25" s="7" t="str">
        <f>IF($AK25="","",IF($AK25=0,"",IF(INDEX(LookupData!Q:Q,$AK25)="","",INDEX(LookupData!Q:Q,$AK25))))</f>
        <v/>
      </c>
      <c r="R25" s="7" t="str">
        <f>IF($AK25="","",IF($AK25=0,"",IF(INDEX(LookupData!R:R,$AK25)="","",INDEX(LookupData!R:R,$AK25))))</f>
        <v/>
      </c>
      <c r="S25" s="7" t="str">
        <f>IF($AK25="","",IF($AK25=0,"",IF(INDEX(LookupData!S:S,$AK25)="","",INDEX(LookupData!S:S,$AK25))))</f>
        <v/>
      </c>
      <c r="T25" s="7" t="str">
        <f>IF($AK25="","",IF($AK25=0,"",IF(INDEX(LookupData!T:T,$AK25)="","",INDEX(LookupData!T:T,$AK25))))</f>
        <v/>
      </c>
      <c r="U25" s="7" t="str">
        <f>IF($AK25="","",IF($AK25=0,"",IF(INDEX(LookupData!U:U,$AK25)="","",INDEX(LookupData!U:U,$AK25))))</f>
        <v/>
      </c>
      <c r="V25" s="7" t="str">
        <f>IF($AK25="","",IF($AK25=0,"",IF(INDEX(LookupData!V:V,$AK25)="","",INDEX(LookupData!V:V,$AK25))))</f>
        <v/>
      </c>
      <c r="W25" t="str">
        <f>IF($AK25="","",IF($AK25=0,"",IF(INDEX(LookupData!W:W,$AK25)="","",INDEX(LookupData!W:W,$AK25))))</f>
        <v/>
      </c>
      <c r="X25" s="7" t="str">
        <f>IF($AK25="","",IF($AK25=0,"",IF(INDEX(LookupData!X:X,$AK25)="","",INDEX(LookupData!X:X,$AK25))))</f>
        <v/>
      </c>
      <c r="Y25" s="7" t="str">
        <f>IF($AK25="","",IF($AK25=0,"",IF(INDEX(LookupData!Y:Y,$AK25)="","",INDEX(LookupData!Y:Y,$AK25))))</f>
        <v/>
      </c>
      <c r="Z25" s="7" t="str">
        <f>IF($AK25="","",IF($AK25=0,"",IF(INDEX(LookupData!Z:Z,$AK25)="","",INDEX(LookupData!Z:Z,$AK25))))</f>
        <v/>
      </c>
      <c r="AA25" s="7" t="str">
        <f>IF($AK25="","",IF($AK25=0,"",IF(INDEX(LookupData!AA:AA,$AK25)="","",INDEX(LookupData!AA:AA,$AK25))))</f>
        <v/>
      </c>
      <c r="AB25" s="7" t="str">
        <f>IF($AK25="","",IF($AK25=0,"",IF(INDEX(LookupData!AB:AB,$AK25)="","",INDEX(LookupData!AB:AB,$AK25))))</f>
        <v/>
      </c>
      <c r="AC25" s="7" t="str">
        <f>IF($AK25="","",IF($AK25=0,"",IF(INDEX(LookupData!AC:AC,$AK25)="","",INDEX(LookupData!AC:AC,$AK25))))</f>
        <v/>
      </c>
      <c r="AD25" s="7" t="str">
        <f>IF($AK25="","",IF($AK25=0,"",IF(INDEX(LookupData!AD:AD,$AK25)="","",INDEX(LookupData!AD:AD,$AK25))))</f>
        <v/>
      </c>
      <c r="AE25" s="7" t="str">
        <f>IF($AK25="","",IF($AK25=0,"",IF(INDEX(LookupData!AE:AE,$AK25)="","",INDEX(LookupData!AE:AE,$AK25))))</f>
        <v/>
      </c>
      <c r="AF25" t="str">
        <f>IF($AK25="","",IF($AK25=0,"",IF(INDEX(LookupData!AF:AF,$AK25)="","",INDEX(LookupData!AF:AF,$AK25))))</f>
        <v/>
      </c>
      <c r="AG25" t="str">
        <f>IF($AK25="","",IF($AK25=0,"",IF(INDEX(LookupData!AG:AG,$AK25)="","",INDEX(LookupData!AG:AG,$AK25))))</f>
        <v/>
      </c>
      <c r="AH25" s="11" t="str">
        <f>IF($AK25="","",IF($AK25=0,"",IF(INDEX(LookupData!AH:AH,$AK25)="","",INDEX(LookupData!AH:AH,$AK25))))</f>
        <v/>
      </c>
      <c r="AI25" s="12" t="str">
        <f>IF($AK25="","",IF($AK25=0,"",IF(INDEX(LookupData!AI:AI,$AK25)="","",HYPERLINK(INDEX(LookupData!AI:AI,$AK25),"Open"))))</f>
        <v/>
      </c>
      <c r="AK25" t="str">
        <f>IF(AL25="","",IFERROR(MATCH(AL25,LookupData!$A:$A,0),0))</f>
        <v/>
      </c>
      <c r="AL25" t="str">
        <f t="shared" si="0"/>
        <v/>
      </c>
      <c r="AM25" t="str">
        <f t="shared" si="1"/>
        <v/>
      </c>
    </row>
    <row r="26" spans="1:41" x14ac:dyDescent="0.2">
      <c r="A26" s="9"/>
      <c r="B26" s="10" t="str">
        <f>IF($AK26="","",IF($AK26=0,"not in the database",IF(INDEX(LookupData!B:B,$AK26)="","",INDEX(LookupData!B:B,$AK26))))</f>
        <v/>
      </c>
      <c r="C26" t="str">
        <f>IF($AK26="","",IF($AK26=0,"",IF(INDEX(LookupData!C:C,$AK26)="","",INDEX(LookupData!C:C,$AK26))))</f>
        <v/>
      </c>
      <c r="D26" t="str">
        <f>IF($AK26="","",IF($AK26=0,"",IF(INDEX(LookupData!D:D,$AK26)="","",INDEX(LookupData!D:D,$AK26))))</f>
        <v/>
      </c>
      <c r="E26" t="str">
        <f>IF($AK26="","",IF($AK26=0,"",IF(INDEX(LookupData!E:E,$AK26)="","",INDEX(LookupData!E:E,$AK26))))</f>
        <v/>
      </c>
      <c r="F26" t="str">
        <f>IF($AK26="","",IF($AK26=0,"",IF(INDEX(LookupData!F:F,$AK26)="","",INDEX(LookupData!F:F,$AK26))))</f>
        <v/>
      </c>
      <c r="G26" t="str">
        <f>IF($AK26="","",IF($AK26=0,"",IF(INDEX(LookupData!G:G,$AK26)="","",INDEX(LookupData!G:G,$AK26))))</f>
        <v/>
      </c>
      <c r="H26" t="str">
        <f>IF($AK26="","",IF($AK26=0,"",IF(INDEX(LookupData!H:H,$AK26)="","",INDEX(LookupData!H:H,$AK26))))</f>
        <v/>
      </c>
      <c r="I26" s="7" t="str">
        <f>IF($AK26="","",IF($AK26=0,"",IF(INDEX(LookupData!I:I,$AK26)="","",INDEX(LookupData!I:I,$AK26))))</f>
        <v/>
      </c>
      <c r="J26" s="7" t="str">
        <f>IF($AK26="","",IF($AK26=0,"",IF(INDEX(LookupData!J:J,$AK26)="","",INDEX(LookupData!J:J,$AK26))))</f>
        <v/>
      </c>
      <c r="K26" s="7" t="str">
        <f>IF($AK26="","",IF($AK26=0,"",IF(INDEX(LookupData!K:K,$AK26)="","",INDEX(LookupData!K:K,$AK26))))</f>
        <v/>
      </c>
      <c r="L26" s="7" t="str">
        <f>IF($AK26="","",IF($AK26=0,"",IF(INDEX(LookupData!L:L,$AK26)="","",INDEX(LookupData!L:L,$AK26))))</f>
        <v/>
      </c>
      <c r="M26" s="7" t="str">
        <f>IF($AK26="","",IF($AK26=0,"",IF(INDEX(LookupData!M:M,$AK26)="","",INDEX(LookupData!M:M,$AK26))))</f>
        <v/>
      </c>
      <c r="N26" s="7" t="str">
        <f>IF($AK26="","",IF($AK26=0,"",IF(INDEX(LookupData!N:N,$AK26)="","",INDEX(LookupData!N:N,$AK26))))</f>
        <v/>
      </c>
      <c r="O26" s="7" t="str">
        <f>IF($AK26="","",IF($AK26=0,"",IF(INDEX(LookupData!O:O,$AK26)="","",INDEX(LookupData!O:O,$AK26))))</f>
        <v/>
      </c>
      <c r="P26" s="7" t="str">
        <f>IF($AK26="","",IF($AK26=0,"",IF(INDEX(LookupData!P:P,$AK26)="","",INDEX(LookupData!P:P,$AK26))))</f>
        <v/>
      </c>
      <c r="Q26" s="7" t="str">
        <f>IF($AK26="","",IF($AK26=0,"",IF(INDEX(LookupData!Q:Q,$AK26)="","",INDEX(LookupData!Q:Q,$AK26))))</f>
        <v/>
      </c>
      <c r="R26" s="7" t="str">
        <f>IF($AK26="","",IF($AK26=0,"",IF(INDEX(LookupData!R:R,$AK26)="","",INDEX(LookupData!R:R,$AK26))))</f>
        <v/>
      </c>
      <c r="S26" s="7" t="str">
        <f>IF($AK26="","",IF($AK26=0,"",IF(INDEX(LookupData!S:S,$AK26)="","",INDEX(LookupData!S:S,$AK26))))</f>
        <v/>
      </c>
      <c r="T26" s="7" t="str">
        <f>IF($AK26="","",IF($AK26=0,"",IF(INDEX(LookupData!T:T,$AK26)="","",INDEX(LookupData!T:T,$AK26))))</f>
        <v/>
      </c>
      <c r="U26" s="7" t="str">
        <f>IF($AK26="","",IF($AK26=0,"",IF(INDEX(LookupData!U:U,$AK26)="","",INDEX(LookupData!U:U,$AK26))))</f>
        <v/>
      </c>
      <c r="V26" s="7" t="str">
        <f>IF($AK26="","",IF($AK26=0,"",IF(INDEX(LookupData!V:V,$AK26)="","",INDEX(LookupData!V:V,$AK26))))</f>
        <v/>
      </c>
      <c r="W26" t="str">
        <f>IF($AK26="","",IF($AK26=0,"",IF(INDEX(LookupData!W:W,$AK26)="","",INDEX(LookupData!W:W,$AK26))))</f>
        <v/>
      </c>
      <c r="X26" s="7" t="str">
        <f>IF($AK26="","",IF($AK26=0,"",IF(INDEX(LookupData!X:X,$AK26)="","",INDEX(LookupData!X:X,$AK26))))</f>
        <v/>
      </c>
      <c r="Y26" s="7" t="str">
        <f>IF($AK26="","",IF($AK26=0,"",IF(INDEX(LookupData!Y:Y,$AK26)="","",INDEX(LookupData!Y:Y,$AK26))))</f>
        <v/>
      </c>
      <c r="Z26" s="7" t="str">
        <f>IF($AK26="","",IF($AK26=0,"",IF(INDEX(LookupData!Z:Z,$AK26)="","",INDEX(LookupData!Z:Z,$AK26))))</f>
        <v/>
      </c>
      <c r="AA26" s="7" t="str">
        <f>IF($AK26="","",IF($AK26=0,"",IF(INDEX(LookupData!AA:AA,$AK26)="","",INDEX(LookupData!AA:AA,$AK26))))</f>
        <v/>
      </c>
      <c r="AB26" s="7" t="str">
        <f>IF($AK26="","",IF($AK26=0,"",IF(INDEX(LookupData!AB:AB,$AK26)="","",INDEX(LookupData!AB:AB,$AK26))))</f>
        <v/>
      </c>
      <c r="AC26" s="7" t="str">
        <f>IF($AK26="","",IF($AK26=0,"",IF(INDEX(LookupData!AC:AC,$AK26)="","",INDEX(LookupData!AC:AC,$AK26))))</f>
        <v/>
      </c>
      <c r="AD26" s="7" t="str">
        <f>IF($AK26="","",IF($AK26=0,"",IF(INDEX(LookupData!AD:AD,$AK26)="","",INDEX(LookupData!AD:AD,$AK26))))</f>
        <v/>
      </c>
      <c r="AE26" s="7" t="str">
        <f>IF($AK26="","",IF($AK26=0,"",IF(INDEX(LookupData!AE:AE,$AK26)="","",INDEX(LookupData!AE:AE,$AK26))))</f>
        <v/>
      </c>
      <c r="AF26" t="str">
        <f>IF($AK26="","",IF($AK26=0,"",IF(INDEX(LookupData!AF:AF,$AK26)="","",INDEX(LookupData!AF:AF,$AK26))))</f>
        <v/>
      </c>
      <c r="AG26" t="str">
        <f>IF($AK26="","",IF($AK26=0,"",IF(INDEX(LookupData!AG:AG,$AK26)="","",INDEX(LookupData!AG:AG,$AK26))))</f>
        <v/>
      </c>
      <c r="AH26" s="11" t="str">
        <f>IF($AK26="","",IF($AK26=0,"",IF(INDEX(LookupData!AH:AH,$AK26)="","",INDEX(LookupData!AH:AH,$AK26))))</f>
        <v/>
      </c>
      <c r="AI26" s="12" t="str">
        <f>IF($AK26="","",IF($AK26=0,"",IF(INDEX(LookupData!AI:AI,$AK26)="","",HYPERLINK(INDEX(LookupData!AI:AI,$AK26),"Open"))))</f>
        <v/>
      </c>
      <c r="AK26" t="str">
        <f>IF(AL26="","",IFERROR(MATCH(AL26,LookupData!$A:$A,0),0))</f>
        <v/>
      </c>
      <c r="AL26" t="str">
        <f t="shared" si="0"/>
        <v/>
      </c>
      <c r="AM26" t="str">
        <f t="shared" si="1"/>
        <v/>
      </c>
    </row>
    <row r="27" spans="1:41" x14ac:dyDescent="0.2">
      <c r="A27" s="9"/>
      <c r="B27" s="10" t="str">
        <f>IF($AK27="","",IF($AK27=0,"not in the database",IF(INDEX(LookupData!B:B,$AK27)="","",INDEX(LookupData!B:B,$AK27))))</f>
        <v/>
      </c>
      <c r="C27" t="str">
        <f>IF($AK27="","",IF($AK27=0,"",IF(INDEX(LookupData!C:C,$AK27)="","",INDEX(LookupData!C:C,$AK27))))</f>
        <v/>
      </c>
      <c r="D27" t="str">
        <f>IF($AK27="","",IF($AK27=0,"",IF(INDEX(LookupData!D:D,$AK27)="","",INDEX(LookupData!D:D,$AK27))))</f>
        <v/>
      </c>
      <c r="E27" t="str">
        <f>IF($AK27="","",IF($AK27=0,"",IF(INDEX(LookupData!E:E,$AK27)="","",INDEX(LookupData!E:E,$AK27))))</f>
        <v/>
      </c>
      <c r="F27" t="str">
        <f>IF($AK27="","",IF($AK27=0,"",IF(INDEX(LookupData!F:F,$AK27)="","",INDEX(LookupData!F:F,$AK27))))</f>
        <v/>
      </c>
      <c r="G27" t="str">
        <f>IF($AK27="","",IF($AK27=0,"",IF(INDEX(LookupData!G:G,$AK27)="","",INDEX(LookupData!G:G,$AK27))))</f>
        <v/>
      </c>
      <c r="H27" t="str">
        <f>IF($AK27="","",IF($AK27=0,"",IF(INDEX(LookupData!H:H,$AK27)="","",INDEX(LookupData!H:H,$AK27))))</f>
        <v/>
      </c>
      <c r="I27" s="7" t="str">
        <f>IF($AK27="","",IF($AK27=0,"",IF(INDEX(LookupData!I:I,$AK27)="","",INDEX(LookupData!I:I,$AK27))))</f>
        <v/>
      </c>
      <c r="J27" s="7" t="str">
        <f>IF($AK27="","",IF($AK27=0,"",IF(INDEX(LookupData!J:J,$AK27)="","",INDEX(LookupData!J:J,$AK27))))</f>
        <v/>
      </c>
      <c r="K27" s="7" t="str">
        <f>IF($AK27="","",IF($AK27=0,"",IF(INDEX(LookupData!K:K,$AK27)="","",INDEX(LookupData!K:K,$AK27))))</f>
        <v/>
      </c>
      <c r="L27" s="7" t="str">
        <f>IF($AK27="","",IF($AK27=0,"",IF(INDEX(LookupData!L:L,$AK27)="","",INDEX(LookupData!L:L,$AK27))))</f>
        <v/>
      </c>
      <c r="M27" s="7" t="str">
        <f>IF($AK27="","",IF($AK27=0,"",IF(INDEX(LookupData!M:M,$AK27)="","",INDEX(LookupData!M:M,$AK27))))</f>
        <v/>
      </c>
      <c r="N27" s="7" t="str">
        <f>IF($AK27="","",IF($AK27=0,"",IF(INDEX(LookupData!N:N,$AK27)="","",INDEX(LookupData!N:N,$AK27))))</f>
        <v/>
      </c>
      <c r="O27" s="7" t="str">
        <f>IF($AK27="","",IF($AK27=0,"",IF(INDEX(LookupData!O:O,$AK27)="","",INDEX(LookupData!O:O,$AK27))))</f>
        <v/>
      </c>
      <c r="P27" s="7" t="str">
        <f>IF($AK27="","",IF($AK27=0,"",IF(INDEX(LookupData!P:P,$AK27)="","",INDEX(LookupData!P:P,$AK27))))</f>
        <v/>
      </c>
      <c r="Q27" s="7" t="str">
        <f>IF($AK27="","",IF($AK27=0,"",IF(INDEX(LookupData!Q:Q,$AK27)="","",INDEX(LookupData!Q:Q,$AK27))))</f>
        <v/>
      </c>
      <c r="R27" s="7" t="str">
        <f>IF($AK27="","",IF($AK27=0,"",IF(INDEX(LookupData!R:R,$AK27)="","",INDEX(LookupData!R:R,$AK27))))</f>
        <v/>
      </c>
      <c r="S27" s="7" t="str">
        <f>IF($AK27="","",IF($AK27=0,"",IF(INDEX(LookupData!S:S,$AK27)="","",INDEX(LookupData!S:S,$AK27))))</f>
        <v/>
      </c>
      <c r="T27" s="7" t="str">
        <f>IF($AK27="","",IF($AK27=0,"",IF(INDEX(LookupData!T:T,$AK27)="","",INDEX(LookupData!T:T,$AK27))))</f>
        <v/>
      </c>
      <c r="U27" s="7" t="str">
        <f>IF($AK27="","",IF($AK27=0,"",IF(INDEX(LookupData!U:U,$AK27)="","",INDEX(LookupData!U:U,$AK27))))</f>
        <v/>
      </c>
      <c r="V27" s="7" t="str">
        <f>IF($AK27="","",IF($AK27=0,"",IF(INDEX(LookupData!V:V,$AK27)="","",INDEX(LookupData!V:V,$AK27))))</f>
        <v/>
      </c>
      <c r="W27" t="str">
        <f>IF($AK27="","",IF($AK27=0,"",IF(INDEX(LookupData!W:W,$AK27)="","",INDEX(LookupData!W:W,$AK27))))</f>
        <v/>
      </c>
      <c r="X27" s="7" t="str">
        <f>IF($AK27="","",IF($AK27=0,"",IF(INDEX(LookupData!X:X,$AK27)="","",INDEX(LookupData!X:X,$AK27))))</f>
        <v/>
      </c>
      <c r="Y27" s="7" t="str">
        <f>IF($AK27="","",IF($AK27=0,"",IF(INDEX(LookupData!Y:Y,$AK27)="","",INDEX(LookupData!Y:Y,$AK27))))</f>
        <v/>
      </c>
      <c r="Z27" s="7" t="str">
        <f>IF($AK27="","",IF($AK27=0,"",IF(INDEX(LookupData!Z:Z,$AK27)="","",INDEX(LookupData!Z:Z,$AK27))))</f>
        <v/>
      </c>
      <c r="AA27" s="7" t="str">
        <f>IF($AK27="","",IF($AK27=0,"",IF(INDEX(LookupData!AA:AA,$AK27)="","",INDEX(LookupData!AA:AA,$AK27))))</f>
        <v/>
      </c>
      <c r="AB27" s="7" t="str">
        <f>IF($AK27="","",IF($AK27=0,"",IF(INDEX(LookupData!AB:AB,$AK27)="","",INDEX(LookupData!AB:AB,$AK27))))</f>
        <v/>
      </c>
      <c r="AC27" s="7" t="str">
        <f>IF($AK27="","",IF($AK27=0,"",IF(INDEX(LookupData!AC:AC,$AK27)="","",INDEX(LookupData!AC:AC,$AK27))))</f>
        <v/>
      </c>
      <c r="AD27" s="7" t="str">
        <f>IF($AK27="","",IF($AK27=0,"",IF(INDEX(LookupData!AD:AD,$AK27)="","",INDEX(LookupData!AD:AD,$AK27))))</f>
        <v/>
      </c>
      <c r="AE27" s="7" t="str">
        <f>IF($AK27="","",IF($AK27=0,"",IF(INDEX(LookupData!AE:AE,$AK27)="","",INDEX(LookupData!AE:AE,$AK27))))</f>
        <v/>
      </c>
      <c r="AF27" t="str">
        <f>IF($AK27="","",IF($AK27=0,"",IF(INDEX(LookupData!AF:AF,$AK27)="","",INDEX(LookupData!AF:AF,$AK27))))</f>
        <v/>
      </c>
      <c r="AG27" t="str">
        <f>IF($AK27="","",IF($AK27=0,"",IF(INDEX(LookupData!AG:AG,$AK27)="","",INDEX(LookupData!AG:AG,$AK27))))</f>
        <v/>
      </c>
      <c r="AH27" s="11" t="str">
        <f>IF($AK27="","",IF($AK27=0,"",IF(INDEX(LookupData!AH:AH,$AK27)="","",INDEX(LookupData!AH:AH,$AK27))))</f>
        <v/>
      </c>
      <c r="AI27" s="12" t="str">
        <f>IF($AK27="","",IF($AK27=0,"",IF(INDEX(LookupData!AI:AI,$AK27)="","",HYPERLINK(INDEX(LookupData!AI:AI,$AK27),"Open"))))</f>
        <v/>
      </c>
      <c r="AK27" t="str">
        <f>IF(AL27="","",IFERROR(MATCH(AL27,LookupData!$A:$A,0),0))</f>
        <v/>
      </c>
      <c r="AL27" t="str">
        <f t="shared" si="0"/>
        <v/>
      </c>
      <c r="AM27" t="str">
        <f t="shared" si="1"/>
        <v/>
      </c>
    </row>
    <row r="28" spans="1:41" x14ac:dyDescent="0.2">
      <c r="A28" s="9"/>
      <c r="B28" s="10" t="str">
        <f>IF($AK28="","",IF($AK28=0,"not in the database",IF(INDEX(LookupData!B:B,$AK28)="","",INDEX(LookupData!B:B,$AK28))))</f>
        <v/>
      </c>
      <c r="C28" t="str">
        <f>IF($AK28="","",IF($AK28=0,"",IF(INDEX(LookupData!C:C,$AK28)="","",INDEX(LookupData!C:C,$AK28))))</f>
        <v/>
      </c>
      <c r="D28" t="str">
        <f>IF($AK28="","",IF($AK28=0,"",IF(INDEX(LookupData!D:D,$AK28)="","",INDEX(LookupData!D:D,$AK28))))</f>
        <v/>
      </c>
      <c r="E28" t="str">
        <f>IF($AK28="","",IF($AK28=0,"",IF(INDEX(LookupData!E:E,$AK28)="","",INDEX(LookupData!E:E,$AK28))))</f>
        <v/>
      </c>
      <c r="F28" t="str">
        <f>IF($AK28="","",IF($AK28=0,"",IF(INDEX(LookupData!F:F,$AK28)="","",INDEX(LookupData!F:F,$AK28))))</f>
        <v/>
      </c>
      <c r="G28" t="str">
        <f>IF($AK28="","",IF($AK28=0,"",IF(INDEX(LookupData!G:G,$AK28)="","",INDEX(LookupData!G:G,$AK28))))</f>
        <v/>
      </c>
      <c r="H28" t="str">
        <f>IF($AK28="","",IF($AK28=0,"",IF(INDEX(LookupData!H:H,$AK28)="","",INDEX(LookupData!H:H,$AK28))))</f>
        <v/>
      </c>
      <c r="I28" s="7" t="str">
        <f>IF($AK28="","",IF($AK28=0,"",IF(INDEX(LookupData!I:I,$AK28)="","",INDEX(LookupData!I:I,$AK28))))</f>
        <v/>
      </c>
      <c r="J28" s="7" t="str">
        <f>IF($AK28="","",IF($AK28=0,"",IF(INDEX(LookupData!J:J,$AK28)="","",INDEX(LookupData!J:J,$AK28))))</f>
        <v/>
      </c>
      <c r="K28" s="7" t="str">
        <f>IF($AK28="","",IF($AK28=0,"",IF(INDEX(LookupData!K:K,$AK28)="","",INDEX(LookupData!K:K,$AK28))))</f>
        <v/>
      </c>
      <c r="L28" s="7" t="str">
        <f>IF($AK28="","",IF($AK28=0,"",IF(INDEX(LookupData!L:L,$AK28)="","",INDEX(LookupData!L:L,$AK28))))</f>
        <v/>
      </c>
      <c r="M28" s="7" t="str">
        <f>IF($AK28="","",IF($AK28=0,"",IF(INDEX(LookupData!M:M,$AK28)="","",INDEX(LookupData!M:M,$AK28))))</f>
        <v/>
      </c>
      <c r="N28" s="7" t="str">
        <f>IF($AK28="","",IF($AK28=0,"",IF(INDEX(LookupData!N:N,$AK28)="","",INDEX(LookupData!N:N,$AK28))))</f>
        <v/>
      </c>
      <c r="O28" s="7" t="str">
        <f>IF($AK28="","",IF($AK28=0,"",IF(INDEX(LookupData!O:O,$AK28)="","",INDEX(LookupData!O:O,$AK28))))</f>
        <v/>
      </c>
      <c r="P28" s="7" t="str">
        <f>IF($AK28="","",IF($AK28=0,"",IF(INDEX(LookupData!P:P,$AK28)="","",INDEX(LookupData!P:P,$AK28))))</f>
        <v/>
      </c>
      <c r="Q28" s="7" t="str">
        <f>IF($AK28="","",IF($AK28=0,"",IF(INDEX(LookupData!Q:Q,$AK28)="","",INDEX(LookupData!Q:Q,$AK28))))</f>
        <v/>
      </c>
      <c r="R28" s="7" t="str">
        <f>IF($AK28="","",IF($AK28=0,"",IF(INDEX(LookupData!R:R,$AK28)="","",INDEX(LookupData!R:R,$AK28))))</f>
        <v/>
      </c>
      <c r="S28" s="7" t="str">
        <f>IF($AK28="","",IF($AK28=0,"",IF(INDEX(LookupData!S:S,$AK28)="","",INDEX(LookupData!S:S,$AK28))))</f>
        <v/>
      </c>
      <c r="T28" s="7" t="str">
        <f>IF($AK28="","",IF($AK28=0,"",IF(INDEX(LookupData!T:T,$AK28)="","",INDEX(LookupData!T:T,$AK28))))</f>
        <v/>
      </c>
      <c r="U28" s="7" t="str">
        <f>IF($AK28="","",IF($AK28=0,"",IF(INDEX(LookupData!U:U,$AK28)="","",INDEX(LookupData!U:U,$AK28))))</f>
        <v/>
      </c>
      <c r="V28" s="7" t="str">
        <f>IF($AK28="","",IF($AK28=0,"",IF(INDEX(LookupData!V:V,$AK28)="","",INDEX(LookupData!V:V,$AK28))))</f>
        <v/>
      </c>
      <c r="W28" t="str">
        <f>IF($AK28="","",IF($AK28=0,"",IF(INDEX(LookupData!W:W,$AK28)="","",INDEX(LookupData!W:W,$AK28))))</f>
        <v/>
      </c>
      <c r="X28" s="7" t="str">
        <f>IF($AK28="","",IF($AK28=0,"",IF(INDEX(LookupData!X:X,$AK28)="","",INDEX(LookupData!X:X,$AK28))))</f>
        <v/>
      </c>
      <c r="Y28" s="7" t="str">
        <f>IF($AK28="","",IF($AK28=0,"",IF(INDEX(LookupData!Y:Y,$AK28)="","",INDEX(LookupData!Y:Y,$AK28))))</f>
        <v/>
      </c>
      <c r="Z28" s="7" t="str">
        <f>IF($AK28="","",IF($AK28=0,"",IF(INDEX(LookupData!Z:Z,$AK28)="","",INDEX(LookupData!Z:Z,$AK28))))</f>
        <v/>
      </c>
      <c r="AA28" s="7" t="str">
        <f>IF($AK28="","",IF($AK28=0,"",IF(INDEX(LookupData!AA:AA,$AK28)="","",INDEX(LookupData!AA:AA,$AK28))))</f>
        <v/>
      </c>
      <c r="AB28" s="7" t="str">
        <f>IF($AK28="","",IF($AK28=0,"",IF(INDEX(LookupData!AB:AB,$AK28)="","",INDEX(LookupData!AB:AB,$AK28))))</f>
        <v/>
      </c>
      <c r="AC28" s="7" t="str">
        <f>IF($AK28="","",IF($AK28=0,"",IF(INDEX(LookupData!AC:AC,$AK28)="","",INDEX(LookupData!AC:AC,$AK28))))</f>
        <v/>
      </c>
      <c r="AD28" s="7" t="str">
        <f>IF($AK28="","",IF($AK28=0,"",IF(INDEX(LookupData!AD:AD,$AK28)="","",INDEX(LookupData!AD:AD,$AK28))))</f>
        <v/>
      </c>
      <c r="AE28" s="7" t="str">
        <f>IF($AK28="","",IF($AK28=0,"",IF(INDEX(LookupData!AE:AE,$AK28)="","",INDEX(LookupData!AE:AE,$AK28))))</f>
        <v/>
      </c>
      <c r="AF28" t="str">
        <f>IF($AK28="","",IF($AK28=0,"",IF(INDEX(LookupData!AF:AF,$AK28)="","",INDEX(LookupData!AF:AF,$AK28))))</f>
        <v/>
      </c>
      <c r="AG28" t="str">
        <f>IF($AK28="","",IF($AK28=0,"",IF(INDEX(LookupData!AG:AG,$AK28)="","",INDEX(LookupData!AG:AG,$AK28))))</f>
        <v/>
      </c>
      <c r="AH28" s="11" t="str">
        <f>IF($AK28="","",IF($AK28=0,"",IF(INDEX(LookupData!AH:AH,$AK28)="","",INDEX(LookupData!AH:AH,$AK28))))</f>
        <v/>
      </c>
      <c r="AI28" s="12" t="str">
        <f>IF($AK28="","",IF($AK28=0,"",IF(INDEX(LookupData!AI:AI,$AK28)="","",HYPERLINK(INDEX(LookupData!AI:AI,$AK28),"Open"))))</f>
        <v/>
      </c>
      <c r="AK28" t="str">
        <f>IF(AL28="","",IFERROR(MATCH(AL28,LookupData!$A:$A,0),0))</f>
        <v/>
      </c>
      <c r="AL28" t="str">
        <f t="shared" si="0"/>
        <v/>
      </c>
      <c r="AM28" t="str">
        <f t="shared" si="1"/>
        <v/>
      </c>
    </row>
    <row r="29" spans="1:41" x14ac:dyDescent="0.2">
      <c r="A29" s="9"/>
      <c r="B29" s="10" t="str">
        <f>IF($AK29="","",IF($AK29=0,"not in the database",IF(INDEX(LookupData!B:B,$AK29)="","",INDEX(LookupData!B:B,$AK29))))</f>
        <v/>
      </c>
      <c r="C29" t="str">
        <f>IF($AK29="","",IF($AK29=0,"",IF(INDEX(LookupData!C:C,$AK29)="","",INDEX(LookupData!C:C,$AK29))))</f>
        <v/>
      </c>
      <c r="D29" t="str">
        <f>IF($AK29="","",IF($AK29=0,"",IF(INDEX(LookupData!D:D,$AK29)="","",INDEX(LookupData!D:D,$AK29))))</f>
        <v/>
      </c>
      <c r="E29" t="str">
        <f>IF($AK29="","",IF($AK29=0,"",IF(INDEX(LookupData!E:E,$AK29)="","",INDEX(LookupData!E:E,$AK29))))</f>
        <v/>
      </c>
      <c r="F29" t="str">
        <f>IF($AK29="","",IF($AK29=0,"",IF(INDEX(LookupData!F:F,$AK29)="","",INDEX(LookupData!F:F,$AK29))))</f>
        <v/>
      </c>
      <c r="G29" t="str">
        <f>IF($AK29="","",IF($AK29=0,"",IF(INDEX(LookupData!G:G,$AK29)="","",INDEX(LookupData!G:G,$AK29))))</f>
        <v/>
      </c>
      <c r="H29" t="str">
        <f>IF($AK29="","",IF($AK29=0,"",IF(INDEX(LookupData!H:H,$AK29)="","",INDEX(LookupData!H:H,$AK29))))</f>
        <v/>
      </c>
      <c r="I29" s="7" t="str">
        <f>IF($AK29="","",IF($AK29=0,"",IF(INDEX(LookupData!I:I,$AK29)="","",INDEX(LookupData!I:I,$AK29))))</f>
        <v/>
      </c>
      <c r="J29" s="7" t="str">
        <f>IF($AK29="","",IF($AK29=0,"",IF(INDEX(LookupData!J:J,$AK29)="","",INDEX(LookupData!J:J,$AK29))))</f>
        <v/>
      </c>
      <c r="K29" s="7" t="str">
        <f>IF($AK29="","",IF($AK29=0,"",IF(INDEX(LookupData!K:K,$AK29)="","",INDEX(LookupData!K:K,$AK29))))</f>
        <v/>
      </c>
      <c r="L29" s="7" t="str">
        <f>IF($AK29="","",IF($AK29=0,"",IF(INDEX(LookupData!L:L,$AK29)="","",INDEX(LookupData!L:L,$AK29))))</f>
        <v/>
      </c>
      <c r="M29" s="7" t="str">
        <f>IF($AK29="","",IF($AK29=0,"",IF(INDEX(LookupData!M:M,$AK29)="","",INDEX(LookupData!M:M,$AK29))))</f>
        <v/>
      </c>
      <c r="N29" s="7" t="str">
        <f>IF($AK29="","",IF($AK29=0,"",IF(INDEX(LookupData!N:N,$AK29)="","",INDEX(LookupData!N:N,$AK29))))</f>
        <v/>
      </c>
      <c r="O29" s="7" t="str">
        <f>IF($AK29="","",IF($AK29=0,"",IF(INDEX(LookupData!O:O,$AK29)="","",INDEX(LookupData!O:O,$AK29))))</f>
        <v/>
      </c>
      <c r="P29" s="7" t="str">
        <f>IF($AK29="","",IF($AK29=0,"",IF(INDEX(LookupData!P:P,$AK29)="","",INDEX(LookupData!P:P,$AK29))))</f>
        <v/>
      </c>
      <c r="Q29" s="7" t="str">
        <f>IF($AK29="","",IF($AK29=0,"",IF(INDEX(LookupData!Q:Q,$AK29)="","",INDEX(LookupData!Q:Q,$AK29))))</f>
        <v/>
      </c>
      <c r="R29" s="7" t="str">
        <f>IF($AK29="","",IF($AK29=0,"",IF(INDEX(LookupData!R:R,$AK29)="","",INDEX(LookupData!R:R,$AK29))))</f>
        <v/>
      </c>
      <c r="S29" s="7" t="str">
        <f>IF($AK29="","",IF($AK29=0,"",IF(INDEX(LookupData!S:S,$AK29)="","",INDEX(LookupData!S:S,$AK29))))</f>
        <v/>
      </c>
      <c r="T29" s="7" t="str">
        <f>IF($AK29="","",IF($AK29=0,"",IF(INDEX(LookupData!T:T,$AK29)="","",INDEX(LookupData!T:T,$AK29))))</f>
        <v/>
      </c>
      <c r="U29" s="7" t="str">
        <f>IF($AK29="","",IF($AK29=0,"",IF(INDEX(LookupData!U:U,$AK29)="","",INDEX(LookupData!U:U,$AK29))))</f>
        <v/>
      </c>
      <c r="V29" s="7" t="str">
        <f>IF($AK29="","",IF($AK29=0,"",IF(INDEX(LookupData!V:V,$AK29)="","",INDEX(LookupData!V:V,$AK29))))</f>
        <v/>
      </c>
      <c r="W29" t="str">
        <f>IF($AK29="","",IF($AK29=0,"",IF(INDEX(LookupData!W:W,$AK29)="","",INDEX(LookupData!W:W,$AK29))))</f>
        <v/>
      </c>
      <c r="X29" s="7" t="str">
        <f>IF($AK29="","",IF($AK29=0,"",IF(INDEX(LookupData!X:X,$AK29)="","",INDEX(LookupData!X:X,$AK29))))</f>
        <v/>
      </c>
      <c r="Y29" s="7" t="str">
        <f>IF($AK29="","",IF($AK29=0,"",IF(INDEX(LookupData!Y:Y,$AK29)="","",INDEX(LookupData!Y:Y,$AK29))))</f>
        <v/>
      </c>
      <c r="Z29" s="7" t="str">
        <f>IF($AK29="","",IF($AK29=0,"",IF(INDEX(LookupData!Z:Z,$AK29)="","",INDEX(LookupData!Z:Z,$AK29))))</f>
        <v/>
      </c>
      <c r="AA29" s="7" t="str">
        <f>IF($AK29="","",IF($AK29=0,"",IF(INDEX(LookupData!AA:AA,$AK29)="","",INDEX(LookupData!AA:AA,$AK29))))</f>
        <v/>
      </c>
      <c r="AB29" s="7" t="str">
        <f>IF($AK29="","",IF($AK29=0,"",IF(INDEX(LookupData!AB:AB,$AK29)="","",INDEX(LookupData!AB:AB,$AK29))))</f>
        <v/>
      </c>
      <c r="AC29" s="7" t="str">
        <f>IF($AK29="","",IF($AK29=0,"",IF(INDEX(LookupData!AC:AC,$AK29)="","",INDEX(LookupData!AC:AC,$AK29))))</f>
        <v/>
      </c>
      <c r="AD29" s="7" t="str">
        <f>IF($AK29="","",IF($AK29=0,"",IF(INDEX(LookupData!AD:AD,$AK29)="","",INDEX(LookupData!AD:AD,$AK29))))</f>
        <v/>
      </c>
      <c r="AE29" s="7" t="str">
        <f>IF($AK29="","",IF($AK29=0,"",IF(INDEX(LookupData!AE:AE,$AK29)="","",INDEX(LookupData!AE:AE,$AK29))))</f>
        <v/>
      </c>
      <c r="AF29" t="str">
        <f>IF($AK29="","",IF($AK29=0,"",IF(INDEX(LookupData!AF:AF,$AK29)="","",INDEX(LookupData!AF:AF,$AK29))))</f>
        <v/>
      </c>
      <c r="AG29" t="str">
        <f>IF($AK29="","",IF($AK29=0,"",IF(INDEX(LookupData!AG:AG,$AK29)="","",INDEX(LookupData!AG:AG,$AK29))))</f>
        <v/>
      </c>
      <c r="AH29" s="11" t="str">
        <f>IF($AK29="","",IF($AK29=0,"",IF(INDEX(LookupData!AH:AH,$AK29)="","",INDEX(LookupData!AH:AH,$AK29))))</f>
        <v/>
      </c>
      <c r="AI29" s="12" t="str">
        <f>IF($AK29="","",IF($AK29=0,"",IF(INDEX(LookupData!AI:AI,$AK29)="","",HYPERLINK(INDEX(LookupData!AI:AI,$AK29),"Open"))))</f>
        <v/>
      </c>
      <c r="AK29" t="str">
        <f>IF(AL29="","",IFERROR(MATCH(AL29,LookupData!$A:$A,0),0))</f>
        <v/>
      </c>
      <c r="AL29" t="str">
        <f t="shared" si="0"/>
        <v/>
      </c>
      <c r="AM29" t="str">
        <f t="shared" si="1"/>
        <v/>
      </c>
    </row>
    <row r="30" spans="1:41" x14ac:dyDescent="0.2">
      <c r="A30" s="9"/>
      <c r="B30" s="10" t="str">
        <f>IF($AK30="","",IF($AK30=0,"not in the database",IF(INDEX(LookupData!B:B,$AK30)="","",INDEX(LookupData!B:B,$AK30))))</f>
        <v/>
      </c>
      <c r="C30" t="str">
        <f>IF($AK30="","",IF($AK30=0,"",IF(INDEX(LookupData!C:C,$AK30)="","",INDEX(LookupData!C:C,$AK30))))</f>
        <v/>
      </c>
      <c r="D30" t="str">
        <f>IF($AK30="","",IF($AK30=0,"",IF(INDEX(LookupData!D:D,$AK30)="","",INDEX(LookupData!D:D,$AK30))))</f>
        <v/>
      </c>
      <c r="E30" t="str">
        <f>IF($AK30="","",IF($AK30=0,"",IF(INDEX(LookupData!E:E,$AK30)="","",INDEX(LookupData!E:E,$AK30))))</f>
        <v/>
      </c>
      <c r="F30" t="str">
        <f>IF($AK30="","",IF($AK30=0,"",IF(INDEX(LookupData!F:F,$AK30)="","",INDEX(LookupData!F:F,$AK30))))</f>
        <v/>
      </c>
      <c r="G30" t="str">
        <f>IF($AK30="","",IF($AK30=0,"",IF(INDEX(LookupData!G:G,$AK30)="","",INDEX(LookupData!G:G,$AK30))))</f>
        <v/>
      </c>
      <c r="H30" t="str">
        <f>IF($AK30="","",IF($AK30=0,"",IF(INDEX(LookupData!H:H,$AK30)="","",INDEX(LookupData!H:H,$AK30))))</f>
        <v/>
      </c>
      <c r="I30" s="7" t="str">
        <f>IF($AK30="","",IF($AK30=0,"",IF(INDEX(LookupData!I:I,$AK30)="","",INDEX(LookupData!I:I,$AK30))))</f>
        <v/>
      </c>
      <c r="J30" s="7" t="str">
        <f>IF($AK30="","",IF($AK30=0,"",IF(INDEX(LookupData!J:J,$AK30)="","",INDEX(LookupData!J:J,$AK30))))</f>
        <v/>
      </c>
      <c r="K30" s="7" t="str">
        <f>IF($AK30="","",IF($AK30=0,"",IF(INDEX(LookupData!K:K,$AK30)="","",INDEX(LookupData!K:K,$AK30))))</f>
        <v/>
      </c>
      <c r="L30" s="7" t="str">
        <f>IF($AK30="","",IF($AK30=0,"",IF(INDEX(LookupData!L:L,$AK30)="","",INDEX(LookupData!L:L,$AK30))))</f>
        <v/>
      </c>
      <c r="M30" s="7" t="str">
        <f>IF($AK30="","",IF($AK30=0,"",IF(INDEX(LookupData!M:M,$AK30)="","",INDEX(LookupData!M:M,$AK30))))</f>
        <v/>
      </c>
      <c r="N30" s="7" t="str">
        <f>IF($AK30="","",IF($AK30=0,"",IF(INDEX(LookupData!N:N,$AK30)="","",INDEX(LookupData!N:N,$AK30))))</f>
        <v/>
      </c>
      <c r="O30" s="7" t="str">
        <f>IF($AK30="","",IF($AK30=0,"",IF(INDEX(LookupData!O:O,$AK30)="","",INDEX(LookupData!O:O,$AK30))))</f>
        <v/>
      </c>
      <c r="P30" s="7" t="str">
        <f>IF($AK30="","",IF($AK30=0,"",IF(INDEX(LookupData!P:P,$AK30)="","",INDEX(LookupData!P:P,$AK30))))</f>
        <v/>
      </c>
      <c r="Q30" s="7" t="str">
        <f>IF($AK30="","",IF($AK30=0,"",IF(INDEX(LookupData!Q:Q,$AK30)="","",INDEX(LookupData!Q:Q,$AK30))))</f>
        <v/>
      </c>
      <c r="R30" s="7" t="str">
        <f>IF($AK30="","",IF($AK30=0,"",IF(INDEX(LookupData!R:R,$AK30)="","",INDEX(LookupData!R:R,$AK30))))</f>
        <v/>
      </c>
      <c r="S30" s="7" t="str">
        <f>IF($AK30="","",IF($AK30=0,"",IF(INDEX(LookupData!S:S,$AK30)="","",INDEX(LookupData!S:S,$AK30))))</f>
        <v/>
      </c>
      <c r="T30" s="7" t="str">
        <f>IF($AK30="","",IF($AK30=0,"",IF(INDEX(LookupData!T:T,$AK30)="","",INDEX(LookupData!T:T,$AK30))))</f>
        <v/>
      </c>
      <c r="U30" s="7" t="str">
        <f>IF($AK30="","",IF($AK30=0,"",IF(INDEX(LookupData!U:U,$AK30)="","",INDEX(LookupData!U:U,$AK30))))</f>
        <v/>
      </c>
      <c r="V30" s="7" t="str">
        <f>IF($AK30="","",IF($AK30=0,"",IF(INDEX(LookupData!V:V,$AK30)="","",INDEX(LookupData!V:V,$AK30))))</f>
        <v/>
      </c>
      <c r="W30" t="str">
        <f>IF($AK30="","",IF($AK30=0,"",IF(INDEX(LookupData!W:W,$AK30)="","",INDEX(LookupData!W:W,$AK30))))</f>
        <v/>
      </c>
      <c r="X30" s="7" t="str">
        <f>IF($AK30="","",IF($AK30=0,"",IF(INDEX(LookupData!X:X,$AK30)="","",INDEX(LookupData!X:X,$AK30))))</f>
        <v/>
      </c>
      <c r="Y30" s="7" t="str">
        <f>IF($AK30="","",IF($AK30=0,"",IF(INDEX(LookupData!Y:Y,$AK30)="","",INDEX(LookupData!Y:Y,$AK30))))</f>
        <v/>
      </c>
      <c r="Z30" s="7" t="str">
        <f>IF($AK30="","",IF($AK30=0,"",IF(INDEX(LookupData!Z:Z,$AK30)="","",INDEX(LookupData!Z:Z,$AK30))))</f>
        <v/>
      </c>
      <c r="AA30" s="7" t="str">
        <f>IF($AK30="","",IF($AK30=0,"",IF(INDEX(LookupData!AA:AA,$AK30)="","",INDEX(LookupData!AA:AA,$AK30))))</f>
        <v/>
      </c>
      <c r="AB30" s="7" t="str">
        <f>IF($AK30="","",IF($AK30=0,"",IF(INDEX(LookupData!AB:AB,$AK30)="","",INDEX(LookupData!AB:AB,$AK30))))</f>
        <v/>
      </c>
      <c r="AC30" s="7" t="str">
        <f>IF($AK30="","",IF($AK30=0,"",IF(INDEX(LookupData!AC:AC,$AK30)="","",INDEX(LookupData!AC:AC,$AK30))))</f>
        <v/>
      </c>
      <c r="AD30" s="7" t="str">
        <f>IF($AK30="","",IF($AK30=0,"",IF(INDEX(LookupData!AD:AD,$AK30)="","",INDEX(LookupData!AD:AD,$AK30))))</f>
        <v/>
      </c>
      <c r="AE30" s="7" t="str">
        <f>IF($AK30="","",IF($AK30=0,"",IF(INDEX(LookupData!AE:AE,$AK30)="","",INDEX(LookupData!AE:AE,$AK30))))</f>
        <v/>
      </c>
      <c r="AF30" t="str">
        <f>IF($AK30="","",IF($AK30=0,"",IF(INDEX(LookupData!AF:AF,$AK30)="","",INDEX(LookupData!AF:AF,$AK30))))</f>
        <v/>
      </c>
      <c r="AG30" t="str">
        <f>IF($AK30="","",IF($AK30=0,"",IF(INDEX(LookupData!AG:AG,$AK30)="","",INDEX(LookupData!AG:AG,$AK30))))</f>
        <v/>
      </c>
      <c r="AH30" s="11" t="str">
        <f>IF($AK30="","",IF($AK30=0,"",IF(INDEX(LookupData!AH:AH,$AK30)="","",INDEX(LookupData!AH:AH,$AK30))))</f>
        <v/>
      </c>
      <c r="AI30" s="12" t="str">
        <f>IF($AK30="","",IF($AK30=0,"",IF(INDEX(LookupData!AI:AI,$AK30)="","",HYPERLINK(INDEX(LookupData!AI:AI,$AK30),"Open"))))</f>
        <v/>
      </c>
      <c r="AK30" t="str">
        <f>IF(AL30="","",IFERROR(MATCH(AL30,LookupData!$A:$A,0),0))</f>
        <v/>
      </c>
      <c r="AL30" t="str">
        <f t="shared" si="0"/>
        <v/>
      </c>
      <c r="AM30" t="str">
        <f t="shared" si="1"/>
        <v/>
      </c>
    </row>
    <row r="31" spans="1:41" x14ac:dyDescent="0.2">
      <c r="A31" s="9"/>
      <c r="B31" s="10" t="str">
        <f>IF($AK31="","",IF($AK31=0,"not in the database",IF(INDEX(LookupData!B:B,$AK31)="","",INDEX(LookupData!B:B,$AK31))))</f>
        <v/>
      </c>
      <c r="C31" t="str">
        <f>IF($AK31="","",IF($AK31=0,"",IF(INDEX(LookupData!C:C,$AK31)="","",INDEX(LookupData!C:C,$AK31))))</f>
        <v/>
      </c>
      <c r="D31" t="str">
        <f>IF($AK31="","",IF($AK31=0,"",IF(INDEX(LookupData!D:D,$AK31)="","",INDEX(LookupData!D:D,$AK31))))</f>
        <v/>
      </c>
      <c r="E31" t="str">
        <f>IF($AK31="","",IF($AK31=0,"",IF(INDEX(LookupData!E:E,$AK31)="","",INDEX(LookupData!E:E,$AK31))))</f>
        <v/>
      </c>
      <c r="F31" t="str">
        <f>IF($AK31="","",IF($AK31=0,"",IF(INDEX(LookupData!F:F,$AK31)="","",INDEX(LookupData!F:F,$AK31))))</f>
        <v/>
      </c>
      <c r="G31" t="str">
        <f>IF($AK31="","",IF($AK31=0,"",IF(INDEX(LookupData!G:G,$AK31)="","",INDEX(LookupData!G:G,$AK31))))</f>
        <v/>
      </c>
      <c r="H31" t="str">
        <f>IF($AK31="","",IF($AK31=0,"",IF(INDEX(LookupData!H:H,$AK31)="","",INDEX(LookupData!H:H,$AK31))))</f>
        <v/>
      </c>
      <c r="I31" s="7" t="str">
        <f>IF($AK31="","",IF($AK31=0,"",IF(INDEX(LookupData!I:I,$AK31)="","",INDEX(LookupData!I:I,$AK31))))</f>
        <v/>
      </c>
      <c r="J31" s="7" t="str">
        <f>IF($AK31="","",IF($AK31=0,"",IF(INDEX(LookupData!J:J,$AK31)="","",INDEX(LookupData!J:J,$AK31))))</f>
        <v/>
      </c>
      <c r="K31" s="7" t="str">
        <f>IF($AK31="","",IF($AK31=0,"",IF(INDEX(LookupData!K:K,$AK31)="","",INDEX(LookupData!K:K,$AK31))))</f>
        <v/>
      </c>
      <c r="L31" s="7" t="str">
        <f>IF($AK31="","",IF($AK31=0,"",IF(INDEX(LookupData!L:L,$AK31)="","",INDEX(LookupData!L:L,$AK31))))</f>
        <v/>
      </c>
      <c r="M31" s="7" t="str">
        <f>IF($AK31="","",IF($AK31=0,"",IF(INDEX(LookupData!M:M,$AK31)="","",INDEX(LookupData!M:M,$AK31))))</f>
        <v/>
      </c>
      <c r="N31" s="7" t="str">
        <f>IF($AK31="","",IF($AK31=0,"",IF(INDEX(LookupData!N:N,$AK31)="","",INDEX(LookupData!N:N,$AK31))))</f>
        <v/>
      </c>
      <c r="O31" s="7" t="str">
        <f>IF($AK31="","",IF($AK31=0,"",IF(INDEX(LookupData!O:O,$AK31)="","",INDEX(LookupData!O:O,$AK31))))</f>
        <v/>
      </c>
      <c r="P31" s="7" t="str">
        <f>IF($AK31="","",IF($AK31=0,"",IF(INDEX(LookupData!P:P,$AK31)="","",INDEX(LookupData!P:P,$AK31))))</f>
        <v/>
      </c>
      <c r="Q31" s="7" t="str">
        <f>IF($AK31="","",IF($AK31=0,"",IF(INDEX(LookupData!Q:Q,$AK31)="","",INDEX(LookupData!Q:Q,$AK31))))</f>
        <v/>
      </c>
      <c r="R31" s="7" t="str">
        <f>IF($AK31="","",IF($AK31=0,"",IF(INDEX(LookupData!R:R,$AK31)="","",INDEX(LookupData!R:R,$AK31))))</f>
        <v/>
      </c>
      <c r="S31" s="7" t="str">
        <f>IF($AK31="","",IF($AK31=0,"",IF(INDEX(LookupData!S:S,$AK31)="","",INDEX(LookupData!S:S,$AK31))))</f>
        <v/>
      </c>
      <c r="T31" s="7" t="str">
        <f>IF($AK31="","",IF($AK31=0,"",IF(INDEX(LookupData!T:T,$AK31)="","",INDEX(LookupData!T:T,$AK31))))</f>
        <v/>
      </c>
      <c r="U31" s="7" t="str">
        <f>IF($AK31="","",IF($AK31=0,"",IF(INDEX(LookupData!U:U,$AK31)="","",INDEX(LookupData!U:U,$AK31))))</f>
        <v/>
      </c>
      <c r="V31" s="7" t="str">
        <f>IF($AK31="","",IF($AK31=0,"",IF(INDEX(LookupData!V:V,$AK31)="","",INDEX(LookupData!V:V,$AK31))))</f>
        <v/>
      </c>
      <c r="W31" t="str">
        <f>IF($AK31="","",IF($AK31=0,"",IF(INDEX(LookupData!W:W,$AK31)="","",INDEX(LookupData!W:W,$AK31))))</f>
        <v/>
      </c>
      <c r="X31" s="7" t="str">
        <f>IF($AK31="","",IF($AK31=0,"",IF(INDEX(LookupData!X:X,$AK31)="","",INDEX(LookupData!X:X,$AK31))))</f>
        <v/>
      </c>
      <c r="Y31" s="7" t="str">
        <f>IF($AK31="","",IF($AK31=0,"",IF(INDEX(LookupData!Y:Y,$AK31)="","",INDEX(LookupData!Y:Y,$AK31))))</f>
        <v/>
      </c>
      <c r="Z31" s="7" t="str">
        <f>IF($AK31="","",IF($AK31=0,"",IF(INDEX(LookupData!Z:Z,$AK31)="","",INDEX(LookupData!Z:Z,$AK31))))</f>
        <v/>
      </c>
      <c r="AA31" s="7" t="str">
        <f>IF($AK31="","",IF($AK31=0,"",IF(INDEX(LookupData!AA:AA,$AK31)="","",INDEX(LookupData!AA:AA,$AK31))))</f>
        <v/>
      </c>
      <c r="AB31" s="7" t="str">
        <f>IF($AK31="","",IF($AK31=0,"",IF(INDEX(LookupData!AB:AB,$AK31)="","",INDEX(LookupData!AB:AB,$AK31))))</f>
        <v/>
      </c>
      <c r="AC31" s="7" t="str">
        <f>IF($AK31="","",IF($AK31=0,"",IF(INDEX(LookupData!AC:AC,$AK31)="","",INDEX(LookupData!AC:AC,$AK31))))</f>
        <v/>
      </c>
      <c r="AD31" s="7" t="str">
        <f>IF($AK31="","",IF($AK31=0,"",IF(INDEX(LookupData!AD:AD,$AK31)="","",INDEX(LookupData!AD:AD,$AK31))))</f>
        <v/>
      </c>
      <c r="AE31" s="7" t="str">
        <f>IF($AK31="","",IF($AK31=0,"",IF(INDEX(LookupData!AE:AE,$AK31)="","",INDEX(LookupData!AE:AE,$AK31))))</f>
        <v/>
      </c>
      <c r="AF31" t="str">
        <f>IF($AK31="","",IF($AK31=0,"",IF(INDEX(LookupData!AF:AF,$AK31)="","",INDEX(LookupData!AF:AF,$AK31))))</f>
        <v/>
      </c>
      <c r="AG31" t="str">
        <f>IF($AK31="","",IF($AK31=0,"",IF(INDEX(LookupData!AG:AG,$AK31)="","",INDEX(LookupData!AG:AG,$AK31))))</f>
        <v/>
      </c>
      <c r="AH31" s="11" t="str">
        <f>IF($AK31="","",IF($AK31=0,"",IF(INDEX(LookupData!AH:AH,$AK31)="","",INDEX(LookupData!AH:AH,$AK31))))</f>
        <v/>
      </c>
      <c r="AI31" s="12" t="str">
        <f>IF($AK31="","",IF($AK31=0,"",IF(INDEX(LookupData!AI:AI,$AK31)="","",HYPERLINK(INDEX(LookupData!AI:AI,$AK31),"Open"))))</f>
        <v/>
      </c>
      <c r="AK31" t="str">
        <f>IF(AL31="","",IFERROR(MATCH(AL31,LookupData!$A:$A,0),0))</f>
        <v/>
      </c>
      <c r="AL31" t="str">
        <f t="shared" si="0"/>
        <v/>
      </c>
      <c r="AM31" t="str">
        <f t="shared" si="1"/>
        <v/>
      </c>
    </row>
    <row r="32" spans="1:41" x14ac:dyDescent="0.2">
      <c r="A32" s="9"/>
      <c r="B32" s="10" t="str">
        <f>IF($AK32="","",IF($AK32=0,"not in the database",IF(INDEX(LookupData!B:B,$AK32)="","",INDEX(LookupData!B:B,$AK32))))</f>
        <v/>
      </c>
      <c r="C32" t="str">
        <f>IF($AK32="","",IF($AK32=0,"",IF(INDEX(LookupData!C:C,$AK32)="","",INDEX(LookupData!C:C,$AK32))))</f>
        <v/>
      </c>
      <c r="D32" t="str">
        <f>IF($AK32="","",IF($AK32=0,"",IF(INDEX(LookupData!D:D,$AK32)="","",INDEX(LookupData!D:D,$AK32))))</f>
        <v/>
      </c>
      <c r="E32" t="str">
        <f>IF($AK32="","",IF($AK32=0,"",IF(INDEX(LookupData!E:E,$AK32)="","",INDEX(LookupData!E:E,$AK32))))</f>
        <v/>
      </c>
      <c r="F32" t="str">
        <f>IF($AK32="","",IF($AK32=0,"",IF(INDEX(LookupData!F:F,$AK32)="","",INDEX(LookupData!F:F,$AK32))))</f>
        <v/>
      </c>
      <c r="G32" t="str">
        <f>IF($AK32="","",IF($AK32=0,"",IF(INDEX(LookupData!G:G,$AK32)="","",INDEX(LookupData!G:G,$AK32))))</f>
        <v/>
      </c>
      <c r="H32" t="str">
        <f>IF($AK32="","",IF($AK32=0,"",IF(INDEX(LookupData!H:H,$AK32)="","",INDEX(LookupData!H:H,$AK32))))</f>
        <v/>
      </c>
      <c r="I32" s="7" t="str">
        <f>IF($AK32="","",IF($AK32=0,"",IF(INDEX(LookupData!I:I,$AK32)="","",INDEX(LookupData!I:I,$AK32))))</f>
        <v/>
      </c>
      <c r="J32" s="7" t="str">
        <f>IF($AK32="","",IF($AK32=0,"",IF(INDEX(LookupData!J:J,$AK32)="","",INDEX(LookupData!J:J,$AK32))))</f>
        <v/>
      </c>
      <c r="K32" s="7" t="str">
        <f>IF($AK32="","",IF($AK32=0,"",IF(INDEX(LookupData!K:K,$AK32)="","",INDEX(LookupData!K:K,$AK32))))</f>
        <v/>
      </c>
      <c r="L32" s="7" t="str">
        <f>IF($AK32="","",IF($AK32=0,"",IF(INDEX(LookupData!L:L,$AK32)="","",INDEX(LookupData!L:L,$AK32))))</f>
        <v/>
      </c>
      <c r="M32" s="7" t="str">
        <f>IF($AK32="","",IF($AK32=0,"",IF(INDEX(LookupData!M:M,$AK32)="","",INDEX(LookupData!M:M,$AK32))))</f>
        <v/>
      </c>
      <c r="N32" s="7" t="str">
        <f>IF($AK32="","",IF($AK32=0,"",IF(INDEX(LookupData!N:N,$AK32)="","",INDEX(LookupData!N:N,$AK32))))</f>
        <v/>
      </c>
      <c r="O32" s="7" t="str">
        <f>IF($AK32="","",IF($AK32=0,"",IF(INDEX(LookupData!O:O,$AK32)="","",INDEX(LookupData!O:O,$AK32))))</f>
        <v/>
      </c>
      <c r="P32" s="7" t="str">
        <f>IF($AK32="","",IF($AK32=0,"",IF(INDEX(LookupData!P:P,$AK32)="","",INDEX(LookupData!P:P,$AK32))))</f>
        <v/>
      </c>
      <c r="Q32" s="7" t="str">
        <f>IF($AK32="","",IF($AK32=0,"",IF(INDEX(LookupData!Q:Q,$AK32)="","",INDEX(LookupData!Q:Q,$AK32))))</f>
        <v/>
      </c>
      <c r="R32" s="7" t="str">
        <f>IF($AK32="","",IF($AK32=0,"",IF(INDEX(LookupData!R:R,$AK32)="","",INDEX(LookupData!R:R,$AK32))))</f>
        <v/>
      </c>
      <c r="S32" s="7" t="str">
        <f>IF($AK32="","",IF($AK32=0,"",IF(INDEX(LookupData!S:S,$AK32)="","",INDEX(LookupData!S:S,$AK32))))</f>
        <v/>
      </c>
      <c r="T32" s="7" t="str">
        <f>IF($AK32="","",IF($AK32=0,"",IF(INDEX(LookupData!T:T,$AK32)="","",INDEX(LookupData!T:T,$AK32))))</f>
        <v/>
      </c>
      <c r="U32" s="7" t="str">
        <f>IF($AK32="","",IF($AK32=0,"",IF(INDEX(LookupData!U:U,$AK32)="","",INDEX(LookupData!U:U,$AK32))))</f>
        <v/>
      </c>
      <c r="V32" s="7" t="str">
        <f>IF($AK32="","",IF($AK32=0,"",IF(INDEX(LookupData!V:V,$AK32)="","",INDEX(LookupData!V:V,$AK32))))</f>
        <v/>
      </c>
      <c r="W32" t="str">
        <f>IF($AK32="","",IF($AK32=0,"",IF(INDEX(LookupData!W:W,$AK32)="","",INDEX(LookupData!W:W,$AK32))))</f>
        <v/>
      </c>
      <c r="X32" s="7" t="str">
        <f>IF($AK32="","",IF($AK32=0,"",IF(INDEX(LookupData!X:X,$AK32)="","",INDEX(LookupData!X:X,$AK32))))</f>
        <v/>
      </c>
      <c r="Y32" s="7" t="str">
        <f>IF($AK32="","",IF($AK32=0,"",IF(INDEX(LookupData!Y:Y,$AK32)="","",INDEX(LookupData!Y:Y,$AK32))))</f>
        <v/>
      </c>
      <c r="Z32" s="7" t="str">
        <f>IF($AK32="","",IF($AK32=0,"",IF(INDEX(LookupData!Z:Z,$AK32)="","",INDEX(LookupData!Z:Z,$AK32))))</f>
        <v/>
      </c>
      <c r="AA32" s="7" t="str">
        <f>IF($AK32="","",IF($AK32=0,"",IF(INDEX(LookupData!AA:AA,$AK32)="","",INDEX(LookupData!AA:AA,$AK32))))</f>
        <v/>
      </c>
      <c r="AB32" s="7" t="str">
        <f>IF($AK32="","",IF($AK32=0,"",IF(INDEX(LookupData!AB:AB,$AK32)="","",INDEX(LookupData!AB:AB,$AK32))))</f>
        <v/>
      </c>
      <c r="AC32" s="7" t="str">
        <f>IF($AK32="","",IF($AK32=0,"",IF(INDEX(LookupData!AC:AC,$AK32)="","",INDEX(LookupData!AC:AC,$AK32))))</f>
        <v/>
      </c>
      <c r="AD32" s="7" t="str">
        <f>IF($AK32="","",IF($AK32=0,"",IF(INDEX(LookupData!AD:AD,$AK32)="","",INDEX(LookupData!AD:AD,$AK32))))</f>
        <v/>
      </c>
      <c r="AE32" s="7" t="str">
        <f>IF($AK32="","",IF($AK32=0,"",IF(INDEX(LookupData!AE:AE,$AK32)="","",INDEX(LookupData!AE:AE,$AK32))))</f>
        <v/>
      </c>
      <c r="AF32" t="str">
        <f>IF($AK32="","",IF($AK32=0,"",IF(INDEX(LookupData!AF:AF,$AK32)="","",INDEX(LookupData!AF:AF,$AK32))))</f>
        <v/>
      </c>
      <c r="AG32" t="str">
        <f>IF($AK32="","",IF($AK32=0,"",IF(INDEX(LookupData!AG:AG,$AK32)="","",INDEX(LookupData!AG:AG,$AK32))))</f>
        <v/>
      </c>
      <c r="AH32" s="11" t="str">
        <f>IF($AK32="","",IF($AK32=0,"",IF(INDEX(LookupData!AH:AH,$AK32)="","",INDEX(LookupData!AH:AH,$AK32))))</f>
        <v/>
      </c>
      <c r="AI32" s="12" t="str">
        <f>IF($AK32="","",IF($AK32=0,"",IF(INDEX(LookupData!AI:AI,$AK32)="","",HYPERLINK(INDEX(LookupData!AI:AI,$AK32),"Open"))))</f>
        <v/>
      </c>
      <c r="AK32" t="str">
        <f>IF(AL32="","",IFERROR(MATCH(AL32,LookupData!$A:$A,0),0))</f>
        <v/>
      </c>
      <c r="AL32" t="str">
        <f t="shared" si="0"/>
        <v/>
      </c>
      <c r="AM32" t="str">
        <f t="shared" si="1"/>
        <v/>
      </c>
    </row>
    <row r="33" spans="1:39" x14ac:dyDescent="0.2">
      <c r="A33" s="9"/>
      <c r="B33" s="10" t="str">
        <f>IF($AK33="","",IF($AK33=0,"not in the database",IF(INDEX(LookupData!B:B,$AK33)="","",INDEX(LookupData!B:B,$AK33))))</f>
        <v/>
      </c>
      <c r="C33" t="str">
        <f>IF($AK33="","",IF($AK33=0,"",IF(INDEX(LookupData!C:C,$AK33)="","",INDEX(LookupData!C:C,$AK33))))</f>
        <v/>
      </c>
      <c r="D33" t="str">
        <f>IF($AK33="","",IF($AK33=0,"",IF(INDEX(LookupData!D:D,$AK33)="","",INDEX(LookupData!D:D,$AK33))))</f>
        <v/>
      </c>
      <c r="E33" t="str">
        <f>IF($AK33="","",IF($AK33=0,"",IF(INDEX(LookupData!E:E,$AK33)="","",INDEX(LookupData!E:E,$AK33))))</f>
        <v/>
      </c>
      <c r="F33" t="str">
        <f>IF($AK33="","",IF($AK33=0,"",IF(INDEX(LookupData!F:F,$AK33)="","",INDEX(LookupData!F:F,$AK33))))</f>
        <v/>
      </c>
      <c r="G33" t="str">
        <f>IF($AK33="","",IF($AK33=0,"",IF(INDEX(LookupData!G:G,$AK33)="","",INDEX(LookupData!G:G,$AK33))))</f>
        <v/>
      </c>
      <c r="H33" t="str">
        <f>IF($AK33="","",IF($AK33=0,"",IF(INDEX(LookupData!H:H,$AK33)="","",INDEX(LookupData!H:H,$AK33))))</f>
        <v/>
      </c>
      <c r="I33" s="7" t="str">
        <f>IF($AK33="","",IF($AK33=0,"",IF(INDEX(LookupData!I:I,$AK33)="","",INDEX(LookupData!I:I,$AK33))))</f>
        <v/>
      </c>
      <c r="J33" s="7" t="str">
        <f>IF($AK33="","",IF($AK33=0,"",IF(INDEX(LookupData!J:J,$AK33)="","",INDEX(LookupData!J:J,$AK33))))</f>
        <v/>
      </c>
      <c r="K33" s="7" t="str">
        <f>IF($AK33="","",IF($AK33=0,"",IF(INDEX(LookupData!K:K,$AK33)="","",INDEX(LookupData!K:K,$AK33))))</f>
        <v/>
      </c>
      <c r="L33" s="7" t="str">
        <f>IF($AK33="","",IF($AK33=0,"",IF(INDEX(LookupData!L:L,$AK33)="","",INDEX(LookupData!L:L,$AK33))))</f>
        <v/>
      </c>
      <c r="M33" s="7" t="str">
        <f>IF($AK33="","",IF($AK33=0,"",IF(INDEX(LookupData!M:M,$AK33)="","",INDEX(LookupData!M:M,$AK33))))</f>
        <v/>
      </c>
      <c r="N33" s="7" t="str">
        <f>IF($AK33="","",IF($AK33=0,"",IF(INDEX(LookupData!N:N,$AK33)="","",INDEX(LookupData!N:N,$AK33))))</f>
        <v/>
      </c>
      <c r="O33" s="7" t="str">
        <f>IF($AK33="","",IF($AK33=0,"",IF(INDEX(LookupData!O:O,$AK33)="","",INDEX(LookupData!O:O,$AK33))))</f>
        <v/>
      </c>
      <c r="P33" s="7" t="str">
        <f>IF($AK33="","",IF($AK33=0,"",IF(INDEX(LookupData!P:P,$AK33)="","",INDEX(LookupData!P:P,$AK33))))</f>
        <v/>
      </c>
      <c r="Q33" s="7" t="str">
        <f>IF($AK33="","",IF($AK33=0,"",IF(INDEX(LookupData!Q:Q,$AK33)="","",INDEX(LookupData!Q:Q,$AK33))))</f>
        <v/>
      </c>
      <c r="R33" s="7" t="str">
        <f>IF($AK33="","",IF($AK33=0,"",IF(INDEX(LookupData!R:R,$AK33)="","",INDEX(LookupData!R:R,$AK33))))</f>
        <v/>
      </c>
      <c r="S33" s="7" t="str">
        <f>IF($AK33="","",IF($AK33=0,"",IF(INDEX(LookupData!S:S,$AK33)="","",INDEX(LookupData!S:S,$AK33))))</f>
        <v/>
      </c>
      <c r="T33" s="7" t="str">
        <f>IF($AK33="","",IF($AK33=0,"",IF(INDEX(LookupData!T:T,$AK33)="","",INDEX(LookupData!T:T,$AK33))))</f>
        <v/>
      </c>
      <c r="U33" s="7" t="str">
        <f>IF($AK33="","",IF($AK33=0,"",IF(INDEX(LookupData!U:U,$AK33)="","",INDEX(LookupData!U:U,$AK33))))</f>
        <v/>
      </c>
      <c r="V33" s="7" t="str">
        <f>IF($AK33="","",IF($AK33=0,"",IF(INDEX(LookupData!V:V,$AK33)="","",INDEX(LookupData!V:V,$AK33))))</f>
        <v/>
      </c>
      <c r="W33" t="str">
        <f>IF($AK33="","",IF($AK33=0,"",IF(INDEX(LookupData!W:W,$AK33)="","",INDEX(LookupData!W:W,$AK33))))</f>
        <v/>
      </c>
      <c r="X33" s="7" t="str">
        <f>IF($AK33="","",IF($AK33=0,"",IF(INDEX(LookupData!X:X,$AK33)="","",INDEX(LookupData!X:X,$AK33))))</f>
        <v/>
      </c>
      <c r="Y33" s="7" t="str">
        <f>IF($AK33="","",IF($AK33=0,"",IF(INDEX(LookupData!Y:Y,$AK33)="","",INDEX(LookupData!Y:Y,$AK33))))</f>
        <v/>
      </c>
      <c r="Z33" s="7" t="str">
        <f>IF($AK33="","",IF($AK33=0,"",IF(INDEX(LookupData!Z:Z,$AK33)="","",INDEX(LookupData!Z:Z,$AK33))))</f>
        <v/>
      </c>
      <c r="AA33" s="7" t="str">
        <f>IF($AK33="","",IF($AK33=0,"",IF(INDEX(LookupData!AA:AA,$AK33)="","",INDEX(LookupData!AA:AA,$AK33))))</f>
        <v/>
      </c>
      <c r="AB33" s="7" t="str">
        <f>IF($AK33="","",IF($AK33=0,"",IF(INDEX(LookupData!AB:AB,$AK33)="","",INDEX(LookupData!AB:AB,$AK33))))</f>
        <v/>
      </c>
      <c r="AC33" s="7" t="str">
        <f>IF($AK33="","",IF($AK33=0,"",IF(INDEX(LookupData!AC:AC,$AK33)="","",INDEX(LookupData!AC:AC,$AK33))))</f>
        <v/>
      </c>
      <c r="AD33" s="7" t="str">
        <f>IF($AK33="","",IF($AK33=0,"",IF(INDEX(LookupData!AD:AD,$AK33)="","",INDEX(LookupData!AD:AD,$AK33))))</f>
        <v/>
      </c>
      <c r="AE33" s="7" t="str">
        <f>IF($AK33="","",IF($AK33=0,"",IF(INDEX(LookupData!AE:AE,$AK33)="","",INDEX(LookupData!AE:AE,$AK33))))</f>
        <v/>
      </c>
      <c r="AF33" t="str">
        <f>IF($AK33="","",IF($AK33=0,"",IF(INDEX(LookupData!AF:AF,$AK33)="","",INDEX(LookupData!AF:AF,$AK33))))</f>
        <v/>
      </c>
      <c r="AG33" t="str">
        <f>IF($AK33="","",IF($AK33=0,"",IF(INDEX(LookupData!AG:AG,$AK33)="","",INDEX(LookupData!AG:AG,$AK33))))</f>
        <v/>
      </c>
      <c r="AH33" s="11" t="str">
        <f>IF($AK33="","",IF($AK33=0,"",IF(INDEX(LookupData!AH:AH,$AK33)="","",INDEX(LookupData!AH:AH,$AK33))))</f>
        <v/>
      </c>
      <c r="AI33" s="12" t="str">
        <f>IF($AK33="","",IF($AK33=0,"",IF(INDEX(LookupData!AI:AI,$AK33)="","",HYPERLINK(INDEX(LookupData!AI:AI,$AK33),"Open"))))</f>
        <v/>
      </c>
      <c r="AK33" t="str">
        <f>IF(AL33="","",IFERROR(MATCH(AL33,LookupData!$A:$A,0),0))</f>
        <v/>
      </c>
      <c r="AL33" t="str">
        <f t="shared" si="0"/>
        <v/>
      </c>
      <c r="AM33" t="str">
        <f t="shared" si="1"/>
        <v/>
      </c>
    </row>
    <row r="34" spans="1:39" x14ac:dyDescent="0.2">
      <c r="A34" s="9"/>
      <c r="B34" s="10" t="str">
        <f>IF($AK34="","",IF($AK34=0,"not in the database",IF(INDEX(LookupData!B:B,$AK34)="","",INDEX(LookupData!B:B,$AK34))))</f>
        <v/>
      </c>
      <c r="C34" t="str">
        <f>IF($AK34="","",IF($AK34=0,"",IF(INDEX(LookupData!C:C,$AK34)="","",INDEX(LookupData!C:C,$AK34))))</f>
        <v/>
      </c>
      <c r="D34" t="str">
        <f>IF($AK34="","",IF($AK34=0,"",IF(INDEX(LookupData!D:D,$AK34)="","",INDEX(LookupData!D:D,$AK34))))</f>
        <v/>
      </c>
      <c r="E34" t="str">
        <f>IF($AK34="","",IF($AK34=0,"",IF(INDEX(LookupData!E:E,$AK34)="","",INDEX(LookupData!E:E,$AK34))))</f>
        <v/>
      </c>
      <c r="F34" t="str">
        <f>IF($AK34="","",IF($AK34=0,"",IF(INDEX(LookupData!F:F,$AK34)="","",INDEX(LookupData!F:F,$AK34))))</f>
        <v/>
      </c>
      <c r="G34" t="str">
        <f>IF($AK34="","",IF($AK34=0,"",IF(INDEX(LookupData!G:G,$AK34)="","",INDEX(LookupData!G:G,$AK34))))</f>
        <v/>
      </c>
      <c r="H34" t="str">
        <f>IF($AK34="","",IF($AK34=0,"",IF(INDEX(LookupData!H:H,$AK34)="","",INDEX(LookupData!H:H,$AK34))))</f>
        <v/>
      </c>
      <c r="I34" s="7" t="str">
        <f>IF($AK34="","",IF($AK34=0,"",IF(INDEX(LookupData!I:I,$AK34)="","",INDEX(LookupData!I:I,$AK34))))</f>
        <v/>
      </c>
      <c r="J34" s="7" t="str">
        <f>IF($AK34="","",IF($AK34=0,"",IF(INDEX(LookupData!J:J,$AK34)="","",INDEX(LookupData!J:J,$AK34))))</f>
        <v/>
      </c>
      <c r="K34" s="7" t="str">
        <f>IF($AK34="","",IF($AK34=0,"",IF(INDEX(LookupData!K:K,$AK34)="","",INDEX(LookupData!K:K,$AK34))))</f>
        <v/>
      </c>
      <c r="L34" s="7" t="str">
        <f>IF($AK34="","",IF($AK34=0,"",IF(INDEX(LookupData!L:L,$AK34)="","",INDEX(LookupData!L:L,$AK34))))</f>
        <v/>
      </c>
      <c r="M34" s="7" t="str">
        <f>IF($AK34="","",IF($AK34=0,"",IF(INDEX(LookupData!M:M,$AK34)="","",INDEX(LookupData!M:M,$AK34))))</f>
        <v/>
      </c>
      <c r="N34" s="7" t="str">
        <f>IF($AK34="","",IF($AK34=0,"",IF(INDEX(LookupData!N:N,$AK34)="","",INDEX(LookupData!N:N,$AK34))))</f>
        <v/>
      </c>
      <c r="O34" s="7" t="str">
        <f>IF($AK34="","",IF($AK34=0,"",IF(INDEX(LookupData!O:O,$AK34)="","",INDEX(LookupData!O:O,$AK34))))</f>
        <v/>
      </c>
      <c r="P34" s="7" t="str">
        <f>IF($AK34="","",IF($AK34=0,"",IF(INDEX(LookupData!P:P,$AK34)="","",INDEX(LookupData!P:P,$AK34))))</f>
        <v/>
      </c>
      <c r="Q34" s="7" t="str">
        <f>IF($AK34="","",IF($AK34=0,"",IF(INDEX(LookupData!Q:Q,$AK34)="","",INDEX(LookupData!Q:Q,$AK34))))</f>
        <v/>
      </c>
      <c r="R34" s="7" t="str">
        <f>IF($AK34="","",IF($AK34=0,"",IF(INDEX(LookupData!R:R,$AK34)="","",INDEX(LookupData!R:R,$AK34))))</f>
        <v/>
      </c>
      <c r="S34" s="7" t="str">
        <f>IF($AK34="","",IF($AK34=0,"",IF(INDEX(LookupData!S:S,$AK34)="","",INDEX(LookupData!S:S,$AK34))))</f>
        <v/>
      </c>
      <c r="T34" s="7" t="str">
        <f>IF($AK34="","",IF($AK34=0,"",IF(INDEX(LookupData!T:T,$AK34)="","",INDEX(LookupData!T:T,$AK34))))</f>
        <v/>
      </c>
      <c r="U34" s="7" t="str">
        <f>IF($AK34="","",IF($AK34=0,"",IF(INDEX(LookupData!U:U,$AK34)="","",INDEX(LookupData!U:U,$AK34))))</f>
        <v/>
      </c>
      <c r="V34" s="7" t="str">
        <f>IF($AK34="","",IF($AK34=0,"",IF(INDEX(LookupData!V:V,$AK34)="","",INDEX(LookupData!V:V,$AK34))))</f>
        <v/>
      </c>
      <c r="W34" t="str">
        <f>IF($AK34="","",IF($AK34=0,"",IF(INDEX(LookupData!W:W,$AK34)="","",INDEX(LookupData!W:W,$AK34))))</f>
        <v/>
      </c>
      <c r="X34" s="7" t="str">
        <f>IF($AK34="","",IF($AK34=0,"",IF(INDEX(LookupData!X:X,$AK34)="","",INDEX(LookupData!X:X,$AK34))))</f>
        <v/>
      </c>
      <c r="Y34" s="7" t="str">
        <f>IF($AK34="","",IF($AK34=0,"",IF(INDEX(LookupData!Y:Y,$AK34)="","",INDEX(LookupData!Y:Y,$AK34))))</f>
        <v/>
      </c>
      <c r="Z34" s="7" t="str">
        <f>IF($AK34="","",IF($AK34=0,"",IF(INDEX(LookupData!Z:Z,$AK34)="","",INDEX(LookupData!Z:Z,$AK34))))</f>
        <v/>
      </c>
      <c r="AA34" s="7" t="str">
        <f>IF($AK34="","",IF($AK34=0,"",IF(INDEX(LookupData!AA:AA,$AK34)="","",INDEX(LookupData!AA:AA,$AK34))))</f>
        <v/>
      </c>
      <c r="AB34" s="7" t="str">
        <f>IF($AK34="","",IF($AK34=0,"",IF(INDEX(LookupData!AB:AB,$AK34)="","",INDEX(LookupData!AB:AB,$AK34))))</f>
        <v/>
      </c>
      <c r="AC34" s="7" t="str">
        <f>IF($AK34="","",IF($AK34=0,"",IF(INDEX(LookupData!AC:AC,$AK34)="","",INDEX(LookupData!AC:AC,$AK34))))</f>
        <v/>
      </c>
      <c r="AD34" s="7" t="str">
        <f>IF($AK34="","",IF($AK34=0,"",IF(INDEX(LookupData!AD:AD,$AK34)="","",INDEX(LookupData!AD:AD,$AK34))))</f>
        <v/>
      </c>
      <c r="AE34" s="7" t="str">
        <f>IF($AK34="","",IF($AK34=0,"",IF(INDEX(LookupData!AE:AE,$AK34)="","",INDEX(LookupData!AE:AE,$AK34))))</f>
        <v/>
      </c>
      <c r="AF34" t="str">
        <f>IF($AK34="","",IF($AK34=0,"",IF(INDEX(LookupData!AF:AF,$AK34)="","",INDEX(LookupData!AF:AF,$AK34))))</f>
        <v/>
      </c>
      <c r="AG34" t="str">
        <f>IF($AK34="","",IF($AK34=0,"",IF(INDEX(LookupData!AG:AG,$AK34)="","",INDEX(LookupData!AG:AG,$AK34))))</f>
        <v/>
      </c>
      <c r="AH34" s="11" t="str">
        <f>IF($AK34="","",IF($AK34=0,"",IF(INDEX(LookupData!AH:AH,$AK34)="","",INDEX(LookupData!AH:AH,$AK34))))</f>
        <v/>
      </c>
      <c r="AI34" s="12" t="str">
        <f>IF($AK34="","",IF($AK34=0,"",IF(INDEX(LookupData!AI:AI,$AK34)="","",HYPERLINK(INDEX(LookupData!AI:AI,$AK34),"Open"))))</f>
        <v/>
      </c>
      <c r="AK34" t="str">
        <f>IF(AL34="","",IFERROR(MATCH(AL34,LookupData!$A:$A,0),0))</f>
        <v/>
      </c>
      <c r="AL34" t="str">
        <f t="shared" ref="AL34:AL65" si="2">IF(TRIM($A34)="","",UPPER(TRIM($A34)))</f>
        <v/>
      </c>
      <c r="AM34" t="str">
        <f t="shared" si="1"/>
        <v/>
      </c>
    </row>
    <row r="35" spans="1:39" x14ac:dyDescent="0.2">
      <c r="A35" s="9"/>
      <c r="B35" s="10" t="str">
        <f>IF($AK35="","",IF($AK35=0,"not in the database",IF(INDEX(LookupData!B:B,$AK35)="","",INDEX(LookupData!B:B,$AK35))))</f>
        <v/>
      </c>
      <c r="C35" t="str">
        <f>IF($AK35="","",IF($AK35=0,"",IF(INDEX(LookupData!C:C,$AK35)="","",INDEX(LookupData!C:C,$AK35))))</f>
        <v/>
      </c>
      <c r="D35" t="str">
        <f>IF($AK35="","",IF($AK35=0,"",IF(INDEX(LookupData!D:D,$AK35)="","",INDEX(LookupData!D:D,$AK35))))</f>
        <v/>
      </c>
      <c r="E35" t="str">
        <f>IF($AK35="","",IF($AK35=0,"",IF(INDEX(LookupData!E:E,$AK35)="","",INDEX(LookupData!E:E,$AK35))))</f>
        <v/>
      </c>
      <c r="F35" t="str">
        <f>IF($AK35="","",IF($AK35=0,"",IF(INDEX(LookupData!F:F,$AK35)="","",INDEX(LookupData!F:F,$AK35))))</f>
        <v/>
      </c>
      <c r="G35" t="str">
        <f>IF($AK35="","",IF($AK35=0,"",IF(INDEX(LookupData!G:G,$AK35)="","",INDEX(LookupData!G:G,$AK35))))</f>
        <v/>
      </c>
      <c r="H35" t="str">
        <f>IF($AK35="","",IF($AK35=0,"",IF(INDEX(LookupData!H:H,$AK35)="","",INDEX(LookupData!H:H,$AK35))))</f>
        <v/>
      </c>
      <c r="I35" s="7" t="str">
        <f>IF($AK35="","",IF($AK35=0,"",IF(INDEX(LookupData!I:I,$AK35)="","",INDEX(LookupData!I:I,$AK35))))</f>
        <v/>
      </c>
      <c r="J35" s="7" t="str">
        <f>IF($AK35="","",IF($AK35=0,"",IF(INDEX(LookupData!J:J,$AK35)="","",INDEX(LookupData!J:J,$AK35))))</f>
        <v/>
      </c>
      <c r="K35" s="7" t="str">
        <f>IF($AK35="","",IF($AK35=0,"",IF(INDEX(LookupData!K:K,$AK35)="","",INDEX(LookupData!K:K,$AK35))))</f>
        <v/>
      </c>
      <c r="L35" s="7" t="str">
        <f>IF($AK35="","",IF($AK35=0,"",IF(INDEX(LookupData!L:L,$AK35)="","",INDEX(LookupData!L:L,$AK35))))</f>
        <v/>
      </c>
      <c r="M35" s="7" t="str">
        <f>IF($AK35="","",IF($AK35=0,"",IF(INDEX(LookupData!M:M,$AK35)="","",INDEX(LookupData!M:M,$AK35))))</f>
        <v/>
      </c>
      <c r="N35" s="7" t="str">
        <f>IF($AK35="","",IF($AK35=0,"",IF(INDEX(LookupData!N:N,$AK35)="","",INDEX(LookupData!N:N,$AK35))))</f>
        <v/>
      </c>
      <c r="O35" s="7" t="str">
        <f>IF($AK35="","",IF($AK35=0,"",IF(INDEX(LookupData!O:O,$AK35)="","",INDEX(LookupData!O:O,$AK35))))</f>
        <v/>
      </c>
      <c r="P35" s="7" t="str">
        <f>IF($AK35="","",IF($AK35=0,"",IF(INDEX(LookupData!P:P,$AK35)="","",INDEX(LookupData!P:P,$AK35))))</f>
        <v/>
      </c>
      <c r="Q35" s="7" t="str">
        <f>IF($AK35="","",IF($AK35=0,"",IF(INDEX(LookupData!Q:Q,$AK35)="","",INDEX(LookupData!Q:Q,$AK35))))</f>
        <v/>
      </c>
      <c r="R35" s="7" t="str">
        <f>IF($AK35="","",IF($AK35=0,"",IF(INDEX(LookupData!R:R,$AK35)="","",INDEX(LookupData!R:R,$AK35))))</f>
        <v/>
      </c>
      <c r="S35" s="7" t="str">
        <f>IF($AK35="","",IF($AK35=0,"",IF(INDEX(LookupData!S:S,$AK35)="","",INDEX(LookupData!S:S,$AK35))))</f>
        <v/>
      </c>
      <c r="T35" s="7" t="str">
        <f>IF($AK35="","",IF($AK35=0,"",IF(INDEX(LookupData!T:T,$AK35)="","",INDEX(LookupData!T:T,$AK35))))</f>
        <v/>
      </c>
      <c r="U35" s="7" t="str">
        <f>IF($AK35="","",IF($AK35=0,"",IF(INDEX(LookupData!U:U,$AK35)="","",INDEX(LookupData!U:U,$AK35))))</f>
        <v/>
      </c>
      <c r="V35" s="7" t="str">
        <f>IF($AK35="","",IF($AK35=0,"",IF(INDEX(LookupData!V:V,$AK35)="","",INDEX(LookupData!V:V,$AK35))))</f>
        <v/>
      </c>
      <c r="W35" t="str">
        <f>IF($AK35="","",IF($AK35=0,"",IF(INDEX(LookupData!W:W,$AK35)="","",INDEX(LookupData!W:W,$AK35))))</f>
        <v/>
      </c>
      <c r="X35" s="7" t="str">
        <f>IF($AK35="","",IF($AK35=0,"",IF(INDEX(LookupData!X:X,$AK35)="","",INDEX(LookupData!X:X,$AK35))))</f>
        <v/>
      </c>
      <c r="Y35" s="7" t="str">
        <f>IF($AK35="","",IF($AK35=0,"",IF(INDEX(LookupData!Y:Y,$AK35)="","",INDEX(LookupData!Y:Y,$AK35))))</f>
        <v/>
      </c>
      <c r="Z35" s="7" t="str">
        <f>IF($AK35="","",IF($AK35=0,"",IF(INDEX(LookupData!Z:Z,$AK35)="","",INDEX(LookupData!Z:Z,$AK35))))</f>
        <v/>
      </c>
      <c r="AA35" s="7" t="str">
        <f>IF($AK35="","",IF($AK35=0,"",IF(INDEX(LookupData!AA:AA,$AK35)="","",INDEX(LookupData!AA:AA,$AK35))))</f>
        <v/>
      </c>
      <c r="AB35" s="7" t="str">
        <f>IF($AK35="","",IF($AK35=0,"",IF(INDEX(LookupData!AB:AB,$AK35)="","",INDEX(LookupData!AB:AB,$AK35))))</f>
        <v/>
      </c>
      <c r="AC35" s="7" t="str">
        <f>IF($AK35="","",IF($AK35=0,"",IF(INDEX(LookupData!AC:AC,$AK35)="","",INDEX(LookupData!AC:AC,$AK35))))</f>
        <v/>
      </c>
      <c r="AD35" s="7" t="str">
        <f>IF($AK35="","",IF($AK35=0,"",IF(INDEX(LookupData!AD:AD,$AK35)="","",INDEX(LookupData!AD:AD,$AK35))))</f>
        <v/>
      </c>
      <c r="AE35" s="7" t="str">
        <f>IF($AK35="","",IF($AK35=0,"",IF(INDEX(LookupData!AE:AE,$AK35)="","",INDEX(LookupData!AE:AE,$AK35))))</f>
        <v/>
      </c>
      <c r="AF35" t="str">
        <f>IF($AK35="","",IF($AK35=0,"",IF(INDEX(LookupData!AF:AF,$AK35)="","",INDEX(LookupData!AF:AF,$AK35))))</f>
        <v/>
      </c>
      <c r="AG35" t="str">
        <f>IF($AK35="","",IF($AK35=0,"",IF(INDEX(LookupData!AG:AG,$AK35)="","",INDEX(LookupData!AG:AG,$AK35))))</f>
        <v/>
      </c>
      <c r="AH35" s="11" t="str">
        <f>IF($AK35="","",IF($AK35=0,"",IF(INDEX(LookupData!AH:AH,$AK35)="","",INDEX(LookupData!AH:AH,$AK35))))</f>
        <v/>
      </c>
      <c r="AI35" s="12" t="str">
        <f>IF($AK35="","",IF($AK35=0,"",IF(INDEX(LookupData!AI:AI,$AK35)="","",HYPERLINK(INDEX(LookupData!AI:AI,$AK35),"Open"))))</f>
        <v/>
      </c>
      <c r="AK35" t="str">
        <f>IF(AL35="","",IFERROR(MATCH(AL35,LookupData!$A:$A,0),0))</f>
        <v/>
      </c>
      <c r="AL35" t="str">
        <f t="shared" si="2"/>
        <v/>
      </c>
      <c r="AM35" t="str">
        <f t="shared" ref="AM35:AM66" si="3">IF(AL35="",AM34,IF(AM34="",AL35,AM34&amp;"|"&amp;AL35))</f>
        <v/>
      </c>
    </row>
    <row r="36" spans="1:39" x14ac:dyDescent="0.2">
      <c r="A36" s="9"/>
      <c r="B36" s="10" t="str">
        <f>IF($AK36="","",IF($AK36=0,"not in the database",IF(INDEX(LookupData!B:B,$AK36)="","",INDEX(LookupData!B:B,$AK36))))</f>
        <v/>
      </c>
      <c r="C36" t="str">
        <f>IF($AK36="","",IF($AK36=0,"",IF(INDEX(LookupData!C:C,$AK36)="","",INDEX(LookupData!C:C,$AK36))))</f>
        <v/>
      </c>
      <c r="D36" t="str">
        <f>IF($AK36="","",IF($AK36=0,"",IF(INDEX(LookupData!D:D,$AK36)="","",INDEX(LookupData!D:D,$AK36))))</f>
        <v/>
      </c>
      <c r="E36" t="str">
        <f>IF($AK36="","",IF($AK36=0,"",IF(INDEX(LookupData!E:E,$AK36)="","",INDEX(LookupData!E:E,$AK36))))</f>
        <v/>
      </c>
      <c r="F36" t="str">
        <f>IF($AK36="","",IF($AK36=0,"",IF(INDEX(LookupData!F:F,$AK36)="","",INDEX(LookupData!F:F,$AK36))))</f>
        <v/>
      </c>
      <c r="G36" t="str">
        <f>IF($AK36="","",IF($AK36=0,"",IF(INDEX(LookupData!G:G,$AK36)="","",INDEX(LookupData!G:G,$AK36))))</f>
        <v/>
      </c>
      <c r="H36" t="str">
        <f>IF($AK36="","",IF($AK36=0,"",IF(INDEX(LookupData!H:H,$AK36)="","",INDEX(LookupData!H:H,$AK36))))</f>
        <v/>
      </c>
      <c r="I36" s="7" t="str">
        <f>IF($AK36="","",IF($AK36=0,"",IF(INDEX(LookupData!I:I,$AK36)="","",INDEX(LookupData!I:I,$AK36))))</f>
        <v/>
      </c>
      <c r="J36" s="7" t="str">
        <f>IF($AK36="","",IF($AK36=0,"",IF(INDEX(LookupData!J:J,$AK36)="","",INDEX(LookupData!J:J,$AK36))))</f>
        <v/>
      </c>
      <c r="K36" s="7" t="str">
        <f>IF($AK36="","",IF($AK36=0,"",IF(INDEX(LookupData!K:K,$AK36)="","",INDEX(LookupData!K:K,$AK36))))</f>
        <v/>
      </c>
      <c r="L36" s="7" t="str">
        <f>IF($AK36="","",IF($AK36=0,"",IF(INDEX(LookupData!L:L,$AK36)="","",INDEX(LookupData!L:L,$AK36))))</f>
        <v/>
      </c>
      <c r="M36" s="7" t="str">
        <f>IF($AK36="","",IF($AK36=0,"",IF(INDEX(LookupData!M:M,$AK36)="","",INDEX(LookupData!M:M,$AK36))))</f>
        <v/>
      </c>
      <c r="N36" s="7" t="str">
        <f>IF($AK36="","",IF($AK36=0,"",IF(INDEX(LookupData!N:N,$AK36)="","",INDEX(LookupData!N:N,$AK36))))</f>
        <v/>
      </c>
      <c r="O36" s="7" t="str">
        <f>IF($AK36="","",IF($AK36=0,"",IF(INDEX(LookupData!O:O,$AK36)="","",INDEX(LookupData!O:O,$AK36))))</f>
        <v/>
      </c>
      <c r="P36" s="7" t="str">
        <f>IF($AK36="","",IF($AK36=0,"",IF(INDEX(LookupData!P:P,$AK36)="","",INDEX(LookupData!P:P,$AK36))))</f>
        <v/>
      </c>
      <c r="Q36" s="7" t="str">
        <f>IF($AK36="","",IF($AK36=0,"",IF(INDEX(LookupData!Q:Q,$AK36)="","",INDEX(LookupData!Q:Q,$AK36))))</f>
        <v/>
      </c>
      <c r="R36" s="7" t="str">
        <f>IF($AK36="","",IF($AK36=0,"",IF(INDEX(LookupData!R:R,$AK36)="","",INDEX(LookupData!R:R,$AK36))))</f>
        <v/>
      </c>
      <c r="S36" s="7" t="str">
        <f>IF($AK36="","",IF($AK36=0,"",IF(INDEX(LookupData!S:S,$AK36)="","",INDEX(LookupData!S:S,$AK36))))</f>
        <v/>
      </c>
      <c r="T36" s="7" t="str">
        <f>IF($AK36="","",IF($AK36=0,"",IF(INDEX(LookupData!T:T,$AK36)="","",INDEX(LookupData!T:T,$AK36))))</f>
        <v/>
      </c>
      <c r="U36" s="7" t="str">
        <f>IF($AK36="","",IF($AK36=0,"",IF(INDEX(LookupData!U:U,$AK36)="","",INDEX(LookupData!U:U,$AK36))))</f>
        <v/>
      </c>
      <c r="V36" s="7" t="str">
        <f>IF($AK36="","",IF($AK36=0,"",IF(INDEX(LookupData!V:V,$AK36)="","",INDEX(LookupData!V:V,$AK36))))</f>
        <v/>
      </c>
      <c r="W36" t="str">
        <f>IF($AK36="","",IF($AK36=0,"",IF(INDEX(LookupData!W:W,$AK36)="","",INDEX(LookupData!W:W,$AK36))))</f>
        <v/>
      </c>
      <c r="X36" s="7" t="str">
        <f>IF($AK36="","",IF($AK36=0,"",IF(INDEX(LookupData!X:X,$AK36)="","",INDEX(LookupData!X:X,$AK36))))</f>
        <v/>
      </c>
      <c r="Y36" s="7" t="str">
        <f>IF($AK36="","",IF($AK36=0,"",IF(INDEX(LookupData!Y:Y,$AK36)="","",INDEX(LookupData!Y:Y,$AK36))))</f>
        <v/>
      </c>
      <c r="Z36" s="7" t="str">
        <f>IF($AK36="","",IF($AK36=0,"",IF(INDEX(LookupData!Z:Z,$AK36)="","",INDEX(LookupData!Z:Z,$AK36))))</f>
        <v/>
      </c>
      <c r="AA36" s="7" t="str">
        <f>IF($AK36="","",IF($AK36=0,"",IF(INDEX(LookupData!AA:AA,$AK36)="","",INDEX(LookupData!AA:AA,$AK36))))</f>
        <v/>
      </c>
      <c r="AB36" s="7" t="str">
        <f>IF($AK36="","",IF($AK36=0,"",IF(INDEX(LookupData!AB:AB,$AK36)="","",INDEX(LookupData!AB:AB,$AK36))))</f>
        <v/>
      </c>
      <c r="AC36" s="7" t="str">
        <f>IF($AK36="","",IF($AK36=0,"",IF(INDEX(LookupData!AC:AC,$AK36)="","",INDEX(LookupData!AC:AC,$AK36))))</f>
        <v/>
      </c>
      <c r="AD36" s="7" t="str">
        <f>IF($AK36="","",IF($AK36=0,"",IF(INDEX(LookupData!AD:AD,$AK36)="","",INDEX(LookupData!AD:AD,$AK36))))</f>
        <v/>
      </c>
      <c r="AE36" s="7" t="str">
        <f>IF($AK36="","",IF($AK36=0,"",IF(INDEX(LookupData!AE:AE,$AK36)="","",INDEX(LookupData!AE:AE,$AK36))))</f>
        <v/>
      </c>
      <c r="AF36" t="str">
        <f>IF($AK36="","",IF($AK36=0,"",IF(INDEX(LookupData!AF:AF,$AK36)="","",INDEX(LookupData!AF:AF,$AK36))))</f>
        <v/>
      </c>
      <c r="AG36" t="str">
        <f>IF($AK36="","",IF($AK36=0,"",IF(INDEX(LookupData!AG:AG,$AK36)="","",INDEX(LookupData!AG:AG,$AK36))))</f>
        <v/>
      </c>
      <c r="AH36" s="11" t="str">
        <f>IF($AK36="","",IF($AK36=0,"",IF(INDEX(LookupData!AH:AH,$AK36)="","",INDEX(LookupData!AH:AH,$AK36))))</f>
        <v/>
      </c>
      <c r="AI36" s="12" t="str">
        <f>IF($AK36="","",IF($AK36=0,"",IF(INDEX(LookupData!AI:AI,$AK36)="","",HYPERLINK(INDEX(LookupData!AI:AI,$AK36),"Open"))))</f>
        <v/>
      </c>
      <c r="AK36" t="str">
        <f>IF(AL36="","",IFERROR(MATCH(AL36,LookupData!$A:$A,0),0))</f>
        <v/>
      </c>
      <c r="AL36" t="str">
        <f t="shared" si="2"/>
        <v/>
      </c>
      <c r="AM36" t="str">
        <f t="shared" si="3"/>
        <v/>
      </c>
    </row>
    <row r="37" spans="1:39" x14ac:dyDescent="0.2">
      <c r="A37" s="9"/>
      <c r="B37" s="10" t="str">
        <f>IF($AK37="","",IF($AK37=0,"not in the database",IF(INDEX(LookupData!B:B,$AK37)="","",INDEX(LookupData!B:B,$AK37))))</f>
        <v/>
      </c>
      <c r="C37" t="str">
        <f>IF($AK37="","",IF($AK37=0,"",IF(INDEX(LookupData!C:C,$AK37)="","",INDEX(LookupData!C:C,$AK37))))</f>
        <v/>
      </c>
      <c r="D37" t="str">
        <f>IF($AK37="","",IF($AK37=0,"",IF(INDEX(LookupData!D:D,$AK37)="","",INDEX(LookupData!D:D,$AK37))))</f>
        <v/>
      </c>
      <c r="E37" t="str">
        <f>IF($AK37="","",IF($AK37=0,"",IF(INDEX(LookupData!E:E,$AK37)="","",INDEX(LookupData!E:E,$AK37))))</f>
        <v/>
      </c>
      <c r="F37" t="str">
        <f>IF($AK37="","",IF($AK37=0,"",IF(INDEX(LookupData!F:F,$AK37)="","",INDEX(LookupData!F:F,$AK37))))</f>
        <v/>
      </c>
      <c r="G37" t="str">
        <f>IF($AK37="","",IF($AK37=0,"",IF(INDEX(LookupData!G:G,$AK37)="","",INDEX(LookupData!G:G,$AK37))))</f>
        <v/>
      </c>
      <c r="H37" t="str">
        <f>IF($AK37="","",IF($AK37=0,"",IF(INDEX(LookupData!H:H,$AK37)="","",INDEX(LookupData!H:H,$AK37))))</f>
        <v/>
      </c>
      <c r="I37" s="7" t="str">
        <f>IF($AK37="","",IF($AK37=0,"",IF(INDEX(LookupData!I:I,$AK37)="","",INDEX(LookupData!I:I,$AK37))))</f>
        <v/>
      </c>
      <c r="J37" s="7" t="str">
        <f>IF($AK37="","",IF($AK37=0,"",IF(INDEX(LookupData!J:J,$AK37)="","",INDEX(LookupData!J:J,$AK37))))</f>
        <v/>
      </c>
      <c r="K37" s="7" t="str">
        <f>IF($AK37="","",IF($AK37=0,"",IF(INDEX(LookupData!K:K,$AK37)="","",INDEX(LookupData!K:K,$AK37))))</f>
        <v/>
      </c>
      <c r="L37" s="7" t="str">
        <f>IF($AK37="","",IF($AK37=0,"",IF(INDEX(LookupData!L:L,$AK37)="","",INDEX(LookupData!L:L,$AK37))))</f>
        <v/>
      </c>
      <c r="M37" s="7" t="str">
        <f>IF($AK37="","",IF($AK37=0,"",IF(INDEX(LookupData!M:M,$AK37)="","",INDEX(LookupData!M:M,$AK37))))</f>
        <v/>
      </c>
      <c r="N37" s="7" t="str">
        <f>IF($AK37="","",IF($AK37=0,"",IF(INDEX(LookupData!N:N,$AK37)="","",INDEX(LookupData!N:N,$AK37))))</f>
        <v/>
      </c>
      <c r="O37" s="7" t="str">
        <f>IF($AK37="","",IF($AK37=0,"",IF(INDEX(LookupData!O:O,$AK37)="","",INDEX(LookupData!O:O,$AK37))))</f>
        <v/>
      </c>
      <c r="P37" s="7" t="str">
        <f>IF($AK37="","",IF($AK37=0,"",IF(INDEX(LookupData!P:P,$AK37)="","",INDEX(LookupData!P:P,$AK37))))</f>
        <v/>
      </c>
      <c r="Q37" s="7" t="str">
        <f>IF($AK37="","",IF($AK37=0,"",IF(INDEX(LookupData!Q:Q,$AK37)="","",INDEX(LookupData!Q:Q,$AK37))))</f>
        <v/>
      </c>
      <c r="R37" s="7" t="str">
        <f>IF($AK37="","",IF($AK37=0,"",IF(INDEX(LookupData!R:R,$AK37)="","",INDEX(LookupData!R:R,$AK37))))</f>
        <v/>
      </c>
      <c r="S37" s="7" t="str">
        <f>IF($AK37="","",IF($AK37=0,"",IF(INDEX(LookupData!S:S,$AK37)="","",INDEX(LookupData!S:S,$AK37))))</f>
        <v/>
      </c>
      <c r="T37" s="7" t="str">
        <f>IF($AK37="","",IF($AK37=0,"",IF(INDEX(LookupData!T:T,$AK37)="","",INDEX(LookupData!T:T,$AK37))))</f>
        <v/>
      </c>
      <c r="U37" s="7" t="str">
        <f>IF($AK37="","",IF($AK37=0,"",IF(INDEX(LookupData!U:U,$AK37)="","",INDEX(LookupData!U:U,$AK37))))</f>
        <v/>
      </c>
      <c r="V37" s="7" t="str">
        <f>IF($AK37="","",IF($AK37=0,"",IF(INDEX(LookupData!V:V,$AK37)="","",INDEX(LookupData!V:V,$AK37))))</f>
        <v/>
      </c>
      <c r="W37" t="str">
        <f>IF($AK37="","",IF($AK37=0,"",IF(INDEX(LookupData!W:W,$AK37)="","",INDEX(LookupData!W:W,$AK37))))</f>
        <v/>
      </c>
      <c r="X37" s="7" t="str">
        <f>IF($AK37="","",IF($AK37=0,"",IF(INDEX(LookupData!X:X,$AK37)="","",INDEX(LookupData!X:X,$AK37))))</f>
        <v/>
      </c>
      <c r="Y37" s="7" t="str">
        <f>IF($AK37="","",IF($AK37=0,"",IF(INDEX(LookupData!Y:Y,$AK37)="","",INDEX(LookupData!Y:Y,$AK37))))</f>
        <v/>
      </c>
      <c r="Z37" s="7" t="str">
        <f>IF($AK37="","",IF($AK37=0,"",IF(INDEX(LookupData!Z:Z,$AK37)="","",INDEX(LookupData!Z:Z,$AK37))))</f>
        <v/>
      </c>
      <c r="AA37" s="7" t="str">
        <f>IF($AK37="","",IF($AK37=0,"",IF(INDEX(LookupData!AA:AA,$AK37)="","",INDEX(LookupData!AA:AA,$AK37))))</f>
        <v/>
      </c>
      <c r="AB37" s="7" t="str">
        <f>IF($AK37="","",IF($AK37=0,"",IF(INDEX(LookupData!AB:AB,$AK37)="","",INDEX(LookupData!AB:AB,$AK37))))</f>
        <v/>
      </c>
      <c r="AC37" s="7" t="str">
        <f>IF($AK37="","",IF($AK37=0,"",IF(INDEX(LookupData!AC:AC,$AK37)="","",INDEX(LookupData!AC:AC,$AK37))))</f>
        <v/>
      </c>
      <c r="AD37" s="7" t="str">
        <f>IF($AK37="","",IF($AK37=0,"",IF(INDEX(LookupData!AD:AD,$AK37)="","",INDEX(LookupData!AD:AD,$AK37))))</f>
        <v/>
      </c>
      <c r="AE37" s="7" t="str">
        <f>IF($AK37="","",IF($AK37=0,"",IF(INDEX(LookupData!AE:AE,$AK37)="","",INDEX(LookupData!AE:AE,$AK37))))</f>
        <v/>
      </c>
      <c r="AF37" t="str">
        <f>IF($AK37="","",IF($AK37=0,"",IF(INDEX(LookupData!AF:AF,$AK37)="","",INDEX(LookupData!AF:AF,$AK37))))</f>
        <v/>
      </c>
      <c r="AG37" t="str">
        <f>IF($AK37="","",IF($AK37=0,"",IF(INDEX(LookupData!AG:AG,$AK37)="","",INDEX(LookupData!AG:AG,$AK37))))</f>
        <v/>
      </c>
      <c r="AH37" s="11" t="str">
        <f>IF($AK37="","",IF($AK37=0,"",IF(INDEX(LookupData!AH:AH,$AK37)="","",INDEX(LookupData!AH:AH,$AK37))))</f>
        <v/>
      </c>
      <c r="AI37" s="12" t="str">
        <f>IF($AK37="","",IF($AK37=0,"",IF(INDEX(LookupData!AI:AI,$AK37)="","",HYPERLINK(INDEX(LookupData!AI:AI,$AK37),"Open"))))</f>
        <v/>
      </c>
      <c r="AK37" t="str">
        <f>IF(AL37="","",IFERROR(MATCH(AL37,LookupData!$A:$A,0),0))</f>
        <v/>
      </c>
      <c r="AL37" t="str">
        <f t="shared" si="2"/>
        <v/>
      </c>
      <c r="AM37" t="str">
        <f t="shared" si="3"/>
        <v/>
      </c>
    </row>
    <row r="38" spans="1:39" x14ac:dyDescent="0.2">
      <c r="A38" s="9"/>
      <c r="B38" s="10" t="str">
        <f>IF($AK38="","",IF($AK38=0,"not in the database",IF(INDEX(LookupData!B:B,$AK38)="","",INDEX(LookupData!B:B,$AK38))))</f>
        <v/>
      </c>
      <c r="C38" t="str">
        <f>IF($AK38="","",IF($AK38=0,"",IF(INDEX(LookupData!C:C,$AK38)="","",INDEX(LookupData!C:C,$AK38))))</f>
        <v/>
      </c>
      <c r="D38" t="str">
        <f>IF($AK38="","",IF($AK38=0,"",IF(INDEX(LookupData!D:D,$AK38)="","",INDEX(LookupData!D:D,$AK38))))</f>
        <v/>
      </c>
      <c r="E38" t="str">
        <f>IF($AK38="","",IF($AK38=0,"",IF(INDEX(LookupData!E:E,$AK38)="","",INDEX(LookupData!E:E,$AK38))))</f>
        <v/>
      </c>
      <c r="F38" t="str">
        <f>IF($AK38="","",IF($AK38=0,"",IF(INDEX(LookupData!F:F,$AK38)="","",INDEX(LookupData!F:F,$AK38))))</f>
        <v/>
      </c>
      <c r="G38" t="str">
        <f>IF($AK38="","",IF($AK38=0,"",IF(INDEX(LookupData!G:G,$AK38)="","",INDEX(LookupData!G:G,$AK38))))</f>
        <v/>
      </c>
      <c r="H38" t="str">
        <f>IF($AK38="","",IF($AK38=0,"",IF(INDEX(LookupData!H:H,$AK38)="","",INDEX(LookupData!H:H,$AK38))))</f>
        <v/>
      </c>
      <c r="I38" s="7" t="str">
        <f>IF($AK38="","",IF($AK38=0,"",IF(INDEX(LookupData!I:I,$AK38)="","",INDEX(LookupData!I:I,$AK38))))</f>
        <v/>
      </c>
      <c r="J38" s="7" t="str">
        <f>IF($AK38="","",IF($AK38=0,"",IF(INDEX(LookupData!J:J,$AK38)="","",INDEX(LookupData!J:J,$AK38))))</f>
        <v/>
      </c>
      <c r="K38" s="7" t="str">
        <f>IF($AK38="","",IF($AK38=0,"",IF(INDEX(LookupData!K:K,$AK38)="","",INDEX(LookupData!K:K,$AK38))))</f>
        <v/>
      </c>
      <c r="L38" s="7" t="str">
        <f>IF($AK38="","",IF($AK38=0,"",IF(INDEX(LookupData!L:L,$AK38)="","",INDEX(LookupData!L:L,$AK38))))</f>
        <v/>
      </c>
      <c r="M38" s="7" t="str">
        <f>IF($AK38="","",IF($AK38=0,"",IF(INDEX(LookupData!M:M,$AK38)="","",INDEX(LookupData!M:M,$AK38))))</f>
        <v/>
      </c>
      <c r="N38" s="7" t="str">
        <f>IF($AK38="","",IF($AK38=0,"",IF(INDEX(LookupData!N:N,$AK38)="","",INDEX(LookupData!N:N,$AK38))))</f>
        <v/>
      </c>
      <c r="O38" s="7" t="str">
        <f>IF($AK38="","",IF($AK38=0,"",IF(INDEX(LookupData!O:O,$AK38)="","",INDEX(LookupData!O:O,$AK38))))</f>
        <v/>
      </c>
      <c r="P38" s="7" t="str">
        <f>IF($AK38="","",IF($AK38=0,"",IF(INDEX(LookupData!P:P,$AK38)="","",INDEX(LookupData!P:P,$AK38))))</f>
        <v/>
      </c>
      <c r="Q38" s="7" t="str">
        <f>IF($AK38="","",IF($AK38=0,"",IF(INDEX(LookupData!Q:Q,$AK38)="","",INDEX(LookupData!Q:Q,$AK38))))</f>
        <v/>
      </c>
      <c r="R38" s="7" t="str">
        <f>IF($AK38="","",IF($AK38=0,"",IF(INDEX(LookupData!R:R,$AK38)="","",INDEX(LookupData!R:R,$AK38))))</f>
        <v/>
      </c>
      <c r="S38" s="7" t="str">
        <f>IF($AK38="","",IF($AK38=0,"",IF(INDEX(LookupData!S:S,$AK38)="","",INDEX(LookupData!S:S,$AK38))))</f>
        <v/>
      </c>
      <c r="T38" s="7" t="str">
        <f>IF($AK38="","",IF($AK38=0,"",IF(INDEX(LookupData!T:T,$AK38)="","",INDEX(LookupData!T:T,$AK38))))</f>
        <v/>
      </c>
      <c r="U38" s="7" t="str">
        <f>IF($AK38="","",IF($AK38=0,"",IF(INDEX(LookupData!U:U,$AK38)="","",INDEX(LookupData!U:U,$AK38))))</f>
        <v/>
      </c>
      <c r="V38" s="7" t="str">
        <f>IF($AK38="","",IF($AK38=0,"",IF(INDEX(LookupData!V:V,$AK38)="","",INDEX(LookupData!V:V,$AK38))))</f>
        <v/>
      </c>
      <c r="W38" t="str">
        <f>IF($AK38="","",IF($AK38=0,"",IF(INDEX(LookupData!W:W,$AK38)="","",INDEX(LookupData!W:W,$AK38))))</f>
        <v/>
      </c>
      <c r="X38" s="7" t="str">
        <f>IF($AK38="","",IF($AK38=0,"",IF(INDEX(LookupData!X:X,$AK38)="","",INDEX(LookupData!X:X,$AK38))))</f>
        <v/>
      </c>
      <c r="Y38" s="7" t="str">
        <f>IF($AK38="","",IF($AK38=0,"",IF(INDEX(LookupData!Y:Y,$AK38)="","",INDEX(LookupData!Y:Y,$AK38))))</f>
        <v/>
      </c>
      <c r="Z38" s="7" t="str">
        <f>IF($AK38="","",IF($AK38=0,"",IF(INDEX(LookupData!Z:Z,$AK38)="","",INDEX(LookupData!Z:Z,$AK38))))</f>
        <v/>
      </c>
      <c r="AA38" s="7" t="str">
        <f>IF($AK38="","",IF($AK38=0,"",IF(INDEX(LookupData!AA:AA,$AK38)="","",INDEX(LookupData!AA:AA,$AK38))))</f>
        <v/>
      </c>
      <c r="AB38" s="7" t="str">
        <f>IF($AK38="","",IF($AK38=0,"",IF(INDEX(LookupData!AB:AB,$AK38)="","",INDEX(LookupData!AB:AB,$AK38))))</f>
        <v/>
      </c>
      <c r="AC38" s="7" t="str">
        <f>IF($AK38="","",IF($AK38=0,"",IF(INDEX(LookupData!AC:AC,$AK38)="","",INDEX(LookupData!AC:AC,$AK38))))</f>
        <v/>
      </c>
      <c r="AD38" s="7" t="str">
        <f>IF($AK38="","",IF($AK38=0,"",IF(INDEX(LookupData!AD:AD,$AK38)="","",INDEX(LookupData!AD:AD,$AK38))))</f>
        <v/>
      </c>
      <c r="AE38" s="7" t="str">
        <f>IF($AK38="","",IF($AK38=0,"",IF(INDEX(LookupData!AE:AE,$AK38)="","",INDEX(LookupData!AE:AE,$AK38))))</f>
        <v/>
      </c>
      <c r="AF38" t="str">
        <f>IF($AK38="","",IF($AK38=0,"",IF(INDEX(LookupData!AF:AF,$AK38)="","",INDEX(LookupData!AF:AF,$AK38))))</f>
        <v/>
      </c>
      <c r="AG38" t="str">
        <f>IF($AK38="","",IF($AK38=0,"",IF(INDEX(LookupData!AG:AG,$AK38)="","",INDEX(LookupData!AG:AG,$AK38))))</f>
        <v/>
      </c>
      <c r="AH38" s="11" t="str">
        <f>IF($AK38="","",IF($AK38=0,"",IF(INDEX(LookupData!AH:AH,$AK38)="","",INDEX(LookupData!AH:AH,$AK38))))</f>
        <v/>
      </c>
      <c r="AI38" s="12" t="str">
        <f>IF($AK38="","",IF($AK38=0,"",IF(INDEX(LookupData!AI:AI,$AK38)="","",HYPERLINK(INDEX(LookupData!AI:AI,$AK38),"Open"))))</f>
        <v/>
      </c>
      <c r="AK38" t="str">
        <f>IF(AL38="","",IFERROR(MATCH(AL38,LookupData!$A:$A,0),0))</f>
        <v/>
      </c>
      <c r="AL38" t="str">
        <f t="shared" si="2"/>
        <v/>
      </c>
      <c r="AM38" t="str">
        <f t="shared" si="3"/>
        <v/>
      </c>
    </row>
    <row r="39" spans="1:39" x14ac:dyDescent="0.2">
      <c r="A39" s="9"/>
      <c r="B39" s="10" t="str">
        <f>IF($AK39="","",IF($AK39=0,"not in the database",IF(INDEX(LookupData!B:B,$AK39)="","",INDEX(LookupData!B:B,$AK39))))</f>
        <v/>
      </c>
      <c r="C39" t="str">
        <f>IF($AK39="","",IF($AK39=0,"",IF(INDEX(LookupData!C:C,$AK39)="","",INDEX(LookupData!C:C,$AK39))))</f>
        <v/>
      </c>
      <c r="D39" t="str">
        <f>IF($AK39="","",IF($AK39=0,"",IF(INDEX(LookupData!D:D,$AK39)="","",INDEX(LookupData!D:D,$AK39))))</f>
        <v/>
      </c>
      <c r="E39" t="str">
        <f>IF($AK39="","",IF($AK39=0,"",IF(INDEX(LookupData!E:E,$AK39)="","",INDEX(LookupData!E:E,$AK39))))</f>
        <v/>
      </c>
      <c r="F39" t="str">
        <f>IF($AK39="","",IF($AK39=0,"",IF(INDEX(LookupData!F:F,$AK39)="","",INDEX(LookupData!F:F,$AK39))))</f>
        <v/>
      </c>
      <c r="G39" t="str">
        <f>IF($AK39="","",IF($AK39=0,"",IF(INDEX(LookupData!G:G,$AK39)="","",INDEX(LookupData!G:G,$AK39))))</f>
        <v/>
      </c>
      <c r="H39" t="str">
        <f>IF($AK39="","",IF($AK39=0,"",IF(INDEX(LookupData!H:H,$AK39)="","",INDEX(LookupData!H:H,$AK39))))</f>
        <v/>
      </c>
      <c r="I39" s="7" t="str">
        <f>IF($AK39="","",IF($AK39=0,"",IF(INDEX(LookupData!I:I,$AK39)="","",INDEX(LookupData!I:I,$AK39))))</f>
        <v/>
      </c>
      <c r="J39" s="7" t="str">
        <f>IF($AK39="","",IF($AK39=0,"",IF(INDEX(LookupData!J:J,$AK39)="","",INDEX(LookupData!J:J,$AK39))))</f>
        <v/>
      </c>
      <c r="K39" s="7" t="str">
        <f>IF($AK39="","",IF($AK39=0,"",IF(INDEX(LookupData!K:K,$AK39)="","",INDEX(LookupData!K:K,$AK39))))</f>
        <v/>
      </c>
      <c r="L39" s="7" t="str">
        <f>IF($AK39="","",IF($AK39=0,"",IF(INDEX(LookupData!L:L,$AK39)="","",INDEX(LookupData!L:L,$AK39))))</f>
        <v/>
      </c>
      <c r="M39" s="7" t="str">
        <f>IF($AK39="","",IF($AK39=0,"",IF(INDEX(LookupData!M:M,$AK39)="","",INDEX(LookupData!M:M,$AK39))))</f>
        <v/>
      </c>
      <c r="N39" s="7" t="str">
        <f>IF($AK39="","",IF($AK39=0,"",IF(INDEX(LookupData!N:N,$AK39)="","",INDEX(LookupData!N:N,$AK39))))</f>
        <v/>
      </c>
      <c r="O39" s="7" t="str">
        <f>IF($AK39="","",IF($AK39=0,"",IF(INDEX(LookupData!O:O,$AK39)="","",INDEX(LookupData!O:O,$AK39))))</f>
        <v/>
      </c>
      <c r="P39" s="7" t="str">
        <f>IF($AK39="","",IF($AK39=0,"",IF(INDEX(LookupData!P:P,$AK39)="","",INDEX(LookupData!P:P,$AK39))))</f>
        <v/>
      </c>
      <c r="Q39" s="7" t="str">
        <f>IF($AK39="","",IF($AK39=0,"",IF(INDEX(LookupData!Q:Q,$AK39)="","",INDEX(LookupData!Q:Q,$AK39))))</f>
        <v/>
      </c>
      <c r="R39" s="7" t="str">
        <f>IF($AK39="","",IF($AK39=0,"",IF(INDEX(LookupData!R:R,$AK39)="","",INDEX(LookupData!R:R,$AK39))))</f>
        <v/>
      </c>
      <c r="S39" s="7" t="str">
        <f>IF($AK39="","",IF($AK39=0,"",IF(INDEX(LookupData!S:S,$AK39)="","",INDEX(LookupData!S:S,$AK39))))</f>
        <v/>
      </c>
      <c r="T39" s="7" t="str">
        <f>IF($AK39="","",IF($AK39=0,"",IF(INDEX(LookupData!T:T,$AK39)="","",INDEX(LookupData!T:T,$AK39))))</f>
        <v/>
      </c>
      <c r="U39" s="7" t="str">
        <f>IF($AK39="","",IF($AK39=0,"",IF(INDEX(LookupData!U:U,$AK39)="","",INDEX(LookupData!U:U,$AK39))))</f>
        <v/>
      </c>
      <c r="V39" s="7" t="str">
        <f>IF($AK39="","",IF($AK39=0,"",IF(INDEX(LookupData!V:V,$AK39)="","",INDEX(LookupData!V:V,$AK39))))</f>
        <v/>
      </c>
      <c r="W39" t="str">
        <f>IF($AK39="","",IF($AK39=0,"",IF(INDEX(LookupData!W:W,$AK39)="","",INDEX(LookupData!W:W,$AK39))))</f>
        <v/>
      </c>
      <c r="X39" s="7" t="str">
        <f>IF($AK39="","",IF($AK39=0,"",IF(INDEX(LookupData!X:X,$AK39)="","",INDEX(LookupData!X:X,$AK39))))</f>
        <v/>
      </c>
      <c r="Y39" s="7" t="str">
        <f>IF($AK39="","",IF($AK39=0,"",IF(INDEX(LookupData!Y:Y,$AK39)="","",INDEX(LookupData!Y:Y,$AK39))))</f>
        <v/>
      </c>
      <c r="Z39" s="7" t="str">
        <f>IF($AK39="","",IF($AK39=0,"",IF(INDEX(LookupData!Z:Z,$AK39)="","",INDEX(LookupData!Z:Z,$AK39))))</f>
        <v/>
      </c>
      <c r="AA39" s="7" t="str">
        <f>IF($AK39="","",IF($AK39=0,"",IF(INDEX(LookupData!AA:AA,$AK39)="","",INDEX(LookupData!AA:AA,$AK39))))</f>
        <v/>
      </c>
      <c r="AB39" s="7" t="str">
        <f>IF($AK39="","",IF($AK39=0,"",IF(INDEX(LookupData!AB:AB,$AK39)="","",INDEX(LookupData!AB:AB,$AK39))))</f>
        <v/>
      </c>
      <c r="AC39" s="7" t="str">
        <f>IF($AK39="","",IF($AK39=0,"",IF(INDEX(LookupData!AC:AC,$AK39)="","",INDEX(LookupData!AC:AC,$AK39))))</f>
        <v/>
      </c>
      <c r="AD39" s="7" t="str">
        <f>IF($AK39="","",IF($AK39=0,"",IF(INDEX(LookupData!AD:AD,$AK39)="","",INDEX(LookupData!AD:AD,$AK39))))</f>
        <v/>
      </c>
      <c r="AE39" s="7" t="str">
        <f>IF($AK39="","",IF($AK39=0,"",IF(INDEX(LookupData!AE:AE,$AK39)="","",INDEX(LookupData!AE:AE,$AK39))))</f>
        <v/>
      </c>
      <c r="AF39" t="str">
        <f>IF($AK39="","",IF($AK39=0,"",IF(INDEX(LookupData!AF:AF,$AK39)="","",INDEX(LookupData!AF:AF,$AK39))))</f>
        <v/>
      </c>
      <c r="AG39" t="str">
        <f>IF($AK39="","",IF($AK39=0,"",IF(INDEX(LookupData!AG:AG,$AK39)="","",INDEX(LookupData!AG:AG,$AK39))))</f>
        <v/>
      </c>
      <c r="AH39" s="11" t="str">
        <f>IF($AK39="","",IF($AK39=0,"",IF(INDEX(LookupData!AH:AH,$AK39)="","",INDEX(LookupData!AH:AH,$AK39))))</f>
        <v/>
      </c>
      <c r="AI39" s="12" t="str">
        <f>IF($AK39="","",IF($AK39=0,"",IF(INDEX(LookupData!AI:AI,$AK39)="","",HYPERLINK(INDEX(LookupData!AI:AI,$AK39),"Open"))))</f>
        <v/>
      </c>
      <c r="AK39" t="str">
        <f>IF(AL39="","",IFERROR(MATCH(AL39,LookupData!$A:$A,0),0))</f>
        <v/>
      </c>
      <c r="AL39" t="str">
        <f t="shared" si="2"/>
        <v/>
      </c>
      <c r="AM39" t="str">
        <f t="shared" si="3"/>
        <v/>
      </c>
    </row>
    <row r="40" spans="1:39" x14ac:dyDescent="0.2">
      <c r="A40" s="9"/>
      <c r="B40" s="10" t="str">
        <f>IF($AK40="","",IF($AK40=0,"not in the database",IF(INDEX(LookupData!B:B,$AK40)="","",INDEX(LookupData!B:B,$AK40))))</f>
        <v/>
      </c>
      <c r="C40" t="str">
        <f>IF($AK40="","",IF($AK40=0,"",IF(INDEX(LookupData!C:C,$AK40)="","",INDEX(LookupData!C:C,$AK40))))</f>
        <v/>
      </c>
      <c r="D40" t="str">
        <f>IF($AK40="","",IF($AK40=0,"",IF(INDEX(LookupData!D:D,$AK40)="","",INDEX(LookupData!D:D,$AK40))))</f>
        <v/>
      </c>
      <c r="E40" t="str">
        <f>IF($AK40="","",IF($AK40=0,"",IF(INDEX(LookupData!E:E,$AK40)="","",INDEX(LookupData!E:E,$AK40))))</f>
        <v/>
      </c>
      <c r="F40" t="str">
        <f>IF($AK40="","",IF($AK40=0,"",IF(INDEX(LookupData!F:F,$AK40)="","",INDEX(LookupData!F:F,$AK40))))</f>
        <v/>
      </c>
      <c r="G40" t="str">
        <f>IF($AK40="","",IF($AK40=0,"",IF(INDEX(LookupData!G:G,$AK40)="","",INDEX(LookupData!G:G,$AK40))))</f>
        <v/>
      </c>
      <c r="H40" t="str">
        <f>IF($AK40="","",IF($AK40=0,"",IF(INDEX(LookupData!H:H,$AK40)="","",INDEX(LookupData!H:H,$AK40))))</f>
        <v/>
      </c>
      <c r="I40" s="7" t="str">
        <f>IF($AK40="","",IF($AK40=0,"",IF(INDEX(LookupData!I:I,$AK40)="","",INDEX(LookupData!I:I,$AK40))))</f>
        <v/>
      </c>
      <c r="J40" s="7" t="str">
        <f>IF($AK40="","",IF($AK40=0,"",IF(INDEX(LookupData!J:J,$AK40)="","",INDEX(LookupData!J:J,$AK40))))</f>
        <v/>
      </c>
      <c r="K40" s="7" t="str">
        <f>IF($AK40="","",IF($AK40=0,"",IF(INDEX(LookupData!K:K,$AK40)="","",INDEX(LookupData!K:K,$AK40))))</f>
        <v/>
      </c>
      <c r="L40" s="7" t="str">
        <f>IF($AK40="","",IF($AK40=0,"",IF(INDEX(LookupData!L:L,$AK40)="","",INDEX(LookupData!L:L,$AK40))))</f>
        <v/>
      </c>
      <c r="M40" s="7" t="str">
        <f>IF($AK40="","",IF($AK40=0,"",IF(INDEX(LookupData!M:M,$AK40)="","",INDEX(LookupData!M:M,$AK40))))</f>
        <v/>
      </c>
      <c r="N40" s="7" t="str">
        <f>IF($AK40="","",IF($AK40=0,"",IF(INDEX(LookupData!N:N,$AK40)="","",INDEX(LookupData!N:N,$AK40))))</f>
        <v/>
      </c>
      <c r="O40" s="7" t="str">
        <f>IF($AK40="","",IF($AK40=0,"",IF(INDEX(LookupData!O:O,$AK40)="","",INDEX(LookupData!O:O,$AK40))))</f>
        <v/>
      </c>
      <c r="P40" s="7" t="str">
        <f>IF($AK40="","",IF($AK40=0,"",IF(INDEX(LookupData!P:P,$AK40)="","",INDEX(LookupData!P:P,$AK40))))</f>
        <v/>
      </c>
      <c r="Q40" s="7" t="str">
        <f>IF($AK40="","",IF($AK40=0,"",IF(INDEX(LookupData!Q:Q,$AK40)="","",INDEX(LookupData!Q:Q,$AK40))))</f>
        <v/>
      </c>
      <c r="R40" s="7" t="str">
        <f>IF($AK40="","",IF($AK40=0,"",IF(INDEX(LookupData!R:R,$AK40)="","",INDEX(LookupData!R:R,$AK40))))</f>
        <v/>
      </c>
      <c r="S40" s="7" t="str">
        <f>IF($AK40="","",IF($AK40=0,"",IF(INDEX(LookupData!S:S,$AK40)="","",INDEX(LookupData!S:S,$AK40))))</f>
        <v/>
      </c>
      <c r="T40" s="7" t="str">
        <f>IF($AK40="","",IF($AK40=0,"",IF(INDEX(LookupData!T:T,$AK40)="","",INDEX(LookupData!T:T,$AK40))))</f>
        <v/>
      </c>
      <c r="U40" s="7" t="str">
        <f>IF($AK40="","",IF($AK40=0,"",IF(INDEX(LookupData!U:U,$AK40)="","",INDEX(LookupData!U:U,$AK40))))</f>
        <v/>
      </c>
      <c r="V40" s="7" t="str">
        <f>IF($AK40="","",IF($AK40=0,"",IF(INDEX(LookupData!V:V,$AK40)="","",INDEX(LookupData!V:V,$AK40))))</f>
        <v/>
      </c>
      <c r="W40" t="str">
        <f>IF($AK40="","",IF($AK40=0,"",IF(INDEX(LookupData!W:W,$AK40)="","",INDEX(LookupData!W:W,$AK40))))</f>
        <v/>
      </c>
      <c r="X40" s="7" t="str">
        <f>IF($AK40="","",IF($AK40=0,"",IF(INDEX(LookupData!X:X,$AK40)="","",INDEX(LookupData!X:X,$AK40))))</f>
        <v/>
      </c>
      <c r="Y40" s="7" t="str">
        <f>IF($AK40="","",IF($AK40=0,"",IF(INDEX(LookupData!Y:Y,$AK40)="","",INDEX(LookupData!Y:Y,$AK40))))</f>
        <v/>
      </c>
      <c r="Z40" s="7" t="str">
        <f>IF($AK40="","",IF($AK40=0,"",IF(INDEX(LookupData!Z:Z,$AK40)="","",INDEX(LookupData!Z:Z,$AK40))))</f>
        <v/>
      </c>
      <c r="AA40" s="7" t="str">
        <f>IF($AK40="","",IF($AK40=0,"",IF(INDEX(LookupData!AA:AA,$AK40)="","",INDEX(LookupData!AA:AA,$AK40))))</f>
        <v/>
      </c>
      <c r="AB40" s="7" t="str">
        <f>IF($AK40="","",IF($AK40=0,"",IF(INDEX(LookupData!AB:AB,$AK40)="","",INDEX(LookupData!AB:AB,$AK40))))</f>
        <v/>
      </c>
      <c r="AC40" s="7" t="str">
        <f>IF($AK40="","",IF($AK40=0,"",IF(INDEX(LookupData!AC:AC,$AK40)="","",INDEX(LookupData!AC:AC,$AK40))))</f>
        <v/>
      </c>
      <c r="AD40" s="7" t="str">
        <f>IF($AK40="","",IF($AK40=0,"",IF(INDEX(LookupData!AD:AD,$AK40)="","",INDEX(LookupData!AD:AD,$AK40))))</f>
        <v/>
      </c>
      <c r="AE40" s="7" t="str">
        <f>IF($AK40="","",IF($AK40=0,"",IF(INDEX(LookupData!AE:AE,$AK40)="","",INDEX(LookupData!AE:AE,$AK40))))</f>
        <v/>
      </c>
      <c r="AF40" t="str">
        <f>IF($AK40="","",IF($AK40=0,"",IF(INDEX(LookupData!AF:AF,$AK40)="","",INDEX(LookupData!AF:AF,$AK40))))</f>
        <v/>
      </c>
      <c r="AG40" t="str">
        <f>IF($AK40="","",IF($AK40=0,"",IF(INDEX(LookupData!AG:AG,$AK40)="","",INDEX(LookupData!AG:AG,$AK40))))</f>
        <v/>
      </c>
      <c r="AH40" s="11" t="str">
        <f>IF($AK40="","",IF($AK40=0,"",IF(INDEX(LookupData!AH:AH,$AK40)="","",INDEX(LookupData!AH:AH,$AK40))))</f>
        <v/>
      </c>
      <c r="AI40" s="12" t="str">
        <f>IF($AK40="","",IF($AK40=0,"",IF(INDEX(LookupData!AI:AI,$AK40)="","",HYPERLINK(INDEX(LookupData!AI:AI,$AK40),"Open"))))</f>
        <v/>
      </c>
      <c r="AK40" t="str">
        <f>IF(AL40="","",IFERROR(MATCH(AL40,LookupData!$A:$A,0),0))</f>
        <v/>
      </c>
      <c r="AL40" t="str">
        <f t="shared" si="2"/>
        <v/>
      </c>
      <c r="AM40" t="str">
        <f t="shared" si="3"/>
        <v/>
      </c>
    </row>
    <row r="41" spans="1:39" x14ac:dyDescent="0.2">
      <c r="A41" s="9"/>
      <c r="B41" s="10" t="str">
        <f>IF($AK41="","",IF($AK41=0,"not in the database",IF(INDEX(LookupData!B:B,$AK41)="","",INDEX(LookupData!B:B,$AK41))))</f>
        <v/>
      </c>
      <c r="C41" t="str">
        <f>IF($AK41="","",IF($AK41=0,"",IF(INDEX(LookupData!C:C,$AK41)="","",INDEX(LookupData!C:C,$AK41))))</f>
        <v/>
      </c>
      <c r="D41" t="str">
        <f>IF($AK41="","",IF($AK41=0,"",IF(INDEX(LookupData!D:D,$AK41)="","",INDEX(LookupData!D:D,$AK41))))</f>
        <v/>
      </c>
      <c r="E41" t="str">
        <f>IF($AK41="","",IF($AK41=0,"",IF(INDEX(LookupData!E:E,$AK41)="","",INDEX(LookupData!E:E,$AK41))))</f>
        <v/>
      </c>
      <c r="F41" t="str">
        <f>IF($AK41="","",IF($AK41=0,"",IF(INDEX(LookupData!F:F,$AK41)="","",INDEX(LookupData!F:F,$AK41))))</f>
        <v/>
      </c>
      <c r="G41" t="str">
        <f>IF($AK41="","",IF($AK41=0,"",IF(INDEX(LookupData!G:G,$AK41)="","",INDEX(LookupData!G:G,$AK41))))</f>
        <v/>
      </c>
      <c r="H41" t="str">
        <f>IF($AK41="","",IF($AK41=0,"",IF(INDEX(LookupData!H:H,$AK41)="","",INDEX(LookupData!H:H,$AK41))))</f>
        <v/>
      </c>
      <c r="I41" s="7" t="str">
        <f>IF($AK41="","",IF($AK41=0,"",IF(INDEX(LookupData!I:I,$AK41)="","",INDEX(LookupData!I:I,$AK41))))</f>
        <v/>
      </c>
      <c r="J41" s="7" t="str">
        <f>IF($AK41="","",IF($AK41=0,"",IF(INDEX(LookupData!J:J,$AK41)="","",INDEX(LookupData!J:J,$AK41))))</f>
        <v/>
      </c>
      <c r="K41" s="7" t="str">
        <f>IF($AK41="","",IF($AK41=0,"",IF(INDEX(LookupData!K:K,$AK41)="","",INDEX(LookupData!K:K,$AK41))))</f>
        <v/>
      </c>
      <c r="L41" s="7" t="str">
        <f>IF($AK41="","",IF($AK41=0,"",IF(INDEX(LookupData!L:L,$AK41)="","",INDEX(LookupData!L:L,$AK41))))</f>
        <v/>
      </c>
      <c r="M41" s="7" t="str">
        <f>IF($AK41="","",IF($AK41=0,"",IF(INDEX(LookupData!M:M,$AK41)="","",INDEX(LookupData!M:M,$AK41))))</f>
        <v/>
      </c>
      <c r="N41" s="7" t="str">
        <f>IF($AK41="","",IF($AK41=0,"",IF(INDEX(LookupData!N:N,$AK41)="","",INDEX(LookupData!N:N,$AK41))))</f>
        <v/>
      </c>
      <c r="O41" s="7" t="str">
        <f>IF($AK41="","",IF($AK41=0,"",IF(INDEX(LookupData!O:O,$AK41)="","",INDEX(LookupData!O:O,$AK41))))</f>
        <v/>
      </c>
      <c r="P41" s="7" t="str">
        <f>IF($AK41="","",IF($AK41=0,"",IF(INDEX(LookupData!P:P,$AK41)="","",INDEX(LookupData!P:P,$AK41))))</f>
        <v/>
      </c>
      <c r="Q41" s="7" t="str">
        <f>IF($AK41="","",IF($AK41=0,"",IF(INDEX(LookupData!Q:Q,$AK41)="","",INDEX(LookupData!Q:Q,$AK41))))</f>
        <v/>
      </c>
      <c r="R41" s="7" t="str">
        <f>IF($AK41="","",IF($AK41=0,"",IF(INDEX(LookupData!R:R,$AK41)="","",INDEX(LookupData!R:R,$AK41))))</f>
        <v/>
      </c>
      <c r="S41" s="7" t="str">
        <f>IF($AK41="","",IF($AK41=0,"",IF(INDEX(LookupData!S:S,$AK41)="","",INDEX(LookupData!S:S,$AK41))))</f>
        <v/>
      </c>
      <c r="T41" s="7" t="str">
        <f>IF($AK41="","",IF($AK41=0,"",IF(INDEX(LookupData!T:T,$AK41)="","",INDEX(LookupData!T:T,$AK41))))</f>
        <v/>
      </c>
      <c r="U41" s="7" t="str">
        <f>IF($AK41="","",IF($AK41=0,"",IF(INDEX(LookupData!U:U,$AK41)="","",INDEX(LookupData!U:U,$AK41))))</f>
        <v/>
      </c>
      <c r="V41" s="7" t="str">
        <f>IF($AK41="","",IF($AK41=0,"",IF(INDEX(LookupData!V:V,$AK41)="","",INDEX(LookupData!V:V,$AK41))))</f>
        <v/>
      </c>
      <c r="W41" t="str">
        <f>IF($AK41="","",IF($AK41=0,"",IF(INDEX(LookupData!W:W,$AK41)="","",INDEX(LookupData!W:W,$AK41))))</f>
        <v/>
      </c>
      <c r="X41" s="7" t="str">
        <f>IF($AK41="","",IF($AK41=0,"",IF(INDEX(LookupData!X:X,$AK41)="","",INDEX(LookupData!X:X,$AK41))))</f>
        <v/>
      </c>
      <c r="Y41" s="7" t="str">
        <f>IF($AK41="","",IF($AK41=0,"",IF(INDEX(LookupData!Y:Y,$AK41)="","",INDEX(LookupData!Y:Y,$AK41))))</f>
        <v/>
      </c>
      <c r="Z41" s="7" t="str">
        <f>IF($AK41="","",IF($AK41=0,"",IF(INDEX(LookupData!Z:Z,$AK41)="","",INDEX(LookupData!Z:Z,$AK41))))</f>
        <v/>
      </c>
      <c r="AA41" s="7" t="str">
        <f>IF($AK41="","",IF($AK41=0,"",IF(INDEX(LookupData!AA:AA,$AK41)="","",INDEX(LookupData!AA:AA,$AK41))))</f>
        <v/>
      </c>
      <c r="AB41" s="7" t="str">
        <f>IF($AK41="","",IF($AK41=0,"",IF(INDEX(LookupData!AB:AB,$AK41)="","",INDEX(LookupData!AB:AB,$AK41))))</f>
        <v/>
      </c>
      <c r="AC41" s="7" t="str">
        <f>IF($AK41="","",IF($AK41=0,"",IF(INDEX(LookupData!AC:AC,$AK41)="","",INDEX(LookupData!AC:AC,$AK41))))</f>
        <v/>
      </c>
      <c r="AD41" s="7" t="str">
        <f>IF($AK41="","",IF($AK41=0,"",IF(INDEX(LookupData!AD:AD,$AK41)="","",INDEX(LookupData!AD:AD,$AK41))))</f>
        <v/>
      </c>
      <c r="AE41" s="7" t="str">
        <f>IF($AK41="","",IF($AK41=0,"",IF(INDEX(LookupData!AE:AE,$AK41)="","",INDEX(LookupData!AE:AE,$AK41))))</f>
        <v/>
      </c>
      <c r="AF41" t="str">
        <f>IF($AK41="","",IF($AK41=0,"",IF(INDEX(LookupData!AF:AF,$AK41)="","",INDEX(LookupData!AF:AF,$AK41))))</f>
        <v/>
      </c>
      <c r="AG41" t="str">
        <f>IF($AK41="","",IF($AK41=0,"",IF(INDEX(LookupData!AG:AG,$AK41)="","",INDEX(LookupData!AG:AG,$AK41))))</f>
        <v/>
      </c>
      <c r="AH41" s="11" t="str">
        <f>IF($AK41="","",IF($AK41=0,"",IF(INDEX(LookupData!AH:AH,$AK41)="","",INDEX(LookupData!AH:AH,$AK41))))</f>
        <v/>
      </c>
      <c r="AI41" s="12" t="str">
        <f>IF($AK41="","",IF($AK41=0,"",IF(INDEX(LookupData!AI:AI,$AK41)="","",HYPERLINK(INDEX(LookupData!AI:AI,$AK41),"Open"))))</f>
        <v/>
      </c>
      <c r="AK41" t="str">
        <f>IF(AL41="","",IFERROR(MATCH(AL41,LookupData!$A:$A,0),0))</f>
        <v/>
      </c>
      <c r="AL41" t="str">
        <f t="shared" si="2"/>
        <v/>
      </c>
      <c r="AM41" t="str">
        <f t="shared" si="3"/>
        <v/>
      </c>
    </row>
    <row r="42" spans="1:39" x14ac:dyDescent="0.2">
      <c r="A42" s="9"/>
      <c r="B42" s="10" t="str">
        <f>IF($AK42="","",IF($AK42=0,"not in the database",IF(INDEX(LookupData!B:B,$AK42)="","",INDEX(LookupData!B:B,$AK42))))</f>
        <v/>
      </c>
      <c r="C42" t="str">
        <f>IF($AK42="","",IF($AK42=0,"",IF(INDEX(LookupData!C:C,$AK42)="","",INDEX(LookupData!C:C,$AK42))))</f>
        <v/>
      </c>
      <c r="D42" t="str">
        <f>IF($AK42="","",IF($AK42=0,"",IF(INDEX(LookupData!D:D,$AK42)="","",INDEX(LookupData!D:D,$AK42))))</f>
        <v/>
      </c>
      <c r="E42" t="str">
        <f>IF($AK42="","",IF($AK42=0,"",IF(INDEX(LookupData!E:E,$AK42)="","",INDEX(LookupData!E:E,$AK42))))</f>
        <v/>
      </c>
      <c r="F42" t="str">
        <f>IF($AK42="","",IF($AK42=0,"",IF(INDEX(LookupData!F:F,$AK42)="","",INDEX(LookupData!F:F,$AK42))))</f>
        <v/>
      </c>
      <c r="G42" t="str">
        <f>IF($AK42="","",IF($AK42=0,"",IF(INDEX(LookupData!G:G,$AK42)="","",INDEX(LookupData!G:G,$AK42))))</f>
        <v/>
      </c>
      <c r="H42" t="str">
        <f>IF($AK42="","",IF($AK42=0,"",IF(INDEX(LookupData!H:H,$AK42)="","",INDEX(LookupData!H:H,$AK42))))</f>
        <v/>
      </c>
      <c r="I42" s="7" t="str">
        <f>IF($AK42="","",IF($AK42=0,"",IF(INDEX(LookupData!I:I,$AK42)="","",INDEX(LookupData!I:I,$AK42))))</f>
        <v/>
      </c>
      <c r="J42" s="7" t="str">
        <f>IF($AK42="","",IF($AK42=0,"",IF(INDEX(LookupData!J:J,$AK42)="","",INDEX(LookupData!J:J,$AK42))))</f>
        <v/>
      </c>
      <c r="K42" s="7" t="str">
        <f>IF($AK42="","",IF($AK42=0,"",IF(INDEX(LookupData!K:K,$AK42)="","",INDEX(LookupData!K:K,$AK42))))</f>
        <v/>
      </c>
      <c r="L42" s="7" t="str">
        <f>IF($AK42="","",IF($AK42=0,"",IF(INDEX(LookupData!L:L,$AK42)="","",INDEX(LookupData!L:L,$AK42))))</f>
        <v/>
      </c>
      <c r="M42" s="7" t="str">
        <f>IF($AK42="","",IF($AK42=0,"",IF(INDEX(LookupData!M:M,$AK42)="","",INDEX(LookupData!M:M,$AK42))))</f>
        <v/>
      </c>
      <c r="N42" s="7" t="str">
        <f>IF($AK42="","",IF($AK42=0,"",IF(INDEX(LookupData!N:N,$AK42)="","",INDEX(LookupData!N:N,$AK42))))</f>
        <v/>
      </c>
      <c r="O42" s="7" t="str">
        <f>IF($AK42="","",IF($AK42=0,"",IF(INDEX(LookupData!O:O,$AK42)="","",INDEX(LookupData!O:O,$AK42))))</f>
        <v/>
      </c>
      <c r="P42" s="7" t="str">
        <f>IF($AK42="","",IF($AK42=0,"",IF(INDEX(LookupData!P:P,$AK42)="","",INDEX(LookupData!P:P,$AK42))))</f>
        <v/>
      </c>
      <c r="Q42" s="7" t="str">
        <f>IF($AK42="","",IF($AK42=0,"",IF(INDEX(LookupData!Q:Q,$AK42)="","",INDEX(LookupData!Q:Q,$AK42))))</f>
        <v/>
      </c>
      <c r="R42" s="7" t="str">
        <f>IF($AK42="","",IF($AK42=0,"",IF(INDEX(LookupData!R:R,$AK42)="","",INDEX(LookupData!R:R,$AK42))))</f>
        <v/>
      </c>
      <c r="S42" s="7" t="str">
        <f>IF($AK42="","",IF($AK42=0,"",IF(INDEX(LookupData!S:S,$AK42)="","",INDEX(LookupData!S:S,$AK42))))</f>
        <v/>
      </c>
      <c r="T42" s="7" t="str">
        <f>IF($AK42="","",IF($AK42=0,"",IF(INDEX(LookupData!T:T,$AK42)="","",INDEX(LookupData!T:T,$AK42))))</f>
        <v/>
      </c>
      <c r="U42" s="7" t="str">
        <f>IF($AK42="","",IF($AK42=0,"",IF(INDEX(LookupData!U:U,$AK42)="","",INDEX(LookupData!U:U,$AK42))))</f>
        <v/>
      </c>
      <c r="V42" s="7" t="str">
        <f>IF($AK42="","",IF($AK42=0,"",IF(INDEX(LookupData!V:V,$AK42)="","",INDEX(LookupData!V:V,$AK42))))</f>
        <v/>
      </c>
      <c r="W42" t="str">
        <f>IF($AK42="","",IF($AK42=0,"",IF(INDEX(LookupData!W:W,$AK42)="","",INDEX(LookupData!W:W,$AK42))))</f>
        <v/>
      </c>
      <c r="X42" s="7" t="str">
        <f>IF($AK42="","",IF($AK42=0,"",IF(INDEX(LookupData!X:X,$AK42)="","",INDEX(LookupData!X:X,$AK42))))</f>
        <v/>
      </c>
      <c r="Y42" s="7" t="str">
        <f>IF($AK42="","",IF($AK42=0,"",IF(INDEX(LookupData!Y:Y,$AK42)="","",INDEX(LookupData!Y:Y,$AK42))))</f>
        <v/>
      </c>
      <c r="Z42" s="7" t="str">
        <f>IF($AK42="","",IF($AK42=0,"",IF(INDEX(LookupData!Z:Z,$AK42)="","",INDEX(LookupData!Z:Z,$AK42))))</f>
        <v/>
      </c>
      <c r="AA42" s="7" t="str">
        <f>IF($AK42="","",IF($AK42=0,"",IF(INDEX(LookupData!AA:AA,$AK42)="","",INDEX(LookupData!AA:AA,$AK42))))</f>
        <v/>
      </c>
      <c r="AB42" s="7" t="str">
        <f>IF($AK42="","",IF($AK42=0,"",IF(INDEX(LookupData!AB:AB,$AK42)="","",INDEX(LookupData!AB:AB,$AK42))))</f>
        <v/>
      </c>
      <c r="AC42" s="7" t="str">
        <f>IF($AK42="","",IF($AK42=0,"",IF(INDEX(LookupData!AC:AC,$AK42)="","",INDEX(LookupData!AC:AC,$AK42))))</f>
        <v/>
      </c>
      <c r="AD42" s="7" t="str">
        <f>IF($AK42="","",IF($AK42=0,"",IF(INDEX(LookupData!AD:AD,$AK42)="","",INDEX(LookupData!AD:AD,$AK42))))</f>
        <v/>
      </c>
      <c r="AE42" s="7" t="str">
        <f>IF($AK42="","",IF($AK42=0,"",IF(INDEX(LookupData!AE:AE,$AK42)="","",INDEX(LookupData!AE:AE,$AK42))))</f>
        <v/>
      </c>
      <c r="AF42" t="str">
        <f>IF($AK42="","",IF($AK42=0,"",IF(INDEX(LookupData!AF:AF,$AK42)="","",INDEX(LookupData!AF:AF,$AK42))))</f>
        <v/>
      </c>
      <c r="AG42" t="str">
        <f>IF($AK42="","",IF($AK42=0,"",IF(INDEX(LookupData!AG:AG,$AK42)="","",INDEX(LookupData!AG:AG,$AK42))))</f>
        <v/>
      </c>
      <c r="AH42" s="11" t="str">
        <f>IF($AK42="","",IF($AK42=0,"",IF(INDEX(LookupData!AH:AH,$AK42)="","",INDEX(LookupData!AH:AH,$AK42))))</f>
        <v/>
      </c>
      <c r="AI42" s="12" t="str">
        <f>IF($AK42="","",IF($AK42=0,"",IF(INDEX(LookupData!AI:AI,$AK42)="","",HYPERLINK(INDEX(LookupData!AI:AI,$AK42),"Open"))))</f>
        <v/>
      </c>
      <c r="AK42" t="str">
        <f>IF(AL42="","",IFERROR(MATCH(AL42,LookupData!$A:$A,0),0))</f>
        <v/>
      </c>
      <c r="AL42" t="str">
        <f t="shared" si="2"/>
        <v/>
      </c>
      <c r="AM42" t="str">
        <f t="shared" si="3"/>
        <v/>
      </c>
    </row>
    <row r="43" spans="1:39" x14ac:dyDescent="0.2">
      <c r="A43" s="9"/>
      <c r="B43" s="10" t="str">
        <f>IF($AK43="","",IF($AK43=0,"not in the database",IF(INDEX(LookupData!B:B,$AK43)="","",INDEX(LookupData!B:B,$AK43))))</f>
        <v/>
      </c>
      <c r="C43" t="str">
        <f>IF($AK43="","",IF($AK43=0,"",IF(INDEX(LookupData!C:C,$AK43)="","",INDEX(LookupData!C:C,$AK43))))</f>
        <v/>
      </c>
      <c r="D43" t="str">
        <f>IF($AK43="","",IF($AK43=0,"",IF(INDEX(LookupData!D:D,$AK43)="","",INDEX(LookupData!D:D,$AK43))))</f>
        <v/>
      </c>
      <c r="E43" t="str">
        <f>IF($AK43="","",IF($AK43=0,"",IF(INDEX(LookupData!E:E,$AK43)="","",INDEX(LookupData!E:E,$AK43))))</f>
        <v/>
      </c>
      <c r="F43" t="str">
        <f>IF($AK43="","",IF($AK43=0,"",IF(INDEX(LookupData!F:F,$AK43)="","",INDEX(LookupData!F:F,$AK43))))</f>
        <v/>
      </c>
      <c r="G43" t="str">
        <f>IF($AK43="","",IF($AK43=0,"",IF(INDEX(LookupData!G:G,$AK43)="","",INDEX(LookupData!G:G,$AK43))))</f>
        <v/>
      </c>
      <c r="H43" t="str">
        <f>IF($AK43="","",IF($AK43=0,"",IF(INDEX(LookupData!H:H,$AK43)="","",INDEX(LookupData!H:H,$AK43))))</f>
        <v/>
      </c>
      <c r="I43" s="7" t="str">
        <f>IF($AK43="","",IF($AK43=0,"",IF(INDEX(LookupData!I:I,$AK43)="","",INDEX(LookupData!I:I,$AK43))))</f>
        <v/>
      </c>
      <c r="J43" s="7" t="str">
        <f>IF($AK43="","",IF($AK43=0,"",IF(INDEX(LookupData!J:J,$AK43)="","",INDEX(LookupData!J:J,$AK43))))</f>
        <v/>
      </c>
      <c r="K43" s="7" t="str">
        <f>IF($AK43="","",IF($AK43=0,"",IF(INDEX(LookupData!K:K,$AK43)="","",INDEX(LookupData!K:K,$AK43))))</f>
        <v/>
      </c>
      <c r="L43" s="7" t="str">
        <f>IF($AK43="","",IF($AK43=0,"",IF(INDEX(LookupData!L:L,$AK43)="","",INDEX(LookupData!L:L,$AK43))))</f>
        <v/>
      </c>
      <c r="M43" s="7" t="str">
        <f>IF($AK43="","",IF($AK43=0,"",IF(INDEX(LookupData!M:M,$AK43)="","",INDEX(LookupData!M:M,$AK43))))</f>
        <v/>
      </c>
      <c r="N43" s="7" t="str">
        <f>IF($AK43="","",IF($AK43=0,"",IF(INDEX(LookupData!N:N,$AK43)="","",INDEX(LookupData!N:N,$AK43))))</f>
        <v/>
      </c>
      <c r="O43" s="7" t="str">
        <f>IF($AK43="","",IF($AK43=0,"",IF(INDEX(LookupData!O:O,$AK43)="","",INDEX(LookupData!O:O,$AK43))))</f>
        <v/>
      </c>
      <c r="P43" s="7" t="str">
        <f>IF($AK43="","",IF($AK43=0,"",IF(INDEX(LookupData!P:P,$AK43)="","",INDEX(LookupData!P:P,$AK43))))</f>
        <v/>
      </c>
      <c r="Q43" s="7" t="str">
        <f>IF($AK43="","",IF($AK43=0,"",IF(INDEX(LookupData!Q:Q,$AK43)="","",INDEX(LookupData!Q:Q,$AK43))))</f>
        <v/>
      </c>
      <c r="R43" s="7" t="str">
        <f>IF($AK43="","",IF($AK43=0,"",IF(INDEX(LookupData!R:R,$AK43)="","",INDEX(LookupData!R:R,$AK43))))</f>
        <v/>
      </c>
      <c r="S43" s="7" t="str">
        <f>IF($AK43="","",IF($AK43=0,"",IF(INDEX(LookupData!S:S,$AK43)="","",INDEX(LookupData!S:S,$AK43))))</f>
        <v/>
      </c>
      <c r="T43" s="7" t="str">
        <f>IF($AK43="","",IF($AK43=0,"",IF(INDEX(LookupData!T:T,$AK43)="","",INDEX(LookupData!T:T,$AK43))))</f>
        <v/>
      </c>
      <c r="U43" s="7" t="str">
        <f>IF($AK43="","",IF($AK43=0,"",IF(INDEX(LookupData!U:U,$AK43)="","",INDEX(LookupData!U:U,$AK43))))</f>
        <v/>
      </c>
      <c r="V43" s="7" t="str">
        <f>IF($AK43="","",IF($AK43=0,"",IF(INDEX(LookupData!V:V,$AK43)="","",INDEX(LookupData!V:V,$AK43))))</f>
        <v/>
      </c>
      <c r="W43" t="str">
        <f>IF($AK43="","",IF($AK43=0,"",IF(INDEX(LookupData!W:W,$AK43)="","",INDEX(LookupData!W:W,$AK43))))</f>
        <v/>
      </c>
      <c r="X43" s="7" t="str">
        <f>IF($AK43="","",IF($AK43=0,"",IF(INDEX(LookupData!X:X,$AK43)="","",INDEX(LookupData!X:X,$AK43))))</f>
        <v/>
      </c>
      <c r="Y43" s="7" t="str">
        <f>IF($AK43="","",IF($AK43=0,"",IF(INDEX(LookupData!Y:Y,$AK43)="","",INDEX(LookupData!Y:Y,$AK43))))</f>
        <v/>
      </c>
      <c r="Z43" s="7" t="str">
        <f>IF($AK43="","",IF($AK43=0,"",IF(INDEX(LookupData!Z:Z,$AK43)="","",INDEX(LookupData!Z:Z,$AK43))))</f>
        <v/>
      </c>
      <c r="AA43" s="7" t="str">
        <f>IF($AK43="","",IF($AK43=0,"",IF(INDEX(LookupData!AA:AA,$AK43)="","",INDEX(LookupData!AA:AA,$AK43))))</f>
        <v/>
      </c>
      <c r="AB43" s="7" t="str">
        <f>IF($AK43="","",IF($AK43=0,"",IF(INDEX(LookupData!AB:AB,$AK43)="","",INDEX(LookupData!AB:AB,$AK43))))</f>
        <v/>
      </c>
      <c r="AC43" s="7" t="str">
        <f>IF($AK43="","",IF($AK43=0,"",IF(INDEX(LookupData!AC:AC,$AK43)="","",INDEX(LookupData!AC:AC,$AK43))))</f>
        <v/>
      </c>
      <c r="AD43" s="7" t="str">
        <f>IF($AK43="","",IF($AK43=0,"",IF(INDEX(LookupData!AD:AD,$AK43)="","",INDEX(LookupData!AD:AD,$AK43))))</f>
        <v/>
      </c>
      <c r="AE43" s="7" t="str">
        <f>IF($AK43="","",IF($AK43=0,"",IF(INDEX(LookupData!AE:AE,$AK43)="","",INDEX(LookupData!AE:AE,$AK43))))</f>
        <v/>
      </c>
      <c r="AF43" t="str">
        <f>IF($AK43="","",IF($AK43=0,"",IF(INDEX(LookupData!AF:AF,$AK43)="","",INDEX(LookupData!AF:AF,$AK43))))</f>
        <v/>
      </c>
      <c r="AG43" t="str">
        <f>IF($AK43="","",IF($AK43=0,"",IF(INDEX(LookupData!AG:AG,$AK43)="","",INDEX(LookupData!AG:AG,$AK43))))</f>
        <v/>
      </c>
      <c r="AH43" s="11" t="str">
        <f>IF($AK43="","",IF($AK43=0,"",IF(INDEX(LookupData!AH:AH,$AK43)="","",INDEX(LookupData!AH:AH,$AK43))))</f>
        <v/>
      </c>
      <c r="AI43" s="12" t="str">
        <f>IF($AK43="","",IF($AK43=0,"",IF(INDEX(LookupData!AI:AI,$AK43)="","",HYPERLINK(INDEX(LookupData!AI:AI,$AK43),"Open"))))</f>
        <v/>
      </c>
      <c r="AK43" t="str">
        <f>IF(AL43="","",IFERROR(MATCH(AL43,LookupData!$A:$A,0),0))</f>
        <v/>
      </c>
      <c r="AL43" t="str">
        <f t="shared" si="2"/>
        <v/>
      </c>
      <c r="AM43" t="str">
        <f t="shared" si="3"/>
        <v/>
      </c>
    </row>
    <row r="44" spans="1:39" x14ac:dyDescent="0.2">
      <c r="A44" s="9"/>
      <c r="B44" s="10" t="str">
        <f>IF($AK44="","",IF($AK44=0,"not in the database",IF(INDEX(LookupData!B:B,$AK44)="","",INDEX(LookupData!B:B,$AK44))))</f>
        <v/>
      </c>
      <c r="C44" t="str">
        <f>IF($AK44="","",IF($AK44=0,"",IF(INDEX(LookupData!C:C,$AK44)="","",INDEX(LookupData!C:C,$AK44))))</f>
        <v/>
      </c>
      <c r="D44" t="str">
        <f>IF($AK44="","",IF($AK44=0,"",IF(INDEX(LookupData!D:D,$AK44)="","",INDEX(LookupData!D:D,$AK44))))</f>
        <v/>
      </c>
      <c r="E44" t="str">
        <f>IF($AK44="","",IF($AK44=0,"",IF(INDEX(LookupData!E:E,$AK44)="","",INDEX(LookupData!E:E,$AK44))))</f>
        <v/>
      </c>
      <c r="F44" t="str">
        <f>IF($AK44="","",IF($AK44=0,"",IF(INDEX(LookupData!F:F,$AK44)="","",INDEX(LookupData!F:F,$AK44))))</f>
        <v/>
      </c>
      <c r="G44" t="str">
        <f>IF($AK44="","",IF($AK44=0,"",IF(INDEX(LookupData!G:G,$AK44)="","",INDEX(LookupData!G:G,$AK44))))</f>
        <v/>
      </c>
      <c r="H44" t="str">
        <f>IF($AK44="","",IF($AK44=0,"",IF(INDEX(LookupData!H:H,$AK44)="","",INDEX(LookupData!H:H,$AK44))))</f>
        <v/>
      </c>
      <c r="I44" s="7" t="str">
        <f>IF($AK44="","",IF($AK44=0,"",IF(INDEX(LookupData!I:I,$AK44)="","",INDEX(LookupData!I:I,$AK44))))</f>
        <v/>
      </c>
      <c r="J44" s="7" t="str">
        <f>IF($AK44="","",IF($AK44=0,"",IF(INDEX(LookupData!J:J,$AK44)="","",INDEX(LookupData!J:J,$AK44))))</f>
        <v/>
      </c>
      <c r="K44" s="7" t="str">
        <f>IF($AK44="","",IF($AK44=0,"",IF(INDEX(LookupData!K:K,$AK44)="","",INDEX(LookupData!K:K,$AK44))))</f>
        <v/>
      </c>
      <c r="L44" s="7" t="str">
        <f>IF($AK44="","",IF($AK44=0,"",IF(INDEX(LookupData!L:L,$AK44)="","",INDEX(LookupData!L:L,$AK44))))</f>
        <v/>
      </c>
      <c r="M44" s="7" t="str">
        <f>IF($AK44="","",IF($AK44=0,"",IF(INDEX(LookupData!M:M,$AK44)="","",INDEX(LookupData!M:M,$AK44))))</f>
        <v/>
      </c>
      <c r="N44" s="7" t="str">
        <f>IF($AK44="","",IF($AK44=0,"",IF(INDEX(LookupData!N:N,$AK44)="","",INDEX(LookupData!N:N,$AK44))))</f>
        <v/>
      </c>
      <c r="O44" s="7" t="str">
        <f>IF($AK44="","",IF($AK44=0,"",IF(INDEX(LookupData!O:O,$AK44)="","",INDEX(LookupData!O:O,$AK44))))</f>
        <v/>
      </c>
      <c r="P44" s="7" t="str">
        <f>IF($AK44="","",IF($AK44=0,"",IF(INDEX(LookupData!P:P,$AK44)="","",INDEX(LookupData!P:P,$AK44))))</f>
        <v/>
      </c>
      <c r="Q44" s="7" t="str">
        <f>IF($AK44="","",IF($AK44=0,"",IF(INDEX(LookupData!Q:Q,$AK44)="","",INDEX(LookupData!Q:Q,$AK44))))</f>
        <v/>
      </c>
      <c r="R44" s="7" t="str">
        <f>IF($AK44="","",IF($AK44=0,"",IF(INDEX(LookupData!R:R,$AK44)="","",INDEX(LookupData!R:R,$AK44))))</f>
        <v/>
      </c>
      <c r="S44" s="7" t="str">
        <f>IF($AK44="","",IF($AK44=0,"",IF(INDEX(LookupData!S:S,$AK44)="","",INDEX(LookupData!S:S,$AK44))))</f>
        <v/>
      </c>
      <c r="T44" s="7" t="str">
        <f>IF($AK44="","",IF($AK44=0,"",IF(INDEX(LookupData!T:T,$AK44)="","",INDEX(LookupData!T:T,$AK44))))</f>
        <v/>
      </c>
      <c r="U44" s="7" t="str">
        <f>IF($AK44="","",IF($AK44=0,"",IF(INDEX(LookupData!U:U,$AK44)="","",INDEX(LookupData!U:U,$AK44))))</f>
        <v/>
      </c>
      <c r="V44" s="7" t="str">
        <f>IF($AK44="","",IF($AK44=0,"",IF(INDEX(LookupData!V:V,$AK44)="","",INDEX(LookupData!V:V,$AK44))))</f>
        <v/>
      </c>
      <c r="W44" t="str">
        <f>IF($AK44="","",IF($AK44=0,"",IF(INDEX(LookupData!W:W,$AK44)="","",INDEX(LookupData!W:W,$AK44))))</f>
        <v/>
      </c>
      <c r="X44" s="7" t="str">
        <f>IF($AK44="","",IF($AK44=0,"",IF(INDEX(LookupData!X:X,$AK44)="","",INDEX(LookupData!X:X,$AK44))))</f>
        <v/>
      </c>
      <c r="Y44" s="7" t="str">
        <f>IF($AK44="","",IF($AK44=0,"",IF(INDEX(LookupData!Y:Y,$AK44)="","",INDEX(LookupData!Y:Y,$AK44))))</f>
        <v/>
      </c>
      <c r="Z44" s="7" t="str">
        <f>IF($AK44="","",IF($AK44=0,"",IF(INDEX(LookupData!Z:Z,$AK44)="","",INDEX(LookupData!Z:Z,$AK44))))</f>
        <v/>
      </c>
      <c r="AA44" s="7" t="str">
        <f>IF($AK44="","",IF($AK44=0,"",IF(INDEX(LookupData!AA:AA,$AK44)="","",INDEX(LookupData!AA:AA,$AK44))))</f>
        <v/>
      </c>
      <c r="AB44" s="7" t="str">
        <f>IF($AK44="","",IF($AK44=0,"",IF(INDEX(LookupData!AB:AB,$AK44)="","",INDEX(LookupData!AB:AB,$AK44))))</f>
        <v/>
      </c>
      <c r="AC44" s="7" t="str">
        <f>IF($AK44="","",IF($AK44=0,"",IF(INDEX(LookupData!AC:AC,$AK44)="","",INDEX(LookupData!AC:AC,$AK44))))</f>
        <v/>
      </c>
      <c r="AD44" s="7" t="str">
        <f>IF($AK44="","",IF($AK44=0,"",IF(INDEX(LookupData!AD:AD,$AK44)="","",INDEX(LookupData!AD:AD,$AK44))))</f>
        <v/>
      </c>
      <c r="AE44" s="7" t="str">
        <f>IF($AK44="","",IF($AK44=0,"",IF(INDEX(LookupData!AE:AE,$AK44)="","",INDEX(LookupData!AE:AE,$AK44))))</f>
        <v/>
      </c>
      <c r="AF44" t="str">
        <f>IF($AK44="","",IF($AK44=0,"",IF(INDEX(LookupData!AF:AF,$AK44)="","",INDEX(LookupData!AF:AF,$AK44))))</f>
        <v/>
      </c>
      <c r="AG44" t="str">
        <f>IF($AK44="","",IF($AK44=0,"",IF(INDEX(LookupData!AG:AG,$AK44)="","",INDEX(LookupData!AG:AG,$AK44))))</f>
        <v/>
      </c>
      <c r="AH44" s="11" t="str">
        <f>IF($AK44="","",IF($AK44=0,"",IF(INDEX(LookupData!AH:AH,$AK44)="","",INDEX(LookupData!AH:AH,$AK44))))</f>
        <v/>
      </c>
      <c r="AI44" s="12" t="str">
        <f>IF($AK44="","",IF($AK44=0,"",IF(INDEX(LookupData!AI:AI,$AK44)="","",HYPERLINK(INDEX(LookupData!AI:AI,$AK44),"Open"))))</f>
        <v/>
      </c>
      <c r="AK44" t="str">
        <f>IF(AL44="","",IFERROR(MATCH(AL44,LookupData!$A:$A,0),0))</f>
        <v/>
      </c>
      <c r="AL44" t="str">
        <f t="shared" si="2"/>
        <v/>
      </c>
      <c r="AM44" t="str">
        <f t="shared" si="3"/>
        <v/>
      </c>
    </row>
    <row r="45" spans="1:39" x14ac:dyDescent="0.2">
      <c r="A45" s="9"/>
      <c r="B45" s="10" t="str">
        <f>IF($AK45="","",IF($AK45=0,"not in the database",IF(INDEX(LookupData!B:B,$AK45)="","",INDEX(LookupData!B:B,$AK45))))</f>
        <v/>
      </c>
      <c r="C45" t="str">
        <f>IF($AK45="","",IF($AK45=0,"",IF(INDEX(LookupData!C:C,$AK45)="","",INDEX(LookupData!C:C,$AK45))))</f>
        <v/>
      </c>
      <c r="D45" t="str">
        <f>IF($AK45="","",IF($AK45=0,"",IF(INDEX(LookupData!D:D,$AK45)="","",INDEX(LookupData!D:D,$AK45))))</f>
        <v/>
      </c>
      <c r="E45" t="str">
        <f>IF($AK45="","",IF($AK45=0,"",IF(INDEX(LookupData!E:E,$AK45)="","",INDEX(LookupData!E:E,$AK45))))</f>
        <v/>
      </c>
      <c r="F45" t="str">
        <f>IF($AK45="","",IF($AK45=0,"",IF(INDEX(LookupData!F:F,$AK45)="","",INDEX(LookupData!F:F,$AK45))))</f>
        <v/>
      </c>
      <c r="G45" t="str">
        <f>IF($AK45="","",IF($AK45=0,"",IF(INDEX(LookupData!G:G,$AK45)="","",INDEX(LookupData!G:G,$AK45))))</f>
        <v/>
      </c>
      <c r="H45" t="str">
        <f>IF($AK45="","",IF($AK45=0,"",IF(INDEX(LookupData!H:H,$AK45)="","",INDEX(LookupData!H:H,$AK45))))</f>
        <v/>
      </c>
      <c r="I45" s="7" t="str">
        <f>IF($AK45="","",IF($AK45=0,"",IF(INDEX(LookupData!I:I,$AK45)="","",INDEX(LookupData!I:I,$AK45))))</f>
        <v/>
      </c>
      <c r="J45" s="7" t="str">
        <f>IF($AK45="","",IF($AK45=0,"",IF(INDEX(LookupData!J:J,$AK45)="","",INDEX(LookupData!J:J,$AK45))))</f>
        <v/>
      </c>
      <c r="K45" s="7" t="str">
        <f>IF($AK45="","",IF($AK45=0,"",IF(INDEX(LookupData!K:K,$AK45)="","",INDEX(LookupData!K:K,$AK45))))</f>
        <v/>
      </c>
      <c r="L45" s="7" t="str">
        <f>IF($AK45="","",IF($AK45=0,"",IF(INDEX(LookupData!L:L,$AK45)="","",INDEX(LookupData!L:L,$AK45))))</f>
        <v/>
      </c>
      <c r="M45" s="7" t="str">
        <f>IF($AK45="","",IF($AK45=0,"",IF(INDEX(LookupData!M:M,$AK45)="","",INDEX(LookupData!M:M,$AK45))))</f>
        <v/>
      </c>
      <c r="N45" s="7" t="str">
        <f>IF($AK45="","",IF($AK45=0,"",IF(INDEX(LookupData!N:N,$AK45)="","",INDEX(LookupData!N:N,$AK45))))</f>
        <v/>
      </c>
      <c r="O45" s="7" t="str">
        <f>IF($AK45="","",IF($AK45=0,"",IF(INDEX(LookupData!O:O,$AK45)="","",INDEX(LookupData!O:O,$AK45))))</f>
        <v/>
      </c>
      <c r="P45" s="7" t="str">
        <f>IF($AK45="","",IF($AK45=0,"",IF(INDEX(LookupData!P:P,$AK45)="","",INDEX(LookupData!P:P,$AK45))))</f>
        <v/>
      </c>
      <c r="Q45" s="7" t="str">
        <f>IF($AK45="","",IF($AK45=0,"",IF(INDEX(LookupData!Q:Q,$AK45)="","",INDEX(LookupData!Q:Q,$AK45))))</f>
        <v/>
      </c>
      <c r="R45" s="7" t="str">
        <f>IF($AK45="","",IF($AK45=0,"",IF(INDEX(LookupData!R:R,$AK45)="","",INDEX(LookupData!R:R,$AK45))))</f>
        <v/>
      </c>
      <c r="S45" s="7" t="str">
        <f>IF($AK45="","",IF($AK45=0,"",IF(INDEX(LookupData!S:S,$AK45)="","",INDEX(LookupData!S:S,$AK45))))</f>
        <v/>
      </c>
      <c r="T45" s="7" t="str">
        <f>IF($AK45="","",IF($AK45=0,"",IF(INDEX(LookupData!T:T,$AK45)="","",INDEX(LookupData!T:T,$AK45))))</f>
        <v/>
      </c>
      <c r="U45" s="7" t="str">
        <f>IF($AK45="","",IF($AK45=0,"",IF(INDEX(LookupData!U:U,$AK45)="","",INDEX(LookupData!U:U,$AK45))))</f>
        <v/>
      </c>
      <c r="V45" s="7" t="str">
        <f>IF($AK45="","",IF($AK45=0,"",IF(INDEX(LookupData!V:V,$AK45)="","",INDEX(LookupData!V:V,$AK45))))</f>
        <v/>
      </c>
      <c r="W45" t="str">
        <f>IF($AK45="","",IF($AK45=0,"",IF(INDEX(LookupData!W:W,$AK45)="","",INDEX(LookupData!W:W,$AK45))))</f>
        <v/>
      </c>
      <c r="X45" s="7" t="str">
        <f>IF($AK45="","",IF($AK45=0,"",IF(INDEX(LookupData!X:X,$AK45)="","",INDEX(LookupData!X:X,$AK45))))</f>
        <v/>
      </c>
      <c r="Y45" s="7" t="str">
        <f>IF($AK45="","",IF($AK45=0,"",IF(INDEX(LookupData!Y:Y,$AK45)="","",INDEX(LookupData!Y:Y,$AK45))))</f>
        <v/>
      </c>
      <c r="Z45" s="7" t="str">
        <f>IF($AK45="","",IF($AK45=0,"",IF(INDEX(LookupData!Z:Z,$AK45)="","",INDEX(LookupData!Z:Z,$AK45))))</f>
        <v/>
      </c>
      <c r="AA45" s="7" t="str">
        <f>IF($AK45="","",IF($AK45=0,"",IF(INDEX(LookupData!AA:AA,$AK45)="","",INDEX(LookupData!AA:AA,$AK45))))</f>
        <v/>
      </c>
      <c r="AB45" s="7" t="str">
        <f>IF($AK45="","",IF($AK45=0,"",IF(INDEX(LookupData!AB:AB,$AK45)="","",INDEX(LookupData!AB:AB,$AK45))))</f>
        <v/>
      </c>
      <c r="AC45" s="7" t="str">
        <f>IF($AK45="","",IF($AK45=0,"",IF(INDEX(LookupData!AC:AC,$AK45)="","",INDEX(LookupData!AC:AC,$AK45))))</f>
        <v/>
      </c>
      <c r="AD45" s="7" t="str">
        <f>IF($AK45="","",IF($AK45=0,"",IF(INDEX(LookupData!AD:AD,$AK45)="","",INDEX(LookupData!AD:AD,$AK45))))</f>
        <v/>
      </c>
      <c r="AE45" s="7" t="str">
        <f>IF($AK45="","",IF($AK45=0,"",IF(INDEX(LookupData!AE:AE,$AK45)="","",INDEX(LookupData!AE:AE,$AK45))))</f>
        <v/>
      </c>
      <c r="AF45" t="str">
        <f>IF($AK45="","",IF($AK45=0,"",IF(INDEX(LookupData!AF:AF,$AK45)="","",INDEX(LookupData!AF:AF,$AK45))))</f>
        <v/>
      </c>
      <c r="AG45" t="str">
        <f>IF($AK45="","",IF($AK45=0,"",IF(INDEX(LookupData!AG:AG,$AK45)="","",INDEX(LookupData!AG:AG,$AK45))))</f>
        <v/>
      </c>
      <c r="AH45" s="11" t="str">
        <f>IF($AK45="","",IF($AK45=0,"",IF(INDEX(LookupData!AH:AH,$AK45)="","",INDEX(LookupData!AH:AH,$AK45))))</f>
        <v/>
      </c>
      <c r="AI45" s="12" t="str">
        <f>IF($AK45="","",IF($AK45=0,"",IF(INDEX(LookupData!AI:AI,$AK45)="","",HYPERLINK(INDEX(LookupData!AI:AI,$AK45),"Open"))))</f>
        <v/>
      </c>
      <c r="AK45" t="str">
        <f>IF(AL45="","",IFERROR(MATCH(AL45,LookupData!$A:$A,0),0))</f>
        <v/>
      </c>
      <c r="AL45" t="str">
        <f t="shared" si="2"/>
        <v/>
      </c>
      <c r="AM45" t="str">
        <f t="shared" si="3"/>
        <v/>
      </c>
    </row>
    <row r="46" spans="1:39" x14ac:dyDescent="0.2">
      <c r="A46" s="9"/>
      <c r="B46" s="10" t="str">
        <f>IF($AK46="","",IF($AK46=0,"not in the database",IF(INDEX(LookupData!B:B,$AK46)="","",INDEX(LookupData!B:B,$AK46))))</f>
        <v/>
      </c>
      <c r="C46" t="str">
        <f>IF($AK46="","",IF($AK46=0,"",IF(INDEX(LookupData!C:C,$AK46)="","",INDEX(LookupData!C:C,$AK46))))</f>
        <v/>
      </c>
      <c r="D46" t="str">
        <f>IF($AK46="","",IF($AK46=0,"",IF(INDEX(LookupData!D:D,$AK46)="","",INDEX(LookupData!D:D,$AK46))))</f>
        <v/>
      </c>
      <c r="E46" t="str">
        <f>IF($AK46="","",IF($AK46=0,"",IF(INDEX(LookupData!E:E,$AK46)="","",INDEX(LookupData!E:E,$AK46))))</f>
        <v/>
      </c>
      <c r="F46" t="str">
        <f>IF($AK46="","",IF($AK46=0,"",IF(INDEX(LookupData!F:F,$AK46)="","",INDEX(LookupData!F:F,$AK46))))</f>
        <v/>
      </c>
      <c r="G46" t="str">
        <f>IF($AK46="","",IF($AK46=0,"",IF(INDEX(LookupData!G:G,$AK46)="","",INDEX(LookupData!G:G,$AK46))))</f>
        <v/>
      </c>
      <c r="H46" t="str">
        <f>IF($AK46="","",IF($AK46=0,"",IF(INDEX(LookupData!H:H,$AK46)="","",INDEX(LookupData!H:H,$AK46))))</f>
        <v/>
      </c>
      <c r="I46" s="7" t="str">
        <f>IF($AK46="","",IF($AK46=0,"",IF(INDEX(LookupData!I:I,$AK46)="","",INDEX(LookupData!I:I,$AK46))))</f>
        <v/>
      </c>
      <c r="J46" s="7" t="str">
        <f>IF($AK46="","",IF($AK46=0,"",IF(INDEX(LookupData!J:J,$AK46)="","",INDEX(LookupData!J:J,$AK46))))</f>
        <v/>
      </c>
      <c r="K46" s="7" t="str">
        <f>IF($AK46="","",IF($AK46=0,"",IF(INDEX(LookupData!K:K,$AK46)="","",INDEX(LookupData!K:K,$AK46))))</f>
        <v/>
      </c>
      <c r="L46" s="7" t="str">
        <f>IF($AK46="","",IF($AK46=0,"",IF(INDEX(LookupData!L:L,$AK46)="","",INDEX(LookupData!L:L,$AK46))))</f>
        <v/>
      </c>
      <c r="M46" s="7" t="str">
        <f>IF($AK46="","",IF($AK46=0,"",IF(INDEX(LookupData!M:M,$AK46)="","",INDEX(LookupData!M:M,$AK46))))</f>
        <v/>
      </c>
      <c r="N46" s="7" t="str">
        <f>IF($AK46="","",IF($AK46=0,"",IF(INDEX(LookupData!N:N,$AK46)="","",INDEX(LookupData!N:N,$AK46))))</f>
        <v/>
      </c>
      <c r="O46" s="7" t="str">
        <f>IF($AK46="","",IF($AK46=0,"",IF(INDEX(LookupData!O:O,$AK46)="","",INDEX(LookupData!O:O,$AK46))))</f>
        <v/>
      </c>
      <c r="P46" s="7" t="str">
        <f>IF($AK46="","",IF($AK46=0,"",IF(INDEX(LookupData!P:P,$AK46)="","",INDEX(LookupData!P:P,$AK46))))</f>
        <v/>
      </c>
      <c r="Q46" s="7" t="str">
        <f>IF($AK46="","",IF($AK46=0,"",IF(INDEX(LookupData!Q:Q,$AK46)="","",INDEX(LookupData!Q:Q,$AK46))))</f>
        <v/>
      </c>
      <c r="R46" s="7" t="str">
        <f>IF($AK46="","",IF($AK46=0,"",IF(INDEX(LookupData!R:R,$AK46)="","",INDEX(LookupData!R:R,$AK46))))</f>
        <v/>
      </c>
      <c r="S46" s="7" t="str">
        <f>IF($AK46="","",IF($AK46=0,"",IF(INDEX(LookupData!S:S,$AK46)="","",INDEX(LookupData!S:S,$AK46))))</f>
        <v/>
      </c>
      <c r="T46" s="7" t="str">
        <f>IF($AK46="","",IF($AK46=0,"",IF(INDEX(LookupData!T:T,$AK46)="","",INDEX(LookupData!T:T,$AK46))))</f>
        <v/>
      </c>
      <c r="U46" s="7" t="str">
        <f>IF($AK46="","",IF($AK46=0,"",IF(INDEX(LookupData!U:U,$AK46)="","",INDEX(LookupData!U:U,$AK46))))</f>
        <v/>
      </c>
      <c r="V46" s="7" t="str">
        <f>IF($AK46="","",IF($AK46=0,"",IF(INDEX(LookupData!V:V,$AK46)="","",INDEX(LookupData!V:V,$AK46))))</f>
        <v/>
      </c>
      <c r="W46" t="str">
        <f>IF($AK46="","",IF($AK46=0,"",IF(INDEX(LookupData!W:W,$AK46)="","",INDEX(LookupData!W:W,$AK46))))</f>
        <v/>
      </c>
      <c r="X46" s="7" t="str">
        <f>IF($AK46="","",IF($AK46=0,"",IF(INDEX(LookupData!X:X,$AK46)="","",INDEX(LookupData!X:X,$AK46))))</f>
        <v/>
      </c>
      <c r="Y46" s="7" t="str">
        <f>IF($AK46="","",IF($AK46=0,"",IF(INDEX(LookupData!Y:Y,$AK46)="","",INDEX(LookupData!Y:Y,$AK46))))</f>
        <v/>
      </c>
      <c r="Z46" s="7" t="str">
        <f>IF($AK46="","",IF($AK46=0,"",IF(INDEX(LookupData!Z:Z,$AK46)="","",INDEX(LookupData!Z:Z,$AK46))))</f>
        <v/>
      </c>
      <c r="AA46" s="7" t="str">
        <f>IF($AK46="","",IF($AK46=0,"",IF(INDEX(LookupData!AA:AA,$AK46)="","",INDEX(LookupData!AA:AA,$AK46))))</f>
        <v/>
      </c>
      <c r="AB46" s="7" t="str">
        <f>IF($AK46="","",IF($AK46=0,"",IF(INDEX(LookupData!AB:AB,$AK46)="","",INDEX(LookupData!AB:AB,$AK46))))</f>
        <v/>
      </c>
      <c r="AC46" s="7" t="str">
        <f>IF($AK46="","",IF($AK46=0,"",IF(INDEX(LookupData!AC:AC,$AK46)="","",INDEX(LookupData!AC:AC,$AK46))))</f>
        <v/>
      </c>
      <c r="AD46" s="7" t="str">
        <f>IF($AK46="","",IF($AK46=0,"",IF(INDEX(LookupData!AD:AD,$AK46)="","",INDEX(LookupData!AD:AD,$AK46))))</f>
        <v/>
      </c>
      <c r="AE46" s="7" t="str">
        <f>IF($AK46="","",IF($AK46=0,"",IF(INDEX(LookupData!AE:AE,$AK46)="","",INDEX(LookupData!AE:AE,$AK46))))</f>
        <v/>
      </c>
      <c r="AF46" t="str">
        <f>IF($AK46="","",IF($AK46=0,"",IF(INDEX(LookupData!AF:AF,$AK46)="","",INDEX(LookupData!AF:AF,$AK46))))</f>
        <v/>
      </c>
      <c r="AG46" t="str">
        <f>IF($AK46="","",IF($AK46=0,"",IF(INDEX(LookupData!AG:AG,$AK46)="","",INDEX(LookupData!AG:AG,$AK46))))</f>
        <v/>
      </c>
      <c r="AH46" s="11" t="str">
        <f>IF($AK46="","",IF($AK46=0,"",IF(INDEX(LookupData!AH:AH,$AK46)="","",INDEX(LookupData!AH:AH,$AK46))))</f>
        <v/>
      </c>
      <c r="AI46" s="12" t="str">
        <f>IF($AK46="","",IF($AK46=0,"",IF(INDEX(LookupData!AI:AI,$AK46)="","",HYPERLINK(INDEX(LookupData!AI:AI,$AK46),"Open"))))</f>
        <v/>
      </c>
      <c r="AK46" t="str">
        <f>IF(AL46="","",IFERROR(MATCH(AL46,LookupData!$A:$A,0),0))</f>
        <v/>
      </c>
      <c r="AL46" t="str">
        <f t="shared" si="2"/>
        <v/>
      </c>
      <c r="AM46" t="str">
        <f t="shared" si="3"/>
        <v/>
      </c>
    </row>
    <row r="47" spans="1:39" x14ac:dyDescent="0.2">
      <c r="A47" s="9"/>
      <c r="B47" s="10" t="str">
        <f>IF($AK47="","",IF($AK47=0,"not in the database",IF(INDEX(LookupData!B:B,$AK47)="","",INDEX(LookupData!B:B,$AK47))))</f>
        <v/>
      </c>
      <c r="C47" t="str">
        <f>IF($AK47="","",IF($AK47=0,"",IF(INDEX(LookupData!C:C,$AK47)="","",INDEX(LookupData!C:C,$AK47))))</f>
        <v/>
      </c>
      <c r="D47" t="str">
        <f>IF($AK47="","",IF($AK47=0,"",IF(INDEX(LookupData!D:D,$AK47)="","",INDEX(LookupData!D:D,$AK47))))</f>
        <v/>
      </c>
      <c r="E47" t="str">
        <f>IF($AK47="","",IF($AK47=0,"",IF(INDEX(LookupData!E:E,$AK47)="","",INDEX(LookupData!E:E,$AK47))))</f>
        <v/>
      </c>
      <c r="F47" t="str">
        <f>IF($AK47="","",IF($AK47=0,"",IF(INDEX(LookupData!F:F,$AK47)="","",INDEX(LookupData!F:F,$AK47))))</f>
        <v/>
      </c>
      <c r="G47" t="str">
        <f>IF($AK47="","",IF($AK47=0,"",IF(INDEX(LookupData!G:G,$AK47)="","",INDEX(LookupData!G:G,$AK47))))</f>
        <v/>
      </c>
      <c r="H47" t="str">
        <f>IF($AK47="","",IF($AK47=0,"",IF(INDEX(LookupData!H:H,$AK47)="","",INDEX(LookupData!H:H,$AK47))))</f>
        <v/>
      </c>
      <c r="I47" s="7" t="str">
        <f>IF($AK47="","",IF($AK47=0,"",IF(INDEX(LookupData!I:I,$AK47)="","",INDEX(LookupData!I:I,$AK47))))</f>
        <v/>
      </c>
      <c r="J47" s="7" t="str">
        <f>IF($AK47="","",IF($AK47=0,"",IF(INDEX(LookupData!J:J,$AK47)="","",INDEX(LookupData!J:J,$AK47))))</f>
        <v/>
      </c>
      <c r="K47" s="7" t="str">
        <f>IF($AK47="","",IF($AK47=0,"",IF(INDEX(LookupData!K:K,$AK47)="","",INDEX(LookupData!K:K,$AK47))))</f>
        <v/>
      </c>
      <c r="L47" s="7" t="str">
        <f>IF($AK47="","",IF($AK47=0,"",IF(INDEX(LookupData!L:L,$AK47)="","",INDEX(LookupData!L:L,$AK47))))</f>
        <v/>
      </c>
      <c r="M47" s="7" t="str">
        <f>IF($AK47="","",IF($AK47=0,"",IF(INDEX(LookupData!M:M,$AK47)="","",INDEX(LookupData!M:M,$AK47))))</f>
        <v/>
      </c>
      <c r="N47" s="7" t="str">
        <f>IF($AK47="","",IF($AK47=0,"",IF(INDEX(LookupData!N:N,$AK47)="","",INDEX(LookupData!N:N,$AK47))))</f>
        <v/>
      </c>
      <c r="O47" s="7" t="str">
        <f>IF($AK47="","",IF($AK47=0,"",IF(INDEX(LookupData!O:O,$AK47)="","",INDEX(LookupData!O:O,$AK47))))</f>
        <v/>
      </c>
      <c r="P47" s="7" t="str">
        <f>IF($AK47="","",IF($AK47=0,"",IF(INDEX(LookupData!P:P,$AK47)="","",INDEX(LookupData!P:P,$AK47))))</f>
        <v/>
      </c>
      <c r="Q47" s="7" t="str">
        <f>IF($AK47="","",IF($AK47=0,"",IF(INDEX(LookupData!Q:Q,$AK47)="","",INDEX(LookupData!Q:Q,$AK47))))</f>
        <v/>
      </c>
      <c r="R47" s="7" t="str">
        <f>IF($AK47="","",IF($AK47=0,"",IF(INDEX(LookupData!R:R,$AK47)="","",INDEX(LookupData!R:R,$AK47))))</f>
        <v/>
      </c>
      <c r="S47" s="7" t="str">
        <f>IF($AK47="","",IF($AK47=0,"",IF(INDEX(LookupData!S:S,$AK47)="","",INDEX(LookupData!S:S,$AK47))))</f>
        <v/>
      </c>
      <c r="T47" s="7" t="str">
        <f>IF($AK47="","",IF($AK47=0,"",IF(INDEX(LookupData!T:T,$AK47)="","",INDEX(LookupData!T:T,$AK47))))</f>
        <v/>
      </c>
      <c r="U47" s="7" t="str">
        <f>IF($AK47="","",IF($AK47=0,"",IF(INDEX(LookupData!U:U,$AK47)="","",INDEX(LookupData!U:U,$AK47))))</f>
        <v/>
      </c>
      <c r="V47" s="7" t="str">
        <f>IF($AK47="","",IF($AK47=0,"",IF(INDEX(LookupData!V:V,$AK47)="","",INDEX(LookupData!V:V,$AK47))))</f>
        <v/>
      </c>
      <c r="W47" t="str">
        <f>IF($AK47="","",IF($AK47=0,"",IF(INDEX(LookupData!W:W,$AK47)="","",INDEX(LookupData!W:W,$AK47))))</f>
        <v/>
      </c>
      <c r="X47" s="7" t="str">
        <f>IF($AK47="","",IF($AK47=0,"",IF(INDEX(LookupData!X:X,$AK47)="","",INDEX(LookupData!X:X,$AK47))))</f>
        <v/>
      </c>
      <c r="Y47" s="7" t="str">
        <f>IF($AK47="","",IF($AK47=0,"",IF(INDEX(LookupData!Y:Y,$AK47)="","",INDEX(LookupData!Y:Y,$AK47))))</f>
        <v/>
      </c>
      <c r="Z47" s="7" t="str">
        <f>IF($AK47="","",IF($AK47=0,"",IF(INDEX(LookupData!Z:Z,$AK47)="","",INDEX(LookupData!Z:Z,$AK47))))</f>
        <v/>
      </c>
      <c r="AA47" s="7" t="str">
        <f>IF($AK47="","",IF($AK47=0,"",IF(INDEX(LookupData!AA:AA,$AK47)="","",INDEX(LookupData!AA:AA,$AK47))))</f>
        <v/>
      </c>
      <c r="AB47" s="7" t="str">
        <f>IF($AK47="","",IF($AK47=0,"",IF(INDEX(LookupData!AB:AB,$AK47)="","",INDEX(LookupData!AB:AB,$AK47))))</f>
        <v/>
      </c>
      <c r="AC47" s="7" t="str">
        <f>IF($AK47="","",IF($AK47=0,"",IF(INDEX(LookupData!AC:AC,$AK47)="","",INDEX(LookupData!AC:AC,$AK47))))</f>
        <v/>
      </c>
      <c r="AD47" s="7" t="str">
        <f>IF($AK47="","",IF($AK47=0,"",IF(INDEX(LookupData!AD:AD,$AK47)="","",INDEX(LookupData!AD:AD,$AK47))))</f>
        <v/>
      </c>
      <c r="AE47" s="7" t="str">
        <f>IF($AK47="","",IF($AK47=0,"",IF(INDEX(LookupData!AE:AE,$AK47)="","",INDEX(LookupData!AE:AE,$AK47))))</f>
        <v/>
      </c>
      <c r="AF47" t="str">
        <f>IF($AK47="","",IF($AK47=0,"",IF(INDEX(LookupData!AF:AF,$AK47)="","",INDEX(LookupData!AF:AF,$AK47))))</f>
        <v/>
      </c>
      <c r="AG47" t="str">
        <f>IF($AK47="","",IF($AK47=0,"",IF(INDEX(LookupData!AG:AG,$AK47)="","",INDEX(LookupData!AG:AG,$AK47))))</f>
        <v/>
      </c>
      <c r="AH47" s="11" t="str">
        <f>IF($AK47="","",IF($AK47=0,"",IF(INDEX(LookupData!AH:AH,$AK47)="","",INDEX(LookupData!AH:AH,$AK47))))</f>
        <v/>
      </c>
      <c r="AI47" s="12" t="str">
        <f>IF($AK47="","",IF($AK47=0,"",IF(INDEX(LookupData!AI:AI,$AK47)="","",HYPERLINK(INDEX(LookupData!AI:AI,$AK47),"Open"))))</f>
        <v/>
      </c>
      <c r="AK47" t="str">
        <f>IF(AL47="","",IFERROR(MATCH(AL47,LookupData!$A:$A,0),0))</f>
        <v/>
      </c>
      <c r="AL47" t="str">
        <f t="shared" si="2"/>
        <v/>
      </c>
      <c r="AM47" t="str">
        <f t="shared" si="3"/>
        <v/>
      </c>
    </row>
    <row r="48" spans="1:39" x14ac:dyDescent="0.2">
      <c r="A48" s="9"/>
      <c r="B48" s="10" t="str">
        <f>IF($AK48="","",IF($AK48=0,"not in the database",IF(INDEX(LookupData!B:B,$AK48)="","",INDEX(LookupData!B:B,$AK48))))</f>
        <v/>
      </c>
      <c r="C48" t="str">
        <f>IF($AK48="","",IF($AK48=0,"",IF(INDEX(LookupData!C:C,$AK48)="","",INDEX(LookupData!C:C,$AK48))))</f>
        <v/>
      </c>
      <c r="D48" t="str">
        <f>IF($AK48="","",IF($AK48=0,"",IF(INDEX(LookupData!D:D,$AK48)="","",INDEX(LookupData!D:D,$AK48))))</f>
        <v/>
      </c>
      <c r="E48" t="str">
        <f>IF($AK48="","",IF($AK48=0,"",IF(INDEX(LookupData!E:E,$AK48)="","",INDEX(LookupData!E:E,$AK48))))</f>
        <v/>
      </c>
      <c r="F48" t="str">
        <f>IF($AK48="","",IF($AK48=0,"",IF(INDEX(LookupData!F:F,$AK48)="","",INDEX(LookupData!F:F,$AK48))))</f>
        <v/>
      </c>
      <c r="G48" t="str">
        <f>IF($AK48="","",IF($AK48=0,"",IF(INDEX(LookupData!G:G,$AK48)="","",INDEX(LookupData!G:G,$AK48))))</f>
        <v/>
      </c>
      <c r="H48" t="str">
        <f>IF($AK48="","",IF($AK48=0,"",IF(INDEX(LookupData!H:H,$AK48)="","",INDEX(LookupData!H:H,$AK48))))</f>
        <v/>
      </c>
      <c r="I48" s="7" t="str">
        <f>IF($AK48="","",IF($AK48=0,"",IF(INDEX(LookupData!I:I,$AK48)="","",INDEX(LookupData!I:I,$AK48))))</f>
        <v/>
      </c>
      <c r="J48" s="7" t="str">
        <f>IF($AK48="","",IF($AK48=0,"",IF(INDEX(LookupData!J:J,$AK48)="","",INDEX(LookupData!J:J,$AK48))))</f>
        <v/>
      </c>
      <c r="K48" s="7" t="str">
        <f>IF($AK48="","",IF($AK48=0,"",IF(INDEX(LookupData!K:K,$AK48)="","",INDEX(LookupData!K:K,$AK48))))</f>
        <v/>
      </c>
      <c r="L48" s="7" t="str">
        <f>IF($AK48="","",IF($AK48=0,"",IF(INDEX(LookupData!L:L,$AK48)="","",INDEX(LookupData!L:L,$AK48))))</f>
        <v/>
      </c>
      <c r="M48" s="7" t="str">
        <f>IF($AK48="","",IF($AK48=0,"",IF(INDEX(LookupData!M:M,$AK48)="","",INDEX(LookupData!M:M,$AK48))))</f>
        <v/>
      </c>
      <c r="N48" s="7" t="str">
        <f>IF($AK48="","",IF($AK48=0,"",IF(INDEX(LookupData!N:N,$AK48)="","",INDEX(LookupData!N:N,$AK48))))</f>
        <v/>
      </c>
      <c r="O48" s="7" t="str">
        <f>IF($AK48="","",IF($AK48=0,"",IF(INDEX(LookupData!O:O,$AK48)="","",INDEX(LookupData!O:O,$AK48))))</f>
        <v/>
      </c>
      <c r="P48" s="7" t="str">
        <f>IF($AK48="","",IF($AK48=0,"",IF(INDEX(LookupData!P:P,$AK48)="","",INDEX(LookupData!P:P,$AK48))))</f>
        <v/>
      </c>
      <c r="Q48" s="7" t="str">
        <f>IF($AK48="","",IF($AK48=0,"",IF(INDEX(LookupData!Q:Q,$AK48)="","",INDEX(LookupData!Q:Q,$AK48))))</f>
        <v/>
      </c>
      <c r="R48" s="7" t="str">
        <f>IF($AK48="","",IF($AK48=0,"",IF(INDEX(LookupData!R:R,$AK48)="","",INDEX(LookupData!R:R,$AK48))))</f>
        <v/>
      </c>
      <c r="S48" s="7" t="str">
        <f>IF($AK48="","",IF($AK48=0,"",IF(INDEX(LookupData!S:S,$AK48)="","",INDEX(LookupData!S:S,$AK48))))</f>
        <v/>
      </c>
      <c r="T48" s="7" t="str">
        <f>IF($AK48="","",IF($AK48=0,"",IF(INDEX(LookupData!T:T,$AK48)="","",INDEX(LookupData!T:T,$AK48))))</f>
        <v/>
      </c>
      <c r="U48" s="7" t="str">
        <f>IF($AK48="","",IF($AK48=0,"",IF(INDEX(LookupData!U:U,$AK48)="","",INDEX(LookupData!U:U,$AK48))))</f>
        <v/>
      </c>
      <c r="V48" s="7" t="str">
        <f>IF($AK48="","",IF($AK48=0,"",IF(INDEX(LookupData!V:V,$AK48)="","",INDEX(LookupData!V:V,$AK48))))</f>
        <v/>
      </c>
      <c r="W48" t="str">
        <f>IF($AK48="","",IF($AK48=0,"",IF(INDEX(LookupData!W:W,$AK48)="","",INDEX(LookupData!W:W,$AK48))))</f>
        <v/>
      </c>
      <c r="X48" s="7" t="str">
        <f>IF($AK48="","",IF($AK48=0,"",IF(INDEX(LookupData!X:X,$AK48)="","",INDEX(LookupData!X:X,$AK48))))</f>
        <v/>
      </c>
      <c r="Y48" s="7" t="str">
        <f>IF($AK48="","",IF($AK48=0,"",IF(INDEX(LookupData!Y:Y,$AK48)="","",INDEX(LookupData!Y:Y,$AK48))))</f>
        <v/>
      </c>
      <c r="Z48" s="7" t="str">
        <f>IF($AK48="","",IF($AK48=0,"",IF(INDEX(LookupData!Z:Z,$AK48)="","",INDEX(LookupData!Z:Z,$AK48))))</f>
        <v/>
      </c>
      <c r="AA48" s="7" t="str">
        <f>IF($AK48="","",IF($AK48=0,"",IF(INDEX(LookupData!AA:AA,$AK48)="","",INDEX(LookupData!AA:AA,$AK48))))</f>
        <v/>
      </c>
      <c r="AB48" s="7" t="str">
        <f>IF($AK48="","",IF($AK48=0,"",IF(INDEX(LookupData!AB:AB,$AK48)="","",INDEX(LookupData!AB:AB,$AK48))))</f>
        <v/>
      </c>
      <c r="AC48" s="7" t="str">
        <f>IF($AK48="","",IF($AK48=0,"",IF(INDEX(LookupData!AC:AC,$AK48)="","",INDEX(LookupData!AC:AC,$AK48))))</f>
        <v/>
      </c>
      <c r="AD48" s="7" t="str">
        <f>IF($AK48="","",IF($AK48=0,"",IF(INDEX(LookupData!AD:AD,$AK48)="","",INDEX(LookupData!AD:AD,$AK48))))</f>
        <v/>
      </c>
      <c r="AE48" s="7" t="str">
        <f>IF($AK48="","",IF($AK48=0,"",IF(INDEX(LookupData!AE:AE,$AK48)="","",INDEX(LookupData!AE:AE,$AK48))))</f>
        <v/>
      </c>
      <c r="AF48" t="str">
        <f>IF($AK48="","",IF($AK48=0,"",IF(INDEX(LookupData!AF:AF,$AK48)="","",INDEX(LookupData!AF:AF,$AK48))))</f>
        <v/>
      </c>
      <c r="AG48" t="str">
        <f>IF($AK48="","",IF($AK48=0,"",IF(INDEX(LookupData!AG:AG,$AK48)="","",INDEX(LookupData!AG:AG,$AK48))))</f>
        <v/>
      </c>
      <c r="AH48" s="11" t="str">
        <f>IF($AK48="","",IF($AK48=0,"",IF(INDEX(LookupData!AH:AH,$AK48)="","",INDEX(LookupData!AH:AH,$AK48))))</f>
        <v/>
      </c>
      <c r="AI48" s="12" t="str">
        <f>IF($AK48="","",IF($AK48=0,"",IF(INDEX(LookupData!AI:AI,$AK48)="","",HYPERLINK(INDEX(LookupData!AI:AI,$AK48),"Open"))))</f>
        <v/>
      </c>
      <c r="AK48" t="str">
        <f>IF(AL48="","",IFERROR(MATCH(AL48,LookupData!$A:$A,0),0))</f>
        <v/>
      </c>
      <c r="AL48" t="str">
        <f t="shared" si="2"/>
        <v/>
      </c>
      <c r="AM48" t="str">
        <f t="shared" si="3"/>
        <v/>
      </c>
    </row>
    <row r="49" spans="1:39" x14ac:dyDescent="0.2">
      <c r="A49" s="9"/>
      <c r="B49" s="10" t="str">
        <f>IF($AK49="","",IF($AK49=0,"not in the database",IF(INDEX(LookupData!B:B,$AK49)="","",INDEX(LookupData!B:B,$AK49))))</f>
        <v/>
      </c>
      <c r="C49" t="str">
        <f>IF($AK49="","",IF($AK49=0,"",IF(INDEX(LookupData!C:C,$AK49)="","",INDEX(LookupData!C:C,$AK49))))</f>
        <v/>
      </c>
      <c r="D49" t="str">
        <f>IF($AK49="","",IF($AK49=0,"",IF(INDEX(LookupData!D:D,$AK49)="","",INDEX(LookupData!D:D,$AK49))))</f>
        <v/>
      </c>
      <c r="E49" t="str">
        <f>IF($AK49="","",IF($AK49=0,"",IF(INDEX(LookupData!E:E,$AK49)="","",INDEX(LookupData!E:E,$AK49))))</f>
        <v/>
      </c>
      <c r="F49" t="str">
        <f>IF($AK49="","",IF($AK49=0,"",IF(INDEX(LookupData!F:F,$AK49)="","",INDEX(LookupData!F:F,$AK49))))</f>
        <v/>
      </c>
      <c r="G49" t="str">
        <f>IF($AK49="","",IF($AK49=0,"",IF(INDEX(LookupData!G:G,$AK49)="","",INDEX(LookupData!G:G,$AK49))))</f>
        <v/>
      </c>
      <c r="H49" t="str">
        <f>IF($AK49="","",IF($AK49=0,"",IF(INDEX(LookupData!H:H,$AK49)="","",INDEX(LookupData!H:H,$AK49))))</f>
        <v/>
      </c>
      <c r="I49" s="7" t="str">
        <f>IF($AK49="","",IF($AK49=0,"",IF(INDEX(LookupData!I:I,$AK49)="","",INDEX(LookupData!I:I,$AK49))))</f>
        <v/>
      </c>
      <c r="J49" s="7" t="str">
        <f>IF($AK49="","",IF($AK49=0,"",IF(INDEX(LookupData!J:J,$AK49)="","",INDEX(LookupData!J:J,$AK49))))</f>
        <v/>
      </c>
      <c r="K49" s="7" t="str">
        <f>IF($AK49="","",IF($AK49=0,"",IF(INDEX(LookupData!K:K,$AK49)="","",INDEX(LookupData!K:K,$AK49))))</f>
        <v/>
      </c>
      <c r="L49" s="7" t="str">
        <f>IF($AK49="","",IF($AK49=0,"",IF(INDEX(LookupData!L:L,$AK49)="","",INDEX(LookupData!L:L,$AK49))))</f>
        <v/>
      </c>
      <c r="M49" s="7" t="str">
        <f>IF($AK49="","",IF($AK49=0,"",IF(INDEX(LookupData!M:M,$AK49)="","",INDEX(LookupData!M:M,$AK49))))</f>
        <v/>
      </c>
      <c r="N49" s="7" t="str">
        <f>IF($AK49="","",IF($AK49=0,"",IF(INDEX(LookupData!N:N,$AK49)="","",INDEX(LookupData!N:N,$AK49))))</f>
        <v/>
      </c>
      <c r="O49" s="7" t="str">
        <f>IF($AK49="","",IF($AK49=0,"",IF(INDEX(LookupData!O:O,$AK49)="","",INDEX(LookupData!O:O,$AK49))))</f>
        <v/>
      </c>
      <c r="P49" s="7" t="str">
        <f>IF($AK49="","",IF($AK49=0,"",IF(INDEX(LookupData!P:P,$AK49)="","",INDEX(LookupData!P:P,$AK49))))</f>
        <v/>
      </c>
      <c r="Q49" s="7" t="str">
        <f>IF($AK49="","",IF($AK49=0,"",IF(INDEX(LookupData!Q:Q,$AK49)="","",INDEX(LookupData!Q:Q,$AK49))))</f>
        <v/>
      </c>
      <c r="R49" s="7" t="str">
        <f>IF($AK49="","",IF($AK49=0,"",IF(INDEX(LookupData!R:R,$AK49)="","",INDEX(LookupData!R:R,$AK49))))</f>
        <v/>
      </c>
      <c r="S49" s="7" t="str">
        <f>IF($AK49="","",IF($AK49=0,"",IF(INDEX(LookupData!S:S,$AK49)="","",INDEX(LookupData!S:S,$AK49))))</f>
        <v/>
      </c>
      <c r="T49" s="7" t="str">
        <f>IF($AK49="","",IF($AK49=0,"",IF(INDEX(LookupData!T:T,$AK49)="","",INDEX(LookupData!T:T,$AK49))))</f>
        <v/>
      </c>
      <c r="U49" s="7" t="str">
        <f>IF($AK49="","",IF($AK49=0,"",IF(INDEX(LookupData!U:U,$AK49)="","",INDEX(LookupData!U:U,$AK49))))</f>
        <v/>
      </c>
      <c r="V49" s="7" t="str">
        <f>IF($AK49="","",IF($AK49=0,"",IF(INDEX(LookupData!V:V,$AK49)="","",INDEX(LookupData!V:V,$AK49))))</f>
        <v/>
      </c>
      <c r="W49" t="str">
        <f>IF($AK49="","",IF($AK49=0,"",IF(INDEX(LookupData!W:W,$AK49)="","",INDEX(LookupData!W:W,$AK49))))</f>
        <v/>
      </c>
      <c r="X49" s="7" t="str">
        <f>IF($AK49="","",IF($AK49=0,"",IF(INDEX(LookupData!X:X,$AK49)="","",INDEX(LookupData!X:X,$AK49))))</f>
        <v/>
      </c>
      <c r="Y49" s="7" t="str">
        <f>IF($AK49="","",IF($AK49=0,"",IF(INDEX(LookupData!Y:Y,$AK49)="","",INDEX(LookupData!Y:Y,$AK49))))</f>
        <v/>
      </c>
      <c r="Z49" s="7" t="str">
        <f>IF($AK49="","",IF($AK49=0,"",IF(INDEX(LookupData!Z:Z,$AK49)="","",INDEX(LookupData!Z:Z,$AK49))))</f>
        <v/>
      </c>
      <c r="AA49" s="7" t="str">
        <f>IF($AK49="","",IF($AK49=0,"",IF(INDEX(LookupData!AA:AA,$AK49)="","",INDEX(LookupData!AA:AA,$AK49))))</f>
        <v/>
      </c>
      <c r="AB49" s="7" t="str">
        <f>IF($AK49="","",IF($AK49=0,"",IF(INDEX(LookupData!AB:AB,$AK49)="","",INDEX(LookupData!AB:AB,$AK49))))</f>
        <v/>
      </c>
      <c r="AC49" s="7" t="str">
        <f>IF($AK49="","",IF($AK49=0,"",IF(INDEX(LookupData!AC:AC,$AK49)="","",INDEX(LookupData!AC:AC,$AK49))))</f>
        <v/>
      </c>
      <c r="AD49" s="7" t="str">
        <f>IF($AK49="","",IF($AK49=0,"",IF(INDEX(LookupData!AD:AD,$AK49)="","",INDEX(LookupData!AD:AD,$AK49))))</f>
        <v/>
      </c>
      <c r="AE49" s="7" t="str">
        <f>IF($AK49="","",IF($AK49=0,"",IF(INDEX(LookupData!AE:AE,$AK49)="","",INDEX(LookupData!AE:AE,$AK49))))</f>
        <v/>
      </c>
      <c r="AF49" t="str">
        <f>IF($AK49="","",IF($AK49=0,"",IF(INDEX(LookupData!AF:AF,$AK49)="","",INDEX(LookupData!AF:AF,$AK49))))</f>
        <v/>
      </c>
      <c r="AG49" t="str">
        <f>IF($AK49="","",IF($AK49=0,"",IF(INDEX(LookupData!AG:AG,$AK49)="","",INDEX(LookupData!AG:AG,$AK49))))</f>
        <v/>
      </c>
      <c r="AH49" s="11" t="str">
        <f>IF($AK49="","",IF($AK49=0,"",IF(INDEX(LookupData!AH:AH,$AK49)="","",INDEX(LookupData!AH:AH,$AK49))))</f>
        <v/>
      </c>
      <c r="AI49" s="12" t="str">
        <f>IF($AK49="","",IF($AK49=0,"",IF(INDEX(LookupData!AI:AI,$AK49)="","",HYPERLINK(INDEX(LookupData!AI:AI,$AK49),"Open"))))</f>
        <v/>
      </c>
      <c r="AK49" t="str">
        <f>IF(AL49="","",IFERROR(MATCH(AL49,LookupData!$A:$A,0),0))</f>
        <v/>
      </c>
      <c r="AL49" t="str">
        <f t="shared" si="2"/>
        <v/>
      </c>
      <c r="AM49" t="str">
        <f t="shared" si="3"/>
        <v/>
      </c>
    </row>
    <row r="50" spans="1:39" x14ac:dyDescent="0.2">
      <c r="A50" s="9"/>
      <c r="B50" s="10" t="str">
        <f>IF($AK50="","",IF($AK50=0,"not in the database",IF(INDEX(LookupData!B:B,$AK50)="","",INDEX(LookupData!B:B,$AK50))))</f>
        <v/>
      </c>
      <c r="C50" t="str">
        <f>IF($AK50="","",IF($AK50=0,"",IF(INDEX(LookupData!C:C,$AK50)="","",INDEX(LookupData!C:C,$AK50))))</f>
        <v/>
      </c>
      <c r="D50" t="str">
        <f>IF($AK50="","",IF($AK50=0,"",IF(INDEX(LookupData!D:D,$AK50)="","",INDEX(LookupData!D:D,$AK50))))</f>
        <v/>
      </c>
      <c r="E50" t="str">
        <f>IF($AK50="","",IF($AK50=0,"",IF(INDEX(LookupData!E:E,$AK50)="","",INDEX(LookupData!E:E,$AK50))))</f>
        <v/>
      </c>
      <c r="F50" t="str">
        <f>IF($AK50="","",IF($AK50=0,"",IF(INDEX(LookupData!F:F,$AK50)="","",INDEX(LookupData!F:F,$AK50))))</f>
        <v/>
      </c>
      <c r="G50" t="str">
        <f>IF($AK50="","",IF($AK50=0,"",IF(INDEX(LookupData!G:G,$AK50)="","",INDEX(LookupData!G:G,$AK50))))</f>
        <v/>
      </c>
      <c r="H50" t="str">
        <f>IF($AK50="","",IF($AK50=0,"",IF(INDEX(LookupData!H:H,$AK50)="","",INDEX(LookupData!H:H,$AK50))))</f>
        <v/>
      </c>
      <c r="I50" s="7" t="str">
        <f>IF($AK50="","",IF($AK50=0,"",IF(INDEX(LookupData!I:I,$AK50)="","",INDEX(LookupData!I:I,$AK50))))</f>
        <v/>
      </c>
      <c r="J50" s="7" t="str">
        <f>IF($AK50="","",IF($AK50=0,"",IF(INDEX(LookupData!J:J,$AK50)="","",INDEX(LookupData!J:J,$AK50))))</f>
        <v/>
      </c>
      <c r="K50" s="7" t="str">
        <f>IF($AK50="","",IF($AK50=0,"",IF(INDEX(LookupData!K:K,$AK50)="","",INDEX(LookupData!K:K,$AK50))))</f>
        <v/>
      </c>
      <c r="L50" s="7" t="str">
        <f>IF($AK50="","",IF($AK50=0,"",IF(INDEX(LookupData!L:L,$AK50)="","",INDEX(LookupData!L:L,$AK50))))</f>
        <v/>
      </c>
      <c r="M50" s="7" t="str">
        <f>IF($AK50="","",IF($AK50=0,"",IF(INDEX(LookupData!M:M,$AK50)="","",INDEX(LookupData!M:M,$AK50))))</f>
        <v/>
      </c>
      <c r="N50" s="7" t="str">
        <f>IF($AK50="","",IF($AK50=0,"",IF(INDEX(LookupData!N:N,$AK50)="","",INDEX(LookupData!N:N,$AK50))))</f>
        <v/>
      </c>
      <c r="O50" s="7" t="str">
        <f>IF($AK50="","",IF($AK50=0,"",IF(INDEX(LookupData!O:O,$AK50)="","",INDEX(LookupData!O:O,$AK50))))</f>
        <v/>
      </c>
      <c r="P50" s="7" t="str">
        <f>IF($AK50="","",IF($AK50=0,"",IF(INDEX(LookupData!P:P,$AK50)="","",INDEX(LookupData!P:P,$AK50))))</f>
        <v/>
      </c>
      <c r="Q50" s="7" t="str">
        <f>IF($AK50="","",IF($AK50=0,"",IF(INDEX(LookupData!Q:Q,$AK50)="","",INDEX(LookupData!Q:Q,$AK50))))</f>
        <v/>
      </c>
      <c r="R50" s="7" t="str">
        <f>IF($AK50="","",IF($AK50=0,"",IF(INDEX(LookupData!R:R,$AK50)="","",INDEX(LookupData!R:R,$AK50))))</f>
        <v/>
      </c>
      <c r="S50" s="7" t="str">
        <f>IF($AK50="","",IF($AK50=0,"",IF(INDEX(LookupData!S:S,$AK50)="","",INDEX(LookupData!S:S,$AK50))))</f>
        <v/>
      </c>
      <c r="T50" s="7" t="str">
        <f>IF($AK50="","",IF($AK50=0,"",IF(INDEX(LookupData!T:T,$AK50)="","",INDEX(LookupData!T:T,$AK50))))</f>
        <v/>
      </c>
      <c r="U50" s="7" t="str">
        <f>IF($AK50="","",IF($AK50=0,"",IF(INDEX(LookupData!U:U,$AK50)="","",INDEX(LookupData!U:U,$AK50))))</f>
        <v/>
      </c>
      <c r="V50" s="7" t="str">
        <f>IF($AK50="","",IF($AK50=0,"",IF(INDEX(LookupData!V:V,$AK50)="","",INDEX(LookupData!V:V,$AK50))))</f>
        <v/>
      </c>
      <c r="W50" t="str">
        <f>IF($AK50="","",IF($AK50=0,"",IF(INDEX(LookupData!W:W,$AK50)="","",INDEX(LookupData!W:W,$AK50))))</f>
        <v/>
      </c>
      <c r="X50" s="7" t="str">
        <f>IF($AK50="","",IF($AK50=0,"",IF(INDEX(LookupData!X:X,$AK50)="","",INDEX(LookupData!X:X,$AK50))))</f>
        <v/>
      </c>
      <c r="Y50" s="7" t="str">
        <f>IF($AK50="","",IF($AK50=0,"",IF(INDEX(LookupData!Y:Y,$AK50)="","",INDEX(LookupData!Y:Y,$AK50))))</f>
        <v/>
      </c>
      <c r="Z50" s="7" t="str">
        <f>IF($AK50="","",IF($AK50=0,"",IF(INDEX(LookupData!Z:Z,$AK50)="","",INDEX(LookupData!Z:Z,$AK50))))</f>
        <v/>
      </c>
      <c r="AA50" s="7" t="str">
        <f>IF($AK50="","",IF($AK50=0,"",IF(INDEX(LookupData!AA:AA,$AK50)="","",INDEX(LookupData!AA:AA,$AK50))))</f>
        <v/>
      </c>
      <c r="AB50" s="7" t="str">
        <f>IF($AK50="","",IF($AK50=0,"",IF(INDEX(LookupData!AB:AB,$AK50)="","",INDEX(LookupData!AB:AB,$AK50))))</f>
        <v/>
      </c>
      <c r="AC50" s="7" t="str">
        <f>IF($AK50="","",IF($AK50=0,"",IF(INDEX(LookupData!AC:AC,$AK50)="","",INDEX(LookupData!AC:AC,$AK50))))</f>
        <v/>
      </c>
      <c r="AD50" s="7" t="str">
        <f>IF($AK50="","",IF($AK50=0,"",IF(INDEX(LookupData!AD:AD,$AK50)="","",INDEX(LookupData!AD:AD,$AK50))))</f>
        <v/>
      </c>
      <c r="AE50" s="7" t="str">
        <f>IF($AK50="","",IF($AK50=0,"",IF(INDEX(LookupData!AE:AE,$AK50)="","",INDEX(LookupData!AE:AE,$AK50))))</f>
        <v/>
      </c>
      <c r="AF50" t="str">
        <f>IF($AK50="","",IF($AK50=0,"",IF(INDEX(LookupData!AF:AF,$AK50)="","",INDEX(LookupData!AF:AF,$AK50))))</f>
        <v/>
      </c>
      <c r="AG50" t="str">
        <f>IF($AK50="","",IF($AK50=0,"",IF(INDEX(LookupData!AG:AG,$AK50)="","",INDEX(LookupData!AG:AG,$AK50))))</f>
        <v/>
      </c>
      <c r="AH50" s="11" t="str">
        <f>IF($AK50="","",IF($AK50=0,"",IF(INDEX(LookupData!AH:AH,$AK50)="","",INDEX(LookupData!AH:AH,$AK50))))</f>
        <v/>
      </c>
      <c r="AI50" s="12" t="str">
        <f>IF($AK50="","",IF($AK50=0,"",IF(INDEX(LookupData!AI:AI,$AK50)="","",HYPERLINK(INDEX(LookupData!AI:AI,$AK50),"Open"))))</f>
        <v/>
      </c>
      <c r="AK50" t="str">
        <f>IF(AL50="","",IFERROR(MATCH(AL50,LookupData!$A:$A,0),0))</f>
        <v/>
      </c>
      <c r="AL50" t="str">
        <f t="shared" si="2"/>
        <v/>
      </c>
      <c r="AM50" t="str">
        <f t="shared" si="3"/>
        <v/>
      </c>
    </row>
    <row r="51" spans="1:39" x14ac:dyDescent="0.2">
      <c r="A51" s="9"/>
      <c r="B51" s="10" t="str">
        <f>IF($AK51="","",IF($AK51=0,"not in the database",IF(INDEX(LookupData!B:B,$AK51)="","",INDEX(LookupData!B:B,$AK51))))</f>
        <v/>
      </c>
      <c r="C51" t="str">
        <f>IF($AK51="","",IF($AK51=0,"",IF(INDEX(LookupData!C:C,$AK51)="","",INDEX(LookupData!C:C,$AK51))))</f>
        <v/>
      </c>
      <c r="D51" t="str">
        <f>IF($AK51="","",IF($AK51=0,"",IF(INDEX(LookupData!D:D,$AK51)="","",INDEX(LookupData!D:D,$AK51))))</f>
        <v/>
      </c>
      <c r="E51" t="str">
        <f>IF($AK51="","",IF($AK51=0,"",IF(INDEX(LookupData!E:E,$AK51)="","",INDEX(LookupData!E:E,$AK51))))</f>
        <v/>
      </c>
      <c r="F51" t="str">
        <f>IF($AK51="","",IF($AK51=0,"",IF(INDEX(LookupData!F:F,$AK51)="","",INDEX(LookupData!F:F,$AK51))))</f>
        <v/>
      </c>
      <c r="G51" t="str">
        <f>IF($AK51="","",IF($AK51=0,"",IF(INDEX(LookupData!G:G,$AK51)="","",INDEX(LookupData!G:G,$AK51))))</f>
        <v/>
      </c>
      <c r="H51" t="str">
        <f>IF($AK51="","",IF($AK51=0,"",IF(INDEX(LookupData!H:H,$AK51)="","",INDEX(LookupData!H:H,$AK51))))</f>
        <v/>
      </c>
      <c r="I51" s="7" t="str">
        <f>IF($AK51="","",IF($AK51=0,"",IF(INDEX(LookupData!I:I,$AK51)="","",INDEX(LookupData!I:I,$AK51))))</f>
        <v/>
      </c>
      <c r="J51" s="7" t="str">
        <f>IF($AK51="","",IF($AK51=0,"",IF(INDEX(LookupData!J:J,$AK51)="","",INDEX(LookupData!J:J,$AK51))))</f>
        <v/>
      </c>
      <c r="K51" s="7" t="str">
        <f>IF($AK51="","",IF($AK51=0,"",IF(INDEX(LookupData!K:K,$AK51)="","",INDEX(LookupData!K:K,$AK51))))</f>
        <v/>
      </c>
      <c r="L51" s="7" t="str">
        <f>IF($AK51="","",IF($AK51=0,"",IF(INDEX(LookupData!L:L,$AK51)="","",INDEX(LookupData!L:L,$AK51))))</f>
        <v/>
      </c>
      <c r="M51" s="7" t="str">
        <f>IF($AK51="","",IF($AK51=0,"",IF(INDEX(LookupData!M:M,$AK51)="","",INDEX(LookupData!M:M,$AK51))))</f>
        <v/>
      </c>
      <c r="N51" s="7" t="str">
        <f>IF($AK51="","",IF($AK51=0,"",IF(INDEX(LookupData!N:N,$AK51)="","",INDEX(LookupData!N:N,$AK51))))</f>
        <v/>
      </c>
      <c r="O51" s="7" t="str">
        <f>IF($AK51="","",IF($AK51=0,"",IF(INDEX(LookupData!O:O,$AK51)="","",INDEX(LookupData!O:O,$AK51))))</f>
        <v/>
      </c>
      <c r="P51" s="7" t="str">
        <f>IF($AK51="","",IF($AK51=0,"",IF(INDEX(LookupData!P:P,$AK51)="","",INDEX(LookupData!P:P,$AK51))))</f>
        <v/>
      </c>
      <c r="Q51" s="7" t="str">
        <f>IF($AK51="","",IF($AK51=0,"",IF(INDEX(LookupData!Q:Q,$AK51)="","",INDEX(LookupData!Q:Q,$AK51))))</f>
        <v/>
      </c>
      <c r="R51" s="7" t="str">
        <f>IF($AK51="","",IF($AK51=0,"",IF(INDEX(LookupData!R:R,$AK51)="","",INDEX(LookupData!R:R,$AK51))))</f>
        <v/>
      </c>
      <c r="S51" s="7" t="str">
        <f>IF($AK51="","",IF($AK51=0,"",IF(INDEX(LookupData!S:S,$AK51)="","",INDEX(LookupData!S:S,$AK51))))</f>
        <v/>
      </c>
      <c r="T51" s="7" t="str">
        <f>IF($AK51="","",IF($AK51=0,"",IF(INDEX(LookupData!T:T,$AK51)="","",INDEX(LookupData!T:T,$AK51))))</f>
        <v/>
      </c>
      <c r="U51" s="7" t="str">
        <f>IF($AK51="","",IF($AK51=0,"",IF(INDEX(LookupData!U:U,$AK51)="","",INDEX(LookupData!U:U,$AK51))))</f>
        <v/>
      </c>
      <c r="V51" s="7" t="str">
        <f>IF($AK51="","",IF($AK51=0,"",IF(INDEX(LookupData!V:V,$AK51)="","",INDEX(LookupData!V:V,$AK51))))</f>
        <v/>
      </c>
      <c r="W51" t="str">
        <f>IF($AK51="","",IF($AK51=0,"",IF(INDEX(LookupData!W:W,$AK51)="","",INDEX(LookupData!W:W,$AK51))))</f>
        <v/>
      </c>
      <c r="X51" s="7" t="str">
        <f>IF($AK51="","",IF($AK51=0,"",IF(INDEX(LookupData!X:X,$AK51)="","",INDEX(LookupData!X:X,$AK51))))</f>
        <v/>
      </c>
      <c r="Y51" s="7" t="str">
        <f>IF($AK51="","",IF($AK51=0,"",IF(INDEX(LookupData!Y:Y,$AK51)="","",INDEX(LookupData!Y:Y,$AK51))))</f>
        <v/>
      </c>
      <c r="Z51" s="7" t="str">
        <f>IF($AK51="","",IF($AK51=0,"",IF(INDEX(LookupData!Z:Z,$AK51)="","",INDEX(LookupData!Z:Z,$AK51))))</f>
        <v/>
      </c>
      <c r="AA51" s="7" t="str">
        <f>IF($AK51="","",IF($AK51=0,"",IF(INDEX(LookupData!AA:AA,$AK51)="","",INDEX(LookupData!AA:AA,$AK51))))</f>
        <v/>
      </c>
      <c r="AB51" s="7" t="str">
        <f>IF($AK51="","",IF($AK51=0,"",IF(INDEX(LookupData!AB:AB,$AK51)="","",INDEX(LookupData!AB:AB,$AK51))))</f>
        <v/>
      </c>
      <c r="AC51" s="7" t="str">
        <f>IF($AK51="","",IF($AK51=0,"",IF(INDEX(LookupData!AC:AC,$AK51)="","",INDEX(LookupData!AC:AC,$AK51))))</f>
        <v/>
      </c>
      <c r="AD51" s="7" t="str">
        <f>IF($AK51="","",IF($AK51=0,"",IF(INDEX(LookupData!AD:AD,$AK51)="","",INDEX(LookupData!AD:AD,$AK51))))</f>
        <v/>
      </c>
      <c r="AE51" s="7" t="str">
        <f>IF($AK51="","",IF($AK51=0,"",IF(INDEX(LookupData!AE:AE,$AK51)="","",INDEX(LookupData!AE:AE,$AK51))))</f>
        <v/>
      </c>
      <c r="AF51" t="str">
        <f>IF($AK51="","",IF($AK51=0,"",IF(INDEX(LookupData!AF:AF,$AK51)="","",INDEX(LookupData!AF:AF,$AK51))))</f>
        <v/>
      </c>
      <c r="AG51" t="str">
        <f>IF($AK51="","",IF($AK51=0,"",IF(INDEX(LookupData!AG:AG,$AK51)="","",INDEX(LookupData!AG:AG,$AK51))))</f>
        <v/>
      </c>
      <c r="AH51" s="11" t="str">
        <f>IF($AK51="","",IF($AK51=0,"",IF(INDEX(LookupData!AH:AH,$AK51)="","",INDEX(LookupData!AH:AH,$AK51))))</f>
        <v/>
      </c>
      <c r="AI51" s="12" t="str">
        <f>IF($AK51="","",IF($AK51=0,"",IF(INDEX(LookupData!AI:AI,$AK51)="","",HYPERLINK(INDEX(LookupData!AI:AI,$AK51),"Open"))))</f>
        <v/>
      </c>
      <c r="AK51" t="str">
        <f>IF(AL51="","",IFERROR(MATCH(AL51,LookupData!$A:$A,0),0))</f>
        <v/>
      </c>
      <c r="AL51" t="str">
        <f t="shared" si="2"/>
        <v/>
      </c>
      <c r="AM51" t="str">
        <f t="shared" si="3"/>
        <v/>
      </c>
    </row>
    <row r="52" spans="1:39" x14ac:dyDescent="0.2">
      <c r="A52" s="9"/>
      <c r="B52" s="10" t="str">
        <f>IF($AK52="","",IF($AK52=0,"not in the database",IF(INDEX(LookupData!B:B,$AK52)="","",INDEX(LookupData!B:B,$AK52))))</f>
        <v/>
      </c>
      <c r="C52" t="str">
        <f>IF($AK52="","",IF($AK52=0,"",IF(INDEX(LookupData!C:C,$AK52)="","",INDEX(LookupData!C:C,$AK52))))</f>
        <v/>
      </c>
      <c r="D52" t="str">
        <f>IF($AK52="","",IF($AK52=0,"",IF(INDEX(LookupData!D:D,$AK52)="","",INDEX(LookupData!D:D,$AK52))))</f>
        <v/>
      </c>
      <c r="E52" t="str">
        <f>IF($AK52="","",IF($AK52=0,"",IF(INDEX(LookupData!E:E,$AK52)="","",INDEX(LookupData!E:E,$AK52))))</f>
        <v/>
      </c>
      <c r="F52" t="str">
        <f>IF($AK52="","",IF($AK52=0,"",IF(INDEX(LookupData!F:F,$AK52)="","",INDEX(LookupData!F:F,$AK52))))</f>
        <v/>
      </c>
      <c r="G52" t="str">
        <f>IF($AK52="","",IF($AK52=0,"",IF(INDEX(LookupData!G:G,$AK52)="","",INDEX(LookupData!G:G,$AK52))))</f>
        <v/>
      </c>
      <c r="H52" t="str">
        <f>IF($AK52="","",IF($AK52=0,"",IF(INDEX(LookupData!H:H,$AK52)="","",INDEX(LookupData!H:H,$AK52))))</f>
        <v/>
      </c>
      <c r="I52" s="7" t="str">
        <f>IF($AK52="","",IF($AK52=0,"",IF(INDEX(LookupData!I:I,$AK52)="","",INDEX(LookupData!I:I,$AK52))))</f>
        <v/>
      </c>
      <c r="J52" s="7" t="str">
        <f>IF($AK52="","",IF($AK52=0,"",IF(INDEX(LookupData!J:J,$AK52)="","",INDEX(LookupData!J:J,$AK52))))</f>
        <v/>
      </c>
      <c r="K52" s="7" t="str">
        <f>IF($AK52="","",IF($AK52=0,"",IF(INDEX(LookupData!K:K,$AK52)="","",INDEX(LookupData!K:K,$AK52))))</f>
        <v/>
      </c>
      <c r="L52" s="7" t="str">
        <f>IF($AK52="","",IF($AK52=0,"",IF(INDEX(LookupData!L:L,$AK52)="","",INDEX(LookupData!L:L,$AK52))))</f>
        <v/>
      </c>
      <c r="M52" s="7" t="str">
        <f>IF($AK52="","",IF($AK52=0,"",IF(INDEX(LookupData!M:M,$AK52)="","",INDEX(LookupData!M:M,$AK52))))</f>
        <v/>
      </c>
      <c r="N52" s="7" t="str">
        <f>IF($AK52="","",IF($AK52=0,"",IF(INDEX(LookupData!N:N,$AK52)="","",INDEX(LookupData!N:N,$AK52))))</f>
        <v/>
      </c>
      <c r="O52" s="7" t="str">
        <f>IF($AK52="","",IF($AK52=0,"",IF(INDEX(LookupData!O:O,$AK52)="","",INDEX(LookupData!O:O,$AK52))))</f>
        <v/>
      </c>
      <c r="P52" s="7" t="str">
        <f>IF($AK52="","",IF($AK52=0,"",IF(INDEX(LookupData!P:P,$AK52)="","",INDEX(LookupData!P:P,$AK52))))</f>
        <v/>
      </c>
      <c r="Q52" s="7" t="str">
        <f>IF($AK52="","",IF($AK52=0,"",IF(INDEX(LookupData!Q:Q,$AK52)="","",INDEX(LookupData!Q:Q,$AK52))))</f>
        <v/>
      </c>
      <c r="R52" s="7" t="str">
        <f>IF($AK52="","",IF($AK52=0,"",IF(INDEX(LookupData!R:R,$AK52)="","",INDEX(LookupData!R:R,$AK52))))</f>
        <v/>
      </c>
      <c r="S52" s="7" t="str">
        <f>IF($AK52="","",IF($AK52=0,"",IF(INDEX(LookupData!S:S,$AK52)="","",INDEX(LookupData!S:S,$AK52))))</f>
        <v/>
      </c>
      <c r="T52" s="7" t="str">
        <f>IF($AK52="","",IF($AK52=0,"",IF(INDEX(LookupData!T:T,$AK52)="","",INDEX(LookupData!T:T,$AK52))))</f>
        <v/>
      </c>
      <c r="U52" s="7" t="str">
        <f>IF($AK52="","",IF($AK52=0,"",IF(INDEX(LookupData!U:U,$AK52)="","",INDEX(LookupData!U:U,$AK52))))</f>
        <v/>
      </c>
      <c r="V52" s="7" t="str">
        <f>IF($AK52="","",IF($AK52=0,"",IF(INDEX(LookupData!V:V,$AK52)="","",INDEX(LookupData!V:V,$AK52))))</f>
        <v/>
      </c>
      <c r="W52" t="str">
        <f>IF($AK52="","",IF($AK52=0,"",IF(INDEX(LookupData!W:W,$AK52)="","",INDEX(LookupData!W:W,$AK52))))</f>
        <v/>
      </c>
      <c r="X52" s="7" t="str">
        <f>IF($AK52="","",IF($AK52=0,"",IF(INDEX(LookupData!X:X,$AK52)="","",INDEX(LookupData!X:X,$AK52))))</f>
        <v/>
      </c>
      <c r="Y52" s="7" t="str">
        <f>IF($AK52="","",IF($AK52=0,"",IF(INDEX(LookupData!Y:Y,$AK52)="","",INDEX(LookupData!Y:Y,$AK52))))</f>
        <v/>
      </c>
      <c r="Z52" s="7" t="str">
        <f>IF($AK52="","",IF($AK52=0,"",IF(INDEX(LookupData!Z:Z,$AK52)="","",INDEX(LookupData!Z:Z,$AK52))))</f>
        <v/>
      </c>
      <c r="AA52" s="7" t="str">
        <f>IF($AK52="","",IF($AK52=0,"",IF(INDEX(LookupData!AA:AA,$AK52)="","",INDEX(LookupData!AA:AA,$AK52))))</f>
        <v/>
      </c>
      <c r="AB52" s="7" t="str">
        <f>IF($AK52="","",IF($AK52=0,"",IF(INDEX(LookupData!AB:AB,$AK52)="","",INDEX(LookupData!AB:AB,$AK52))))</f>
        <v/>
      </c>
      <c r="AC52" s="7" t="str">
        <f>IF($AK52="","",IF($AK52=0,"",IF(INDEX(LookupData!AC:AC,$AK52)="","",INDEX(LookupData!AC:AC,$AK52))))</f>
        <v/>
      </c>
      <c r="AD52" s="7" t="str">
        <f>IF($AK52="","",IF($AK52=0,"",IF(INDEX(LookupData!AD:AD,$AK52)="","",INDEX(LookupData!AD:AD,$AK52))))</f>
        <v/>
      </c>
      <c r="AE52" s="7" t="str">
        <f>IF($AK52="","",IF($AK52=0,"",IF(INDEX(LookupData!AE:AE,$AK52)="","",INDEX(LookupData!AE:AE,$AK52))))</f>
        <v/>
      </c>
      <c r="AF52" t="str">
        <f>IF($AK52="","",IF($AK52=0,"",IF(INDEX(LookupData!AF:AF,$AK52)="","",INDEX(LookupData!AF:AF,$AK52))))</f>
        <v/>
      </c>
      <c r="AG52" t="str">
        <f>IF($AK52="","",IF($AK52=0,"",IF(INDEX(LookupData!AG:AG,$AK52)="","",INDEX(LookupData!AG:AG,$AK52))))</f>
        <v/>
      </c>
      <c r="AH52" s="11" t="str">
        <f>IF($AK52="","",IF($AK52=0,"",IF(INDEX(LookupData!AH:AH,$AK52)="","",INDEX(LookupData!AH:AH,$AK52))))</f>
        <v/>
      </c>
      <c r="AI52" s="12" t="str">
        <f>IF($AK52="","",IF($AK52=0,"",IF(INDEX(LookupData!AI:AI,$AK52)="","",HYPERLINK(INDEX(LookupData!AI:AI,$AK52),"Open"))))</f>
        <v/>
      </c>
      <c r="AK52" t="str">
        <f>IF(AL52="","",IFERROR(MATCH(AL52,LookupData!$A:$A,0),0))</f>
        <v/>
      </c>
      <c r="AL52" t="str">
        <f t="shared" si="2"/>
        <v/>
      </c>
      <c r="AM52" t="str">
        <f t="shared" si="3"/>
        <v/>
      </c>
    </row>
    <row r="53" spans="1:39" x14ac:dyDescent="0.2">
      <c r="A53" s="9"/>
      <c r="B53" s="10" t="str">
        <f>IF($AK53="","",IF($AK53=0,"not in the database",IF(INDEX(LookupData!B:B,$AK53)="","",INDEX(LookupData!B:B,$AK53))))</f>
        <v/>
      </c>
      <c r="C53" t="str">
        <f>IF($AK53="","",IF($AK53=0,"",IF(INDEX(LookupData!C:C,$AK53)="","",INDEX(LookupData!C:C,$AK53))))</f>
        <v/>
      </c>
      <c r="D53" t="str">
        <f>IF($AK53="","",IF($AK53=0,"",IF(INDEX(LookupData!D:D,$AK53)="","",INDEX(LookupData!D:D,$AK53))))</f>
        <v/>
      </c>
      <c r="E53" t="str">
        <f>IF($AK53="","",IF($AK53=0,"",IF(INDEX(LookupData!E:E,$AK53)="","",INDEX(LookupData!E:E,$AK53))))</f>
        <v/>
      </c>
      <c r="F53" t="str">
        <f>IF($AK53="","",IF($AK53=0,"",IF(INDEX(LookupData!F:F,$AK53)="","",INDEX(LookupData!F:F,$AK53))))</f>
        <v/>
      </c>
      <c r="G53" t="str">
        <f>IF($AK53="","",IF($AK53=0,"",IF(INDEX(LookupData!G:G,$AK53)="","",INDEX(LookupData!G:G,$AK53))))</f>
        <v/>
      </c>
      <c r="H53" t="str">
        <f>IF($AK53="","",IF($AK53=0,"",IF(INDEX(LookupData!H:H,$AK53)="","",INDEX(LookupData!H:H,$AK53))))</f>
        <v/>
      </c>
      <c r="I53" s="7" t="str">
        <f>IF($AK53="","",IF($AK53=0,"",IF(INDEX(LookupData!I:I,$AK53)="","",INDEX(LookupData!I:I,$AK53))))</f>
        <v/>
      </c>
      <c r="J53" s="7" t="str">
        <f>IF($AK53="","",IF($AK53=0,"",IF(INDEX(LookupData!J:J,$AK53)="","",INDEX(LookupData!J:J,$AK53))))</f>
        <v/>
      </c>
      <c r="K53" s="7" t="str">
        <f>IF($AK53="","",IF($AK53=0,"",IF(INDEX(LookupData!K:K,$AK53)="","",INDEX(LookupData!K:K,$AK53))))</f>
        <v/>
      </c>
      <c r="L53" s="7" t="str">
        <f>IF($AK53="","",IF($AK53=0,"",IF(INDEX(LookupData!L:L,$AK53)="","",INDEX(LookupData!L:L,$AK53))))</f>
        <v/>
      </c>
      <c r="M53" s="7" t="str">
        <f>IF($AK53="","",IF($AK53=0,"",IF(INDEX(LookupData!M:M,$AK53)="","",INDEX(LookupData!M:M,$AK53))))</f>
        <v/>
      </c>
      <c r="N53" s="7" t="str">
        <f>IF($AK53="","",IF($AK53=0,"",IF(INDEX(LookupData!N:N,$AK53)="","",INDEX(LookupData!N:N,$AK53))))</f>
        <v/>
      </c>
      <c r="O53" s="7" t="str">
        <f>IF($AK53="","",IF($AK53=0,"",IF(INDEX(LookupData!O:O,$AK53)="","",INDEX(LookupData!O:O,$AK53))))</f>
        <v/>
      </c>
      <c r="P53" s="7" t="str">
        <f>IF($AK53="","",IF($AK53=0,"",IF(INDEX(LookupData!P:P,$AK53)="","",INDEX(LookupData!P:P,$AK53))))</f>
        <v/>
      </c>
      <c r="Q53" s="7" t="str">
        <f>IF($AK53="","",IF($AK53=0,"",IF(INDEX(LookupData!Q:Q,$AK53)="","",INDEX(LookupData!Q:Q,$AK53))))</f>
        <v/>
      </c>
      <c r="R53" s="7" t="str">
        <f>IF($AK53="","",IF($AK53=0,"",IF(INDEX(LookupData!R:R,$AK53)="","",INDEX(LookupData!R:R,$AK53))))</f>
        <v/>
      </c>
      <c r="S53" s="7" t="str">
        <f>IF($AK53="","",IF($AK53=0,"",IF(INDEX(LookupData!S:S,$AK53)="","",INDEX(LookupData!S:S,$AK53))))</f>
        <v/>
      </c>
      <c r="T53" s="7" t="str">
        <f>IF($AK53="","",IF($AK53=0,"",IF(INDEX(LookupData!T:T,$AK53)="","",INDEX(LookupData!T:T,$AK53))))</f>
        <v/>
      </c>
      <c r="U53" s="7" t="str">
        <f>IF($AK53="","",IF($AK53=0,"",IF(INDEX(LookupData!U:U,$AK53)="","",INDEX(LookupData!U:U,$AK53))))</f>
        <v/>
      </c>
      <c r="V53" s="7" t="str">
        <f>IF($AK53="","",IF($AK53=0,"",IF(INDEX(LookupData!V:V,$AK53)="","",INDEX(LookupData!V:V,$AK53))))</f>
        <v/>
      </c>
      <c r="W53" t="str">
        <f>IF($AK53="","",IF($AK53=0,"",IF(INDEX(LookupData!W:W,$AK53)="","",INDEX(LookupData!W:W,$AK53))))</f>
        <v/>
      </c>
      <c r="X53" s="7" t="str">
        <f>IF($AK53="","",IF($AK53=0,"",IF(INDEX(LookupData!X:X,$AK53)="","",INDEX(LookupData!X:X,$AK53))))</f>
        <v/>
      </c>
      <c r="Y53" s="7" t="str">
        <f>IF($AK53="","",IF($AK53=0,"",IF(INDEX(LookupData!Y:Y,$AK53)="","",INDEX(LookupData!Y:Y,$AK53))))</f>
        <v/>
      </c>
      <c r="Z53" s="7" t="str">
        <f>IF($AK53="","",IF($AK53=0,"",IF(INDEX(LookupData!Z:Z,$AK53)="","",INDEX(LookupData!Z:Z,$AK53))))</f>
        <v/>
      </c>
      <c r="AA53" s="7" t="str">
        <f>IF($AK53="","",IF($AK53=0,"",IF(INDEX(LookupData!AA:AA,$AK53)="","",INDEX(LookupData!AA:AA,$AK53))))</f>
        <v/>
      </c>
      <c r="AB53" s="7" t="str">
        <f>IF($AK53="","",IF($AK53=0,"",IF(INDEX(LookupData!AB:AB,$AK53)="","",INDEX(LookupData!AB:AB,$AK53))))</f>
        <v/>
      </c>
      <c r="AC53" s="7" t="str">
        <f>IF($AK53="","",IF($AK53=0,"",IF(INDEX(LookupData!AC:AC,$AK53)="","",INDEX(LookupData!AC:AC,$AK53))))</f>
        <v/>
      </c>
      <c r="AD53" s="7" t="str">
        <f>IF($AK53="","",IF($AK53=0,"",IF(INDEX(LookupData!AD:AD,$AK53)="","",INDEX(LookupData!AD:AD,$AK53))))</f>
        <v/>
      </c>
      <c r="AE53" s="7" t="str">
        <f>IF($AK53="","",IF($AK53=0,"",IF(INDEX(LookupData!AE:AE,$AK53)="","",INDEX(LookupData!AE:AE,$AK53))))</f>
        <v/>
      </c>
      <c r="AF53" t="str">
        <f>IF($AK53="","",IF($AK53=0,"",IF(INDEX(LookupData!AF:AF,$AK53)="","",INDEX(LookupData!AF:AF,$AK53))))</f>
        <v/>
      </c>
      <c r="AG53" t="str">
        <f>IF($AK53="","",IF($AK53=0,"",IF(INDEX(LookupData!AG:AG,$AK53)="","",INDEX(LookupData!AG:AG,$AK53))))</f>
        <v/>
      </c>
      <c r="AH53" s="11" t="str">
        <f>IF($AK53="","",IF($AK53=0,"",IF(INDEX(LookupData!AH:AH,$AK53)="","",INDEX(LookupData!AH:AH,$AK53))))</f>
        <v/>
      </c>
      <c r="AI53" s="12" t="str">
        <f>IF($AK53="","",IF($AK53=0,"",IF(INDEX(LookupData!AI:AI,$AK53)="","",HYPERLINK(INDEX(LookupData!AI:AI,$AK53),"Open"))))</f>
        <v/>
      </c>
      <c r="AK53" t="str">
        <f>IF(AL53="","",IFERROR(MATCH(AL53,LookupData!$A:$A,0),0))</f>
        <v/>
      </c>
      <c r="AL53" t="str">
        <f t="shared" si="2"/>
        <v/>
      </c>
      <c r="AM53" t="str">
        <f t="shared" si="3"/>
        <v/>
      </c>
    </row>
    <row r="54" spans="1:39" x14ac:dyDescent="0.2">
      <c r="A54" s="9"/>
      <c r="B54" s="10" t="str">
        <f>IF($AK54="","",IF($AK54=0,"not in the database",IF(INDEX(LookupData!B:B,$AK54)="","",INDEX(LookupData!B:B,$AK54))))</f>
        <v/>
      </c>
      <c r="C54" t="str">
        <f>IF($AK54="","",IF($AK54=0,"",IF(INDEX(LookupData!C:C,$AK54)="","",INDEX(LookupData!C:C,$AK54))))</f>
        <v/>
      </c>
      <c r="D54" t="str">
        <f>IF($AK54="","",IF($AK54=0,"",IF(INDEX(LookupData!D:D,$AK54)="","",INDEX(LookupData!D:D,$AK54))))</f>
        <v/>
      </c>
      <c r="E54" t="str">
        <f>IF($AK54="","",IF($AK54=0,"",IF(INDEX(LookupData!E:E,$AK54)="","",INDEX(LookupData!E:E,$AK54))))</f>
        <v/>
      </c>
      <c r="F54" t="str">
        <f>IF($AK54="","",IF($AK54=0,"",IF(INDEX(LookupData!F:F,$AK54)="","",INDEX(LookupData!F:F,$AK54))))</f>
        <v/>
      </c>
      <c r="G54" t="str">
        <f>IF($AK54="","",IF($AK54=0,"",IF(INDEX(LookupData!G:G,$AK54)="","",INDEX(LookupData!G:G,$AK54))))</f>
        <v/>
      </c>
      <c r="H54" t="str">
        <f>IF($AK54="","",IF($AK54=0,"",IF(INDEX(LookupData!H:H,$AK54)="","",INDEX(LookupData!H:H,$AK54))))</f>
        <v/>
      </c>
      <c r="I54" s="7" t="str">
        <f>IF($AK54="","",IF($AK54=0,"",IF(INDEX(LookupData!I:I,$AK54)="","",INDEX(LookupData!I:I,$AK54))))</f>
        <v/>
      </c>
      <c r="J54" s="7" t="str">
        <f>IF($AK54="","",IF($AK54=0,"",IF(INDEX(LookupData!J:J,$AK54)="","",INDEX(LookupData!J:J,$AK54))))</f>
        <v/>
      </c>
      <c r="K54" s="7" t="str">
        <f>IF($AK54="","",IF($AK54=0,"",IF(INDEX(LookupData!K:K,$AK54)="","",INDEX(LookupData!K:K,$AK54))))</f>
        <v/>
      </c>
      <c r="L54" s="7" t="str">
        <f>IF($AK54="","",IF($AK54=0,"",IF(INDEX(LookupData!L:L,$AK54)="","",INDEX(LookupData!L:L,$AK54))))</f>
        <v/>
      </c>
      <c r="M54" s="7" t="str">
        <f>IF($AK54="","",IF($AK54=0,"",IF(INDEX(LookupData!M:M,$AK54)="","",INDEX(LookupData!M:M,$AK54))))</f>
        <v/>
      </c>
      <c r="N54" s="7" t="str">
        <f>IF($AK54="","",IF($AK54=0,"",IF(INDEX(LookupData!N:N,$AK54)="","",INDEX(LookupData!N:N,$AK54))))</f>
        <v/>
      </c>
      <c r="O54" s="7" t="str">
        <f>IF($AK54="","",IF($AK54=0,"",IF(INDEX(LookupData!O:O,$AK54)="","",INDEX(LookupData!O:O,$AK54))))</f>
        <v/>
      </c>
      <c r="P54" s="7" t="str">
        <f>IF($AK54="","",IF($AK54=0,"",IF(INDEX(LookupData!P:P,$AK54)="","",INDEX(LookupData!P:P,$AK54))))</f>
        <v/>
      </c>
      <c r="Q54" s="7" t="str">
        <f>IF($AK54="","",IF($AK54=0,"",IF(INDEX(LookupData!Q:Q,$AK54)="","",INDEX(LookupData!Q:Q,$AK54))))</f>
        <v/>
      </c>
      <c r="R54" s="7" t="str">
        <f>IF($AK54="","",IF($AK54=0,"",IF(INDEX(LookupData!R:R,$AK54)="","",INDEX(LookupData!R:R,$AK54))))</f>
        <v/>
      </c>
      <c r="S54" s="7" t="str">
        <f>IF($AK54="","",IF($AK54=0,"",IF(INDEX(LookupData!S:S,$AK54)="","",INDEX(LookupData!S:S,$AK54))))</f>
        <v/>
      </c>
      <c r="T54" s="7" t="str">
        <f>IF($AK54="","",IF($AK54=0,"",IF(INDEX(LookupData!T:T,$AK54)="","",INDEX(LookupData!T:T,$AK54))))</f>
        <v/>
      </c>
      <c r="U54" s="7" t="str">
        <f>IF($AK54="","",IF($AK54=0,"",IF(INDEX(LookupData!U:U,$AK54)="","",INDEX(LookupData!U:U,$AK54))))</f>
        <v/>
      </c>
      <c r="V54" s="7" t="str">
        <f>IF($AK54="","",IF($AK54=0,"",IF(INDEX(LookupData!V:V,$AK54)="","",INDEX(LookupData!V:V,$AK54))))</f>
        <v/>
      </c>
      <c r="W54" t="str">
        <f>IF($AK54="","",IF($AK54=0,"",IF(INDEX(LookupData!W:W,$AK54)="","",INDEX(LookupData!W:W,$AK54))))</f>
        <v/>
      </c>
      <c r="X54" s="7" t="str">
        <f>IF($AK54="","",IF($AK54=0,"",IF(INDEX(LookupData!X:X,$AK54)="","",INDEX(LookupData!X:X,$AK54))))</f>
        <v/>
      </c>
      <c r="Y54" s="7" t="str">
        <f>IF($AK54="","",IF($AK54=0,"",IF(INDEX(LookupData!Y:Y,$AK54)="","",INDEX(LookupData!Y:Y,$AK54))))</f>
        <v/>
      </c>
      <c r="Z54" s="7" t="str">
        <f>IF($AK54="","",IF($AK54=0,"",IF(INDEX(LookupData!Z:Z,$AK54)="","",INDEX(LookupData!Z:Z,$AK54))))</f>
        <v/>
      </c>
      <c r="AA54" s="7" t="str">
        <f>IF($AK54="","",IF($AK54=0,"",IF(INDEX(LookupData!AA:AA,$AK54)="","",INDEX(LookupData!AA:AA,$AK54))))</f>
        <v/>
      </c>
      <c r="AB54" s="7" t="str">
        <f>IF($AK54="","",IF($AK54=0,"",IF(INDEX(LookupData!AB:AB,$AK54)="","",INDEX(LookupData!AB:AB,$AK54))))</f>
        <v/>
      </c>
      <c r="AC54" s="7" t="str">
        <f>IF($AK54="","",IF($AK54=0,"",IF(INDEX(LookupData!AC:AC,$AK54)="","",INDEX(LookupData!AC:AC,$AK54))))</f>
        <v/>
      </c>
      <c r="AD54" s="7" t="str">
        <f>IF($AK54="","",IF($AK54=0,"",IF(INDEX(LookupData!AD:AD,$AK54)="","",INDEX(LookupData!AD:AD,$AK54))))</f>
        <v/>
      </c>
      <c r="AE54" s="7" t="str">
        <f>IF($AK54="","",IF($AK54=0,"",IF(INDEX(LookupData!AE:AE,$AK54)="","",INDEX(LookupData!AE:AE,$AK54))))</f>
        <v/>
      </c>
      <c r="AF54" t="str">
        <f>IF($AK54="","",IF($AK54=0,"",IF(INDEX(LookupData!AF:AF,$AK54)="","",INDEX(LookupData!AF:AF,$AK54))))</f>
        <v/>
      </c>
      <c r="AG54" t="str">
        <f>IF($AK54="","",IF($AK54=0,"",IF(INDEX(LookupData!AG:AG,$AK54)="","",INDEX(LookupData!AG:AG,$AK54))))</f>
        <v/>
      </c>
      <c r="AH54" s="11" t="str">
        <f>IF($AK54="","",IF($AK54=0,"",IF(INDEX(LookupData!AH:AH,$AK54)="","",INDEX(LookupData!AH:AH,$AK54))))</f>
        <v/>
      </c>
      <c r="AI54" s="12" t="str">
        <f>IF($AK54="","",IF($AK54=0,"",IF(INDEX(LookupData!AI:AI,$AK54)="","",HYPERLINK(INDEX(LookupData!AI:AI,$AK54),"Open"))))</f>
        <v/>
      </c>
      <c r="AK54" t="str">
        <f>IF(AL54="","",IFERROR(MATCH(AL54,LookupData!$A:$A,0),0))</f>
        <v/>
      </c>
      <c r="AL54" t="str">
        <f t="shared" si="2"/>
        <v/>
      </c>
      <c r="AM54" t="str">
        <f t="shared" si="3"/>
        <v/>
      </c>
    </row>
    <row r="55" spans="1:39" x14ac:dyDescent="0.2">
      <c r="A55" s="9"/>
      <c r="B55" s="10" t="str">
        <f>IF($AK55="","",IF($AK55=0,"not in the database",IF(INDEX(LookupData!B:B,$AK55)="","",INDEX(LookupData!B:B,$AK55))))</f>
        <v/>
      </c>
      <c r="C55" t="str">
        <f>IF($AK55="","",IF($AK55=0,"",IF(INDEX(LookupData!C:C,$AK55)="","",INDEX(LookupData!C:C,$AK55))))</f>
        <v/>
      </c>
      <c r="D55" t="str">
        <f>IF($AK55="","",IF($AK55=0,"",IF(INDEX(LookupData!D:D,$AK55)="","",INDEX(LookupData!D:D,$AK55))))</f>
        <v/>
      </c>
      <c r="E55" t="str">
        <f>IF($AK55="","",IF($AK55=0,"",IF(INDEX(LookupData!E:E,$AK55)="","",INDEX(LookupData!E:E,$AK55))))</f>
        <v/>
      </c>
      <c r="F55" t="str">
        <f>IF($AK55="","",IF($AK55=0,"",IF(INDEX(LookupData!F:F,$AK55)="","",INDEX(LookupData!F:F,$AK55))))</f>
        <v/>
      </c>
      <c r="G55" t="str">
        <f>IF($AK55="","",IF($AK55=0,"",IF(INDEX(LookupData!G:G,$AK55)="","",INDEX(LookupData!G:G,$AK55))))</f>
        <v/>
      </c>
      <c r="H55" t="str">
        <f>IF($AK55="","",IF($AK55=0,"",IF(INDEX(LookupData!H:H,$AK55)="","",INDEX(LookupData!H:H,$AK55))))</f>
        <v/>
      </c>
      <c r="I55" s="7" t="str">
        <f>IF($AK55="","",IF($AK55=0,"",IF(INDEX(LookupData!I:I,$AK55)="","",INDEX(LookupData!I:I,$AK55))))</f>
        <v/>
      </c>
      <c r="J55" s="7" t="str">
        <f>IF($AK55="","",IF($AK55=0,"",IF(INDEX(LookupData!J:J,$AK55)="","",INDEX(LookupData!J:J,$AK55))))</f>
        <v/>
      </c>
      <c r="K55" s="7" t="str">
        <f>IF($AK55="","",IF($AK55=0,"",IF(INDEX(LookupData!K:K,$AK55)="","",INDEX(LookupData!K:K,$AK55))))</f>
        <v/>
      </c>
      <c r="L55" s="7" t="str">
        <f>IF($AK55="","",IF($AK55=0,"",IF(INDEX(LookupData!L:L,$AK55)="","",INDEX(LookupData!L:L,$AK55))))</f>
        <v/>
      </c>
      <c r="M55" s="7" t="str">
        <f>IF($AK55="","",IF($AK55=0,"",IF(INDEX(LookupData!M:M,$AK55)="","",INDEX(LookupData!M:M,$AK55))))</f>
        <v/>
      </c>
      <c r="N55" s="7" t="str">
        <f>IF($AK55="","",IF($AK55=0,"",IF(INDEX(LookupData!N:N,$AK55)="","",INDEX(LookupData!N:N,$AK55))))</f>
        <v/>
      </c>
      <c r="O55" s="7" t="str">
        <f>IF($AK55="","",IF($AK55=0,"",IF(INDEX(LookupData!O:O,$AK55)="","",INDEX(LookupData!O:O,$AK55))))</f>
        <v/>
      </c>
      <c r="P55" s="7" t="str">
        <f>IF($AK55="","",IF($AK55=0,"",IF(INDEX(LookupData!P:P,$AK55)="","",INDEX(LookupData!P:P,$AK55))))</f>
        <v/>
      </c>
      <c r="Q55" s="7" t="str">
        <f>IF($AK55="","",IF($AK55=0,"",IF(INDEX(LookupData!Q:Q,$AK55)="","",INDEX(LookupData!Q:Q,$AK55))))</f>
        <v/>
      </c>
      <c r="R55" s="7" t="str">
        <f>IF($AK55="","",IF($AK55=0,"",IF(INDEX(LookupData!R:R,$AK55)="","",INDEX(LookupData!R:R,$AK55))))</f>
        <v/>
      </c>
      <c r="S55" s="7" t="str">
        <f>IF($AK55="","",IF($AK55=0,"",IF(INDEX(LookupData!S:S,$AK55)="","",INDEX(LookupData!S:S,$AK55))))</f>
        <v/>
      </c>
      <c r="T55" s="7" t="str">
        <f>IF($AK55="","",IF($AK55=0,"",IF(INDEX(LookupData!T:T,$AK55)="","",INDEX(LookupData!T:T,$AK55))))</f>
        <v/>
      </c>
      <c r="U55" s="7" t="str">
        <f>IF($AK55="","",IF($AK55=0,"",IF(INDEX(LookupData!U:U,$AK55)="","",INDEX(LookupData!U:U,$AK55))))</f>
        <v/>
      </c>
      <c r="V55" s="7" t="str">
        <f>IF($AK55="","",IF($AK55=0,"",IF(INDEX(LookupData!V:V,$AK55)="","",INDEX(LookupData!V:V,$AK55))))</f>
        <v/>
      </c>
      <c r="W55" t="str">
        <f>IF($AK55="","",IF($AK55=0,"",IF(INDEX(LookupData!W:W,$AK55)="","",INDEX(LookupData!W:W,$AK55))))</f>
        <v/>
      </c>
      <c r="X55" s="7" t="str">
        <f>IF($AK55="","",IF($AK55=0,"",IF(INDEX(LookupData!X:X,$AK55)="","",INDEX(LookupData!X:X,$AK55))))</f>
        <v/>
      </c>
      <c r="Y55" s="7" t="str">
        <f>IF($AK55="","",IF($AK55=0,"",IF(INDEX(LookupData!Y:Y,$AK55)="","",INDEX(LookupData!Y:Y,$AK55))))</f>
        <v/>
      </c>
      <c r="Z55" s="7" t="str">
        <f>IF($AK55="","",IF($AK55=0,"",IF(INDEX(LookupData!Z:Z,$AK55)="","",INDEX(LookupData!Z:Z,$AK55))))</f>
        <v/>
      </c>
      <c r="AA55" s="7" t="str">
        <f>IF($AK55="","",IF($AK55=0,"",IF(INDEX(LookupData!AA:AA,$AK55)="","",INDEX(LookupData!AA:AA,$AK55))))</f>
        <v/>
      </c>
      <c r="AB55" s="7" t="str">
        <f>IF($AK55="","",IF($AK55=0,"",IF(INDEX(LookupData!AB:AB,$AK55)="","",INDEX(LookupData!AB:AB,$AK55))))</f>
        <v/>
      </c>
      <c r="AC55" s="7" t="str">
        <f>IF($AK55="","",IF($AK55=0,"",IF(INDEX(LookupData!AC:AC,$AK55)="","",INDEX(LookupData!AC:AC,$AK55))))</f>
        <v/>
      </c>
      <c r="AD55" s="7" t="str">
        <f>IF($AK55="","",IF($AK55=0,"",IF(INDEX(LookupData!AD:AD,$AK55)="","",INDEX(LookupData!AD:AD,$AK55))))</f>
        <v/>
      </c>
      <c r="AE55" s="7" t="str">
        <f>IF($AK55="","",IF($AK55=0,"",IF(INDEX(LookupData!AE:AE,$AK55)="","",INDEX(LookupData!AE:AE,$AK55))))</f>
        <v/>
      </c>
      <c r="AF55" t="str">
        <f>IF($AK55="","",IF($AK55=0,"",IF(INDEX(LookupData!AF:AF,$AK55)="","",INDEX(LookupData!AF:AF,$AK55))))</f>
        <v/>
      </c>
      <c r="AG55" t="str">
        <f>IF($AK55="","",IF($AK55=0,"",IF(INDEX(LookupData!AG:AG,$AK55)="","",INDEX(LookupData!AG:AG,$AK55))))</f>
        <v/>
      </c>
      <c r="AH55" s="11" t="str">
        <f>IF($AK55="","",IF($AK55=0,"",IF(INDEX(LookupData!AH:AH,$AK55)="","",INDEX(LookupData!AH:AH,$AK55))))</f>
        <v/>
      </c>
      <c r="AI55" s="12" t="str">
        <f>IF($AK55="","",IF($AK55=0,"",IF(INDEX(LookupData!AI:AI,$AK55)="","",HYPERLINK(INDEX(LookupData!AI:AI,$AK55),"Open"))))</f>
        <v/>
      </c>
      <c r="AK55" t="str">
        <f>IF(AL55="","",IFERROR(MATCH(AL55,LookupData!$A:$A,0),0))</f>
        <v/>
      </c>
      <c r="AL55" t="str">
        <f t="shared" si="2"/>
        <v/>
      </c>
      <c r="AM55" t="str">
        <f t="shared" si="3"/>
        <v/>
      </c>
    </row>
    <row r="56" spans="1:39" x14ac:dyDescent="0.2">
      <c r="A56" s="9"/>
      <c r="B56" s="10" t="str">
        <f>IF($AK56="","",IF($AK56=0,"not in the database",IF(INDEX(LookupData!B:B,$AK56)="","",INDEX(LookupData!B:B,$AK56))))</f>
        <v/>
      </c>
      <c r="C56" t="str">
        <f>IF($AK56="","",IF($AK56=0,"",IF(INDEX(LookupData!C:C,$AK56)="","",INDEX(LookupData!C:C,$AK56))))</f>
        <v/>
      </c>
      <c r="D56" t="str">
        <f>IF($AK56="","",IF($AK56=0,"",IF(INDEX(LookupData!D:D,$AK56)="","",INDEX(LookupData!D:D,$AK56))))</f>
        <v/>
      </c>
      <c r="E56" t="str">
        <f>IF($AK56="","",IF($AK56=0,"",IF(INDEX(LookupData!E:E,$AK56)="","",INDEX(LookupData!E:E,$AK56))))</f>
        <v/>
      </c>
      <c r="F56" t="str">
        <f>IF($AK56="","",IF($AK56=0,"",IF(INDEX(LookupData!F:F,$AK56)="","",INDEX(LookupData!F:F,$AK56))))</f>
        <v/>
      </c>
      <c r="G56" t="str">
        <f>IF($AK56="","",IF($AK56=0,"",IF(INDEX(LookupData!G:G,$AK56)="","",INDEX(LookupData!G:G,$AK56))))</f>
        <v/>
      </c>
      <c r="H56" t="str">
        <f>IF($AK56="","",IF($AK56=0,"",IF(INDEX(LookupData!H:H,$AK56)="","",INDEX(LookupData!H:H,$AK56))))</f>
        <v/>
      </c>
      <c r="I56" s="7" t="str">
        <f>IF($AK56="","",IF($AK56=0,"",IF(INDEX(LookupData!I:I,$AK56)="","",INDEX(LookupData!I:I,$AK56))))</f>
        <v/>
      </c>
      <c r="J56" s="7" t="str">
        <f>IF($AK56="","",IF($AK56=0,"",IF(INDEX(LookupData!J:J,$AK56)="","",INDEX(LookupData!J:J,$AK56))))</f>
        <v/>
      </c>
      <c r="K56" s="7" t="str">
        <f>IF($AK56="","",IF($AK56=0,"",IF(INDEX(LookupData!K:K,$AK56)="","",INDEX(LookupData!K:K,$AK56))))</f>
        <v/>
      </c>
      <c r="L56" s="7" t="str">
        <f>IF($AK56="","",IF($AK56=0,"",IF(INDEX(LookupData!L:L,$AK56)="","",INDEX(LookupData!L:L,$AK56))))</f>
        <v/>
      </c>
      <c r="M56" s="7" t="str">
        <f>IF($AK56="","",IF($AK56=0,"",IF(INDEX(LookupData!M:M,$AK56)="","",INDEX(LookupData!M:M,$AK56))))</f>
        <v/>
      </c>
      <c r="N56" s="7" t="str">
        <f>IF($AK56="","",IF($AK56=0,"",IF(INDEX(LookupData!N:N,$AK56)="","",INDEX(LookupData!N:N,$AK56))))</f>
        <v/>
      </c>
      <c r="O56" s="7" t="str">
        <f>IF($AK56="","",IF($AK56=0,"",IF(INDEX(LookupData!O:O,$AK56)="","",INDEX(LookupData!O:O,$AK56))))</f>
        <v/>
      </c>
      <c r="P56" s="7" t="str">
        <f>IF($AK56="","",IF($AK56=0,"",IF(INDEX(LookupData!P:P,$AK56)="","",INDEX(LookupData!P:P,$AK56))))</f>
        <v/>
      </c>
      <c r="Q56" s="7" t="str">
        <f>IF($AK56="","",IF($AK56=0,"",IF(INDEX(LookupData!Q:Q,$AK56)="","",INDEX(LookupData!Q:Q,$AK56))))</f>
        <v/>
      </c>
      <c r="R56" s="7" t="str">
        <f>IF($AK56="","",IF($AK56=0,"",IF(INDEX(LookupData!R:R,$AK56)="","",INDEX(LookupData!R:R,$AK56))))</f>
        <v/>
      </c>
      <c r="S56" s="7" t="str">
        <f>IF($AK56="","",IF($AK56=0,"",IF(INDEX(LookupData!S:S,$AK56)="","",INDEX(LookupData!S:S,$AK56))))</f>
        <v/>
      </c>
      <c r="T56" s="7" t="str">
        <f>IF($AK56="","",IF($AK56=0,"",IF(INDEX(LookupData!T:T,$AK56)="","",INDEX(LookupData!T:T,$AK56))))</f>
        <v/>
      </c>
      <c r="U56" s="7" t="str">
        <f>IF($AK56="","",IF($AK56=0,"",IF(INDEX(LookupData!U:U,$AK56)="","",INDEX(LookupData!U:U,$AK56))))</f>
        <v/>
      </c>
      <c r="V56" s="7" t="str">
        <f>IF($AK56="","",IF($AK56=0,"",IF(INDEX(LookupData!V:V,$AK56)="","",INDEX(LookupData!V:V,$AK56))))</f>
        <v/>
      </c>
      <c r="W56" t="str">
        <f>IF($AK56="","",IF($AK56=0,"",IF(INDEX(LookupData!W:W,$AK56)="","",INDEX(LookupData!W:W,$AK56))))</f>
        <v/>
      </c>
      <c r="X56" s="7" t="str">
        <f>IF($AK56="","",IF($AK56=0,"",IF(INDEX(LookupData!X:X,$AK56)="","",INDEX(LookupData!X:X,$AK56))))</f>
        <v/>
      </c>
      <c r="Y56" s="7" t="str">
        <f>IF($AK56="","",IF($AK56=0,"",IF(INDEX(LookupData!Y:Y,$AK56)="","",INDEX(LookupData!Y:Y,$AK56))))</f>
        <v/>
      </c>
      <c r="Z56" s="7" t="str">
        <f>IF($AK56="","",IF($AK56=0,"",IF(INDEX(LookupData!Z:Z,$AK56)="","",INDEX(LookupData!Z:Z,$AK56))))</f>
        <v/>
      </c>
      <c r="AA56" s="7" t="str">
        <f>IF($AK56="","",IF($AK56=0,"",IF(INDEX(LookupData!AA:AA,$AK56)="","",INDEX(LookupData!AA:AA,$AK56))))</f>
        <v/>
      </c>
      <c r="AB56" s="7" t="str">
        <f>IF($AK56="","",IF($AK56=0,"",IF(INDEX(LookupData!AB:AB,$AK56)="","",INDEX(LookupData!AB:AB,$AK56))))</f>
        <v/>
      </c>
      <c r="AC56" s="7" t="str">
        <f>IF($AK56="","",IF($AK56=0,"",IF(INDEX(LookupData!AC:AC,$AK56)="","",INDEX(LookupData!AC:AC,$AK56))))</f>
        <v/>
      </c>
      <c r="AD56" s="7" t="str">
        <f>IF($AK56="","",IF($AK56=0,"",IF(INDEX(LookupData!AD:AD,$AK56)="","",INDEX(LookupData!AD:AD,$AK56))))</f>
        <v/>
      </c>
      <c r="AE56" s="7" t="str">
        <f>IF($AK56="","",IF($AK56=0,"",IF(INDEX(LookupData!AE:AE,$AK56)="","",INDEX(LookupData!AE:AE,$AK56))))</f>
        <v/>
      </c>
      <c r="AF56" t="str">
        <f>IF($AK56="","",IF($AK56=0,"",IF(INDEX(LookupData!AF:AF,$AK56)="","",INDEX(LookupData!AF:AF,$AK56))))</f>
        <v/>
      </c>
      <c r="AG56" t="str">
        <f>IF($AK56="","",IF($AK56=0,"",IF(INDEX(LookupData!AG:AG,$AK56)="","",INDEX(LookupData!AG:AG,$AK56))))</f>
        <v/>
      </c>
      <c r="AH56" s="11" t="str">
        <f>IF($AK56="","",IF($AK56=0,"",IF(INDEX(LookupData!AH:AH,$AK56)="","",INDEX(LookupData!AH:AH,$AK56))))</f>
        <v/>
      </c>
      <c r="AI56" s="12" t="str">
        <f>IF($AK56="","",IF($AK56=0,"",IF(INDEX(LookupData!AI:AI,$AK56)="","",HYPERLINK(INDEX(LookupData!AI:AI,$AK56),"Open"))))</f>
        <v/>
      </c>
      <c r="AK56" t="str">
        <f>IF(AL56="","",IFERROR(MATCH(AL56,LookupData!$A:$A,0),0))</f>
        <v/>
      </c>
      <c r="AL56" t="str">
        <f t="shared" si="2"/>
        <v/>
      </c>
      <c r="AM56" t="str">
        <f t="shared" si="3"/>
        <v/>
      </c>
    </row>
    <row r="57" spans="1:39" x14ac:dyDescent="0.2">
      <c r="A57" s="9"/>
      <c r="B57" s="10" t="str">
        <f>IF($AK57="","",IF($AK57=0,"not in the database",IF(INDEX(LookupData!B:B,$AK57)="","",INDEX(LookupData!B:B,$AK57))))</f>
        <v/>
      </c>
      <c r="C57" t="str">
        <f>IF($AK57="","",IF($AK57=0,"",IF(INDEX(LookupData!C:C,$AK57)="","",INDEX(LookupData!C:C,$AK57))))</f>
        <v/>
      </c>
      <c r="D57" t="str">
        <f>IF($AK57="","",IF($AK57=0,"",IF(INDEX(LookupData!D:D,$AK57)="","",INDEX(LookupData!D:D,$AK57))))</f>
        <v/>
      </c>
      <c r="E57" t="str">
        <f>IF($AK57="","",IF($AK57=0,"",IF(INDEX(LookupData!E:E,$AK57)="","",INDEX(LookupData!E:E,$AK57))))</f>
        <v/>
      </c>
      <c r="F57" t="str">
        <f>IF($AK57="","",IF($AK57=0,"",IF(INDEX(LookupData!F:F,$AK57)="","",INDEX(LookupData!F:F,$AK57))))</f>
        <v/>
      </c>
      <c r="G57" t="str">
        <f>IF($AK57="","",IF($AK57=0,"",IF(INDEX(LookupData!G:G,$AK57)="","",INDEX(LookupData!G:G,$AK57))))</f>
        <v/>
      </c>
      <c r="H57" t="str">
        <f>IF($AK57="","",IF($AK57=0,"",IF(INDEX(LookupData!H:H,$AK57)="","",INDEX(LookupData!H:H,$AK57))))</f>
        <v/>
      </c>
      <c r="I57" s="7" t="str">
        <f>IF($AK57="","",IF($AK57=0,"",IF(INDEX(LookupData!I:I,$AK57)="","",INDEX(LookupData!I:I,$AK57))))</f>
        <v/>
      </c>
      <c r="J57" s="7" t="str">
        <f>IF($AK57="","",IF($AK57=0,"",IF(INDEX(LookupData!J:J,$AK57)="","",INDEX(LookupData!J:J,$AK57))))</f>
        <v/>
      </c>
      <c r="K57" s="7" t="str">
        <f>IF($AK57="","",IF($AK57=0,"",IF(INDEX(LookupData!K:K,$AK57)="","",INDEX(LookupData!K:K,$AK57))))</f>
        <v/>
      </c>
      <c r="L57" s="7" t="str">
        <f>IF($AK57="","",IF($AK57=0,"",IF(INDEX(LookupData!L:L,$AK57)="","",INDEX(LookupData!L:L,$AK57))))</f>
        <v/>
      </c>
      <c r="M57" s="7" t="str">
        <f>IF($AK57="","",IF($AK57=0,"",IF(INDEX(LookupData!M:M,$AK57)="","",INDEX(LookupData!M:M,$AK57))))</f>
        <v/>
      </c>
      <c r="N57" s="7" t="str">
        <f>IF($AK57="","",IF($AK57=0,"",IF(INDEX(LookupData!N:N,$AK57)="","",INDEX(LookupData!N:N,$AK57))))</f>
        <v/>
      </c>
      <c r="O57" s="7" t="str">
        <f>IF($AK57="","",IF($AK57=0,"",IF(INDEX(LookupData!O:O,$AK57)="","",INDEX(LookupData!O:O,$AK57))))</f>
        <v/>
      </c>
      <c r="P57" s="7" t="str">
        <f>IF($AK57="","",IF($AK57=0,"",IF(INDEX(LookupData!P:P,$AK57)="","",INDEX(LookupData!P:P,$AK57))))</f>
        <v/>
      </c>
      <c r="Q57" s="7" t="str">
        <f>IF($AK57="","",IF($AK57=0,"",IF(INDEX(LookupData!Q:Q,$AK57)="","",INDEX(LookupData!Q:Q,$AK57))))</f>
        <v/>
      </c>
      <c r="R57" s="7" t="str">
        <f>IF($AK57="","",IF($AK57=0,"",IF(INDEX(LookupData!R:R,$AK57)="","",INDEX(LookupData!R:R,$AK57))))</f>
        <v/>
      </c>
      <c r="S57" s="7" t="str">
        <f>IF($AK57="","",IF($AK57=0,"",IF(INDEX(LookupData!S:S,$AK57)="","",INDEX(LookupData!S:S,$AK57))))</f>
        <v/>
      </c>
      <c r="T57" s="7" t="str">
        <f>IF($AK57="","",IF($AK57=0,"",IF(INDEX(LookupData!T:T,$AK57)="","",INDEX(LookupData!T:T,$AK57))))</f>
        <v/>
      </c>
      <c r="U57" s="7" t="str">
        <f>IF($AK57="","",IF($AK57=0,"",IF(INDEX(LookupData!U:U,$AK57)="","",INDEX(LookupData!U:U,$AK57))))</f>
        <v/>
      </c>
      <c r="V57" s="7" t="str">
        <f>IF($AK57="","",IF($AK57=0,"",IF(INDEX(LookupData!V:V,$AK57)="","",INDEX(LookupData!V:V,$AK57))))</f>
        <v/>
      </c>
      <c r="W57" t="str">
        <f>IF($AK57="","",IF($AK57=0,"",IF(INDEX(LookupData!W:W,$AK57)="","",INDEX(LookupData!W:W,$AK57))))</f>
        <v/>
      </c>
      <c r="X57" s="7" t="str">
        <f>IF($AK57="","",IF($AK57=0,"",IF(INDEX(LookupData!X:X,$AK57)="","",INDEX(LookupData!X:X,$AK57))))</f>
        <v/>
      </c>
      <c r="Y57" s="7" t="str">
        <f>IF($AK57="","",IF($AK57=0,"",IF(INDEX(LookupData!Y:Y,$AK57)="","",INDEX(LookupData!Y:Y,$AK57))))</f>
        <v/>
      </c>
      <c r="Z57" s="7" t="str">
        <f>IF($AK57="","",IF($AK57=0,"",IF(INDEX(LookupData!Z:Z,$AK57)="","",INDEX(LookupData!Z:Z,$AK57))))</f>
        <v/>
      </c>
      <c r="AA57" s="7" t="str">
        <f>IF($AK57="","",IF($AK57=0,"",IF(INDEX(LookupData!AA:AA,$AK57)="","",INDEX(LookupData!AA:AA,$AK57))))</f>
        <v/>
      </c>
      <c r="AB57" s="7" t="str">
        <f>IF($AK57="","",IF($AK57=0,"",IF(INDEX(LookupData!AB:AB,$AK57)="","",INDEX(LookupData!AB:AB,$AK57))))</f>
        <v/>
      </c>
      <c r="AC57" s="7" t="str">
        <f>IF($AK57="","",IF($AK57=0,"",IF(INDEX(LookupData!AC:AC,$AK57)="","",INDEX(LookupData!AC:AC,$AK57))))</f>
        <v/>
      </c>
      <c r="AD57" s="7" t="str">
        <f>IF($AK57="","",IF($AK57=0,"",IF(INDEX(LookupData!AD:AD,$AK57)="","",INDEX(LookupData!AD:AD,$AK57))))</f>
        <v/>
      </c>
      <c r="AE57" s="7" t="str">
        <f>IF($AK57="","",IF($AK57=0,"",IF(INDEX(LookupData!AE:AE,$AK57)="","",INDEX(LookupData!AE:AE,$AK57))))</f>
        <v/>
      </c>
      <c r="AF57" t="str">
        <f>IF($AK57="","",IF($AK57=0,"",IF(INDEX(LookupData!AF:AF,$AK57)="","",INDEX(LookupData!AF:AF,$AK57))))</f>
        <v/>
      </c>
      <c r="AG57" t="str">
        <f>IF($AK57="","",IF($AK57=0,"",IF(INDEX(LookupData!AG:AG,$AK57)="","",INDEX(LookupData!AG:AG,$AK57))))</f>
        <v/>
      </c>
      <c r="AH57" s="11" t="str">
        <f>IF($AK57="","",IF($AK57=0,"",IF(INDEX(LookupData!AH:AH,$AK57)="","",INDEX(LookupData!AH:AH,$AK57))))</f>
        <v/>
      </c>
      <c r="AI57" s="12" t="str">
        <f>IF($AK57="","",IF($AK57=0,"",IF(INDEX(LookupData!AI:AI,$AK57)="","",HYPERLINK(INDEX(LookupData!AI:AI,$AK57),"Open"))))</f>
        <v/>
      </c>
      <c r="AK57" t="str">
        <f>IF(AL57="","",IFERROR(MATCH(AL57,LookupData!$A:$A,0),0))</f>
        <v/>
      </c>
      <c r="AL57" t="str">
        <f t="shared" si="2"/>
        <v/>
      </c>
      <c r="AM57" t="str">
        <f t="shared" si="3"/>
        <v/>
      </c>
    </row>
    <row r="58" spans="1:39" x14ac:dyDescent="0.2">
      <c r="A58" s="9"/>
      <c r="B58" s="10" t="str">
        <f>IF($AK58="","",IF($AK58=0,"not in the database",IF(INDEX(LookupData!B:B,$AK58)="","",INDEX(LookupData!B:B,$AK58))))</f>
        <v/>
      </c>
      <c r="C58" t="str">
        <f>IF($AK58="","",IF($AK58=0,"",IF(INDEX(LookupData!C:C,$AK58)="","",INDEX(LookupData!C:C,$AK58))))</f>
        <v/>
      </c>
      <c r="D58" t="str">
        <f>IF($AK58="","",IF($AK58=0,"",IF(INDEX(LookupData!D:D,$AK58)="","",INDEX(LookupData!D:D,$AK58))))</f>
        <v/>
      </c>
      <c r="E58" t="str">
        <f>IF($AK58="","",IF($AK58=0,"",IF(INDEX(LookupData!E:E,$AK58)="","",INDEX(LookupData!E:E,$AK58))))</f>
        <v/>
      </c>
      <c r="F58" t="str">
        <f>IF($AK58="","",IF($AK58=0,"",IF(INDEX(LookupData!F:F,$AK58)="","",INDEX(LookupData!F:F,$AK58))))</f>
        <v/>
      </c>
      <c r="G58" t="str">
        <f>IF($AK58="","",IF($AK58=0,"",IF(INDEX(LookupData!G:G,$AK58)="","",INDEX(LookupData!G:G,$AK58))))</f>
        <v/>
      </c>
      <c r="H58" t="str">
        <f>IF($AK58="","",IF($AK58=0,"",IF(INDEX(LookupData!H:H,$AK58)="","",INDEX(LookupData!H:H,$AK58))))</f>
        <v/>
      </c>
      <c r="I58" s="7" t="str">
        <f>IF($AK58="","",IF($AK58=0,"",IF(INDEX(LookupData!I:I,$AK58)="","",INDEX(LookupData!I:I,$AK58))))</f>
        <v/>
      </c>
      <c r="J58" s="7" t="str">
        <f>IF($AK58="","",IF($AK58=0,"",IF(INDEX(LookupData!J:J,$AK58)="","",INDEX(LookupData!J:J,$AK58))))</f>
        <v/>
      </c>
      <c r="K58" s="7" t="str">
        <f>IF($AK58="","",IF($AK58=0,"",IF(INDEX(LookupData!K:K,$AK58)="","",INDEX(LookupData!K:K,$AK58))))</f>
        <v/>
      </c>
      <c r="L58" s="7" t="str">
        <f>IF($AK58="","",IF($AK58=0,"",IF(INDEX(LookupData!L:L,$AK58)="","",INDEX(LookupData!L:L,$AK58))))</f>
        <v/>
      </c>
      <c r="M58" s="7" t="str">
        <f>IF($AK58="","",IF($AK58=0,"",IF(INDEX(LookupData!M:M,$AK58)="","",INDEX(LookupData!M:M,$AK58))))</f>
        <v/>
      </c>
      <c r="N58" s="7" t="str">
        <f>IF($AK58="","",IF($AK58=0,"",IF(INDEX(LookupData!N:N,$AK58)="","",INDEX(LookupData!N:N,$AK58))))</f>
        <v/>
      </c>
      <c r="O58" s="7" t="str">
        <f>IF($AK58="","",IF($AK58=0,"",IF(INDEX(LookupData!O:O,$AK58)="","",INDEX(LookupData!O:O,$AK58))))</f>
        <v/>
      </c>
      <c r="P58" s="7" t="str">
        <f>IF($AK58="","",IF($AK58=0,"",IF(INDEX(LookupData!P:P,$AK58)="","",INDEX(LookupData!P:P,$AK58))))</f>
        <v/>
      </c>
      <c r="Q58" s="7" t="str">
        <f>IF($AK58="","",IF($AK58=0,"",IF(INDEX(LookupData!Q:Q,$AK58)="","",INDEX(LookupData!Q:Q,$AK58))))</f>
        <v/>
      </c>
      <c r="R58" s="7" t="str">
        <f>IF($AK58="","",IF($AK58=0,"",IF(INDEX(LookupData!R:R,$AK58)="","",INDEX(LookupData!R:R,$AK58))))</f>
        <v/>
      </c>
      <c r="S58" s="7" t="str">
        <f>IF($AK58="","",IF($AK58=0,"",IF(INDEX(LookupData!S:S,$AK58)="","",INDEX(LookupData!S:S,$AK58))))</f>
        <v/>
      </c>
      <c r="T58" s="7" t="str">
        <f>IF($AK58="","",IF($AK58=0,"",IF(INDEX(LookupData!T:T,$AK58)="","",INDEX(LookupData!T:T,$AK58))))</f>
        <v/>
      </c>
      <c r="U58" s="7" t="str">
        <f>IF($AK58="","",IF($AK58=0,"",IF(INDEX(LookupData!U:U,$AK58)="","",INDEX(LookupData!U:U,$AK58))))</f>
        <v/>
      </c>
      <c r="V58" s="7" t="str">
        <f>IF($AK58="","",IF($AK58=0,"",IF(INDEX(LookupData!V:V,$AK58)="","",INDEX(LookupData!V:V,$AK58))))</f>
        <v/>
      </c>
      <c r="W58" t="str">
        <f>IF($AK58="","",IF($AK58=0,"",IF(INDEX(LookupData!W:W,$AK58)="","",INDEX(LookupData!W:W,$AK58))))</f>
        <v/>
      </c>
      <c r="X58" s="7" t="str">
        <f>IF($AK58="","",IF($AK58=0,"",IF(INDEX(LookupData!X:X,$AK58)="","",INDEX(LookupData!X:X,$AK58))))</f>
        <v/>
      </c>
      <c r="Y58" s="7" t="str">
        <f>IF($AK58="","",IF($AK58=0,"",IF(INDEX(LookupData!Y:Y,$AK58)="","",INDEX(LookupData!Y:Y,$AK58))))</f>
        <v/>
      </c>
      <c r="Z58" s="7" t="str">
        <f>IF($AK58="","",IF($AK58=0,"",IF(INDEX(LookupData!Z:Z,$AK58)="","",INDEX(LookupData!Z:Z,$AK58))))</f>
        <v/>
      </c>
      <c r="AA58" s="7" t="str">
        <f>IF($AK58="","",IF($AK58=0,"",IF(INDEX(LookupData!AA:AA,$AK58)="","",INDEX(LookupData!AA:AA,$AK58))))</f>
        <v/>
      </c>
      <c r="AB58" s="7" t="str">
        <f>IF($AK58="","",IF($AK58=0,"",IF(INDEX(LookupData!AB:AB,$AK58)="","",INDEX(LookupData!AB:AB,$AK58))))</f>
        <v/>
      </c>
      <c r="AC58" s="7" t="str">
        <f>IF($AK58="","",IF($AK58=0,"",IF(INDEX(LookupData!AC:AC,$AK58)="","",INDEX(LookupData!AC:AC,$AK58))))</f>
        <v/>
      </c>
      <c r="AD58" s="7" t="str">
        <f>IF($AK58="","",IF($AK58=0,"",IF(INDEX(LookupData!AD:AD,$AK58)="","",INDEX(LookupData!AD:AD,$AK58))))</f>
        <v/>
      </c>
      <c r="AE58" s="7" t="str">
        <f>IF($AK58="","",IF($AK58=0,"",IF(INDEX(LookupData!AE:AE,$AK58)="","",INDEX(LookupData!AE:AE,$AK58))))</f>
        <v/>
      </c>
      <c r="AF58" t="str">
        <f>IF($AK58="","",IF($AK58=0,"",IF(INDEX(LookupData!AF:AF,$AK58)="","",INDEX(LookupData!AF:AF,$AK58))))</f>
        <v/>
      </c>
      <c r="AG58" t="str">
        <f>IF($AK58="","",IF($AK58=0,"",IF(INDEX(LookupData!AG:AG,$AK58)="","",INDEX(LookupData!AG:AG,$AK58))))</f>
        <v/>
      </c>
      <c r="AH58" s="11" t="str">
        <f>IF($AK58="","",IF($AK58=0,"",IF(INDEX(LookupData!AH:AH,$AK58)="","",INDEX(LookupData!AH:AH,$AK58))))</f>
        <v/>
      </c>
      <c r="AI58" s="12" t="str">
        <f>IF($AK58="","",IF($AK58=0,"",IF(INDEX(LookupData!AI:AI,$AK58)="","",HYPERLINK(INDEX(LookupData!AI:AI,$AK58),"Open"))))</f>
        <v/>
      </c>
      <c r="AK58" t="str">
        <f>IF(AL58="","",IFERROR(MATCH(AL58,LookupData!$A:$A,0),0))</f>
        <v/>
      </c>
      <c r="AL58" t="str">
        <f t="shared" si="2"/>
        <v/>
      </c>
      <c r="AM58" t="str">
        <f t="shared" si="3"/>
        <v/>
      </c>
    </row>
    <row r="59" spans="1:39" x14ac:dyDescent="0.2">
      <c r="A59" s="9"/>
      <c r="B59" s="10" t="str">
        <f>IF($AK59="","",IF($AK59=0,"not in the database",IF(INDEX(LookupData!B:B,$AK59)="","",INDEX(LookupData!B:B,$AK59))))</f>
        <v/>
      </c>
      <c r="C59" t="str">
        <f>IF($AK59="","",IF($AK59=0,"",IF(INDEX(LookupData!C:C,$AK59)="","",INDEX(LookupData!C:C,$AK59))))</f>
        <v/>
      </c>
      <c r="D59" t="str">
        <f>IF($AK59="","",IF($AK59=0,"",IF(INDEX(LookupData!D:D,$AK59)="","",INDEX(LookupData!D:D,$AK59))))</f>
        <v/>
      </c>
      <c r="E59" t="str">
        <f>IF($AK59="","",IF($AK59=0,"",IF(INDEX(LookupData!E:E,$AK59)="","",INDEX(LookupData!E:E,$AK59))))</f>
        <v/>
      </c>
      <c r="F59" t="str">
        <f>IF($AK59="","",IF($AK59=0,"",IF(INDEX(LookupData!F:F,$AK59)="","",INDEX(LookupData!F:F,$AK59))))</f>
        <v/>
      </c>
      <c r="G59" t="str">
        <f>IF($AK59="","",IF($AK59=0,"",IF(INDEX(LookupData!G:G,$AK59)="","",INDEX(LookupData!G:G,$AK59))))</f>
        <v/>
      </c>
      <c r="H59" t="str">
        <f>IF($AK59="","",IF($AK59=0,"",IF(INDEX(LookupData!H:H,$AK59)="","",INDEX(LookupData!H:H,$AK59))))</f>
        <v/>
      </c>
      <c r="I59" s="7" t="str">
        <f>IF($AK59="","",IF($AK59=0,"",IF(INDEX(LookupData!I:I,$AK59)="","",INDEX(LookupData!I:I,$AK59))))</f>
        <v/>
      </c>
      <c r="J59" s="7" t="str">
        <f>IF($AK59="","",IF($AK59=0,"",IF(INDEX(LookupData!J:J,$AK59)="","",INDEX(LookupData!J:J,$AK59))))</f>
        <v/>
      </c>
      <c r="K59" s="7" t="str">
        <f>IF($AK59="","",IF($AK59=0,"",IF(INDEX(LookupData!K:K,$AK59)="","",INDEX(LookupData!K:K,$AK59))))</f>
        <v/>
      </c>
      <c r="L59" s="7" t="str">
        <f>IF($AK59="","",IF($AK59=0,"",IF(INDEX(LookupData!L:L,$AK59)="","",INDEX(LookupData!L:L,$AK59))))</f>
        <v/>
      </c>
      <c r="M59" s="7" t="str">
        <f>IF($AK59="","",IF($AK59=0,"",IF(INDEX(LookupData!M:M,$AK59)="","",INDEX(LookupData!M:M,$AK59))))</f>
        <v/>
      </c>
      <c r="N59" s="7" t="str">
        <f>IF($AK59="","",IF($AK59=0,"",IF(INDEX(LookupData!N:N,$AK59)="","",INDEX(LookupData!N:N,$AK59))))</f>
        <v/>
      </c>
      <c r="O59" s="7" t="str">
        <f>IF($AK59="","",IF($AK59=0,"",IF(INDEX(LookupData!O:O,$AK59)="","",INDEX(LookupData!O:O,$AK59))))</f>
        <v/>
      </c>
      <c r="P59" s="7" t="str">
        <f>IF($AK59="","",IF($AK59=0,"",IF(INDEX(LookupData!P:P,$AK59)="","",INDEX(LookupData!P:P,$AK59))))</f>
        <v/>
      </c>
      <c r="Q59" s="7" t="str">
        <f>IF($AK59="","",IF($AK59=0,"",IF(INDEX(LookupData!Q:Q,$AK59)="","",INDEX(LookupData!Q:Q,$AK59))))</f>
        <v/>
      </c>
      <c r="R59" s="7" t="str">
        <f>IF($AK59="","",IF($AK59=0,"",IF(INDEX(LookupData!R:R,$AK59)="","",INDEX(LookupData!R:R,$AK59))))</f>
        <v/>
      </c>
      <c r="S59" s="7" t="str">
        <f>IF($AK59="","",IF($AK59=0,"",IF(INDEX(LookupData!S:S,$AK59)="","",INDEX(LookupData!S:S,$AK59))))</f>
        <v/>
      </c>
      <c r="T59" s="7" t="str">
        <f>IF($AK59="","",IF($AK59=0,"",IF(INDEX(LookupData!T:T,$AK59)="","",INDEX(LookupData!T:T,$AK59))))</f>
        <v/>
      </c>
      <c r="U59" s="7" t="str">
        <f>IF($AK59="","",IF($AK59=0,"",IF(INDEX(LookupData!U:U,$AK59)="","",INDEX(LookupData!U:U,$AK59))))</f>
        <v/>
      </c>
      <c r="V59" s="7" t="str">
        <f>IF($AK59="","",IF($AK59=0,"",IF(INDEX(LookupData!V:V,$AK59)="","",INDEX(LookupData!V:V,$AK59))))</f>
        <v/>
      </c>
      <c r="W59" t="str">
        <f>IF($AK59="","",IF($AK59=0,"",IF(INDEX(LookupData!W:W,$AK59)="","",INDEX(LookupData!W:W,$AK59))))</f>
        <v/>
      </c>
      <c r="X59" s="7" t="str">
        <f>IF($AK59="","",IF($AK59=0,"",IF(INDEX(LookupData!X:X,$AK59)="","",INDEX(LookupData!X:X,$AK59))))</f>
        <v/>
      </c>
      <c r="Y59" s="7" t="str">
        <f>IF($AK59="","",IF($AK59=0,"",IF(INDEX(LookupData!Y:Y,$AK59)="","",INDEX(LookupData!Y:Y,$AK59))))</f>
        <v/>
      </c>
      <c r="Z59" s="7" t="str">
        <f>IF($AK59="","",IF($AK59=0,"",IF(INDEX(LookupData!Z:Z,$AK59)="","",INDEX(LookupData!Z:Z,$AK59))))</f>
        <v/>
      </c>
      <c r="AA59" s="7" t="str">
        <f>IF($AK59="","",IF($AK59=0,"",IF(INDEX(LookupData!AA:AA,$AK59)="","",INDEX(LookupData!AA:AA,$AK59))))</f>
        <v/>
      </c>
      <c r="AB59" s="7" t="str">
        <f>IF($AK59="","",IF($AK59=0,"",IF(INDEX(LookupData!AB:AB,$AK59)="","",INDEX(LookupData!AB:AB,$AK59))))</f>
        <v/>
      </c>
      <c r="AC59" s="7" t="str">
        <f>IF($AK59="","",IF($AK59=0,"",IF(INDEX(LookupData!AC:AC,$AK59)="","",INDEX(LookupData!AC:AC,$AK59))))</f>
        <v/>
      </c>
      <c r="AD59" s="7" t="str">
        <f>IF($AK59="","",IF($AK59=0,"",IF(INDEX(LookupData!AD:AD,$AK59)="","",INDEX(LookupData!AD:AD,$AK59))))</f>
        <v/>
      </c>
      <c r="AE59" s="7" t="str">
        <f>IF($AK59="","",IF($AK59=0,"",IF(INDEX(LookupData!AE:AE,$AK59)="","",INDEX(LookupData!AE:AE,$AK59))))</f>
        <v/>
      </c>
      <c r="AF59" t="str">
        <f>IF($AK59="","",IF($AK59=0,"",IF(INDEX(LookupData!AF:AF,$AK59)="","",INDEX(LookupData!AF:AF,$AK59))))</f>
        <v/>
      </c>
      <c r="AG59" t="str">
        <f>IF($AK59="","",IF($AK59=0,"",IF(INDEX(LookupData!AG:AG,$AK59)="","",INDEX(LookupData!AG:AG,$AK59))))</f>
        <v/>
      </c>
      <c r="AH59" s="11" t="str">
        <f>IF($AK59="","",IF($AK59=0,"",IF(INDEX(LookupData!AH:AH,$AK59)="","",INDEX(LookupData!AH:AH,$AK59))))</f>
        <v/>
      </c>
      <c r="AI59" s="12" t="str">
        <f>IF($AK59="","",IF($AK59=0,"",IF(INDEX(LookupData!AI:AI,$AK59)="","",HYPERLINK(INDEX(LookupData!AI:AI,$AK59),"Open"))))</f>
        <v/>
      </c>
      <c r="AK59" t="str">
        <f>IF(AL59="","",IFERROR(MATCH(AL59,LookupData!$A:$A,0),0))</f>
        <v/>
      </c>
      <c r="AL59" t="str">
        <f t="shared" si="2"/>
        <v/>
      </c>
      <c r="AM59" t="str">
        <f t="shared" si="3"/>
        <v/>
      </c>
    </row>
    <row r="60" spans="1:39" x14ac:dyDescent="0.2">
      <c r="A60" s="9"/>
      <c r="B60" s="10" t="str">
        <f>IF($AK60="","",IF($AK60=0,"not in the database",IF(INDEX(LookupData!B:B,$AK60)="","",INDEX(LookupData!B:B,$AK60))))</f>
        <v/>
      </c>
      <c r="C60" t="str">
        <f>IF($AK60="","",IF($AK60=0,"",IF(INDEX(LookupData!C:C,$AK60)="","",INDEX(LookupData!C:C,$AK60))))</f>
        <v/>
      </c>
      <c r="D60" t="str">
        <f>IF($AK60="","",IF($AK60=0,"",IF(INDEX(LookupData!D:D,$AK60)="","",INDEX(LookupData!D:D,$AK60))))</f>
        <v/>
      </c>
      <c r="E60" t="str">
        <f>IF($AK60="","",IF($AK60=0,"",IF(INDEX(LookupData!E:E,$AK60)="","",INDEX(LookupData!E:E,$AK60))))</f>
        <v/>
      </c>
      <c r="F60" t="str">
        <f>IF($AK60="","",IF($AK60=0,"",IF(INDEX(LookupData!F:F,$AK60)="","",INDEX(LookupData!F:F,$AK60))))</f>
        <v/>
      </c>
      <c r="G60" t="str">
        <f>IF($AK60="","",IF($AK60=0,"",IF(INDEX(LookupData!G:G,$AK60)="","",INDEX(LookupData!G:G,$AK60))))</f>
        <v/>
      </c>
      <c r="H60" t="str">
        <f>IF($AK60="","",IF($AK60=0,"",IF(INDEX(LookupData!H:H,$AK60)="","",INDEX(LookupData!H:H,$AK60))))</f>
        <v/>
      </c>
      <c r="I60" s="7" t="str">
        <f>IF($AK60="","",IF($AK60=0,"",IF(INDEX(LookupData!I:I,$AK60)="","",INDEX(LookupData!I:I,$AK60))))</f>
        <v/>
      </c>
      <c r="J60" s="7" t="str">
        <f>IF($AK60="","",IF($AK60=0,"",IF(INDEX(LookupData!J:J,$AK60)="","",INDEX(LookupData!J:J,$AK60))))</f>
        <v/>
      </c>
      <c r="K60" s="7" t="str">
        <f>IF($AK60="","",IF($AK60=0,"",IF(INDEX(LookupData!K:K,$AK60)="","",INDEX(LookupData!K:K,$AK60))))</f>
        <v/>
      </c>
      <c r="L60" s="7" t="str">
        <f>IF($AK60="","",IF($AK60=0,"",IF(INDEX(LookupData!L:L,$AK60)="","",INDEX(LookupData!L:L,$AK60))))</f>
        <v/>
      </c>
      <c r="M60" s="7" t="str">
        <f>IF($AK60="","",IF($AK60=0,"",IF(INDEX(LookupData!M:M,$AK60)="","",INDEX(LookupData!M:M,$AK60))))</f>
        <v/>
      </c>
      <c r="N60" s="7" t="str">
        <f>IF($AK60="","",IF($AK60=0,"",IF(INDEX(LookupData!N:N,$AK60)="","",INDEX(LookupData!N:N,$AK60))))</f>
        <v/>
      </c>
      <c r="O60" s="7" t="str">
        <f>IF($AK60="","",IF($AK60=0,"",IF(INDEX(LookupData!O:O,$AK60)="","",INDEX(LookupData!O:O,$AK60))))</f>
        <v/>
      </c>
      <c r="P60" s="7" t="str">
        <f>IF($AK60="","",IF($AK60=0,"",IF(INDEX(LookupData!P:P,$AK60)="","",INDEX(LookupData!P:P,$AK60))))</f>
        <v/>
      </c>
      <c r="Q60" s="7" t="str">
        <f>IF($AK60="","",IF($AK60=0,"",IF(INDEX(LookupData!Q:Q,$AK60)="","",INDEX(LookupData!Q:Q,$AK60))))</f>
        <v/>
      </c>
      <c r="R60" s="7" t="str">
        <f>IF($AK60="","",IF($AK60=0,"",IF(INDEX(LookupData!R:R,$AK60)="","",INDEX(LookupData!R:R,$AK60))))</f>
        <v/>
      </c>
      <c r="S60" s="7" t="str">
        <f>IF($AK60="","",IF($AK60=0,"",IF(INDEX(LookupData!S:S,$AK60)="","",INDEX(LookupData!S:S,$AK60))))</f>
        <v/>
      </c>
      <c r="T60" s="7" t="str">
        <f>IF($AK60="","",IF($AK60=0,"",IF(INDEX(LookupData!T:T,$AK60)="","",INDEX(LookupData!T:T,$AK60))))</f>
        <v/>
      </c>
      <c r="U60" s="7" t="str">
        <f>IF($AK60="","",IF($AK60=0,"",IF(INDEX(LookupData!U:U,$AK60)="","",INDEX(LookupData!U:U,$AK60))))</f>
        <v/>
      </c>
      <c r="V60" s="7" t="str">
        <f>IF($AK60="","",IF($AK60=0,"",IF(INDEX(LookupData!V:V,$AK60)="","",INDEX(LookupData!V:V,$AK60))))</f>
        <v/>
      </c>
      <c r="W60" t="str">
        <f>IF($AK60="","",IF($AK60=0,"",IF(INDEX(LookupData!W:W,$AK60)="","",INDEX(LookupData!W:W,$AK60))))</f>
        <v/>
      </c>
      <c r="X60" s="7" t="str">
        <f>IF($AK60="","",IF($AK60=0,"",IF(INDEX(LookupData!X:X,$AK60)="","",INDEX(LookupData!X:X,$AK60))))</f>
        <v/>
      </c>
      <c r="Y60" s="7" t="str">
        <f>IF($AK60="","",IF($AK60=0,"",IF(INDEX(LookupData!Y:Y,$AK60)="","",INDEX(LookupData!Y:Y,$AK60))))</f>
        <v/>
      </c>
      <c r="Z60" s="7" t="str">
        <f>IF($AK60="","",IF($AK60=0,"",IF(INDEX(LookupData!Z:Z,$AK60)="","",INDEX(LookupData!Z:Z,$AK60))))</f>
        <v/>
      </c>
      <c r="AA60" s="7" t="str">
        <f>IF($AK60="","",IF($AK60=0,"",IF(INDEX(LookupData!AA:AA,$AK60)="","",INDEX(LookupData!AA:AA,$AK60))))</f>
        <v/>
      </c>
      <c r="AB60" s="7" t="str">
        <f>IF($AK60="","",IF($AK60=0,"",IF(INDEX(LookupData!AB:AB,$AK60)="","",INDEX(LookupData!AB:AB,$AK60))))</f>
        <v/>
      </c>
      <c r="AC60" s="7" t="str">
        <f>IF($AK60="","",IF($AK60=0,"",IF(INDEX(LookupData!AC:AC,$AK60)="","",INDEX(LookupData!AC:AC,$AK60))))</f>
        <v/>
      </c>
      <c r="AD60" s="7" t="str">
        <f>IF($AK60="","",IF($AK60=0,"",IF(INDEX(LookupData!AD:AD,$AK60)="","",INDEX(LookupData!AD:AD,$AK60))))</f>
        <v/>
      </c>
      <c r="AE60" s="7" t="str">
        <f>IF($AK60="","",IF($AK60=0,"",IF(INDEX(LookupData!AE:AE,$AK60)="","",INDEX(LookupData!AE:AE,$AK60))))</f>
        <v/>
      </c>
      <c r="AF60" t="str">
        <f>IF($AK60="","",IF($AK60=0,"",IF(INDEX(LookupData!AF:AF,$AK60)="","",INDEX(LookupData!AF:AF,$AK60))))</f>
        <v/>
      </c>
      <c r="AG60" t="str">
        <f>IF($AK60="","",IF($AK60=0,"",IF(INDEX(LookupData!AG:AG,$AK60)="","",INDEX(LookupData!AG:AG,$AK60))))</f>
        <v/>
      </c>
      <c r="AH60" s="11" t="str">
        <f>IF($AK60="","",IF($AK60=0,"",IF(INDEX(LookupData!AH:AH,$AK60)="","",INDEX(LookupData!AH:AH,$AK60))))</f>
        <v/>
      </c>
      <c r="AI60" s="12" t="str">
        <f>IF($AK60="","",IF($AK60=0,"",IF(INDEX(LookupData!AI:AI,$AK60)="","",HYPERLINK(INDEX(LookupData!AI:AI,$AK60),"Open"))))</f>
        <v/>
      </c>
      <c r="AK60" t="str">
        <f>IF(AL60="","",IFERROR(MATCH(AL60,LookupData!$A:$A,0),0))</f>
        <v/>
      </c>
      <c r="AL60" t="str">
        <f t="shared" si="2"/>
        <v/>
      </c>
      <c r="AM60" t="str">
        <f t="shared" si="3"/>
        <v/>
      </c>
    </row>
    <row r="61" spans="1:39" x14ac:dyDescent="0.2">
      <c r="A61" s="9"/>
      <c r="B61" s="10" t="str">
        <f>IF($AK61="","",IF($AK61=0,"not in the database",IF(INDEX(LookupData!B:B,$AK61)="","",INDEX(LookupData!B:B,$AK61))))</f>
        <v/>
      </c>
      <c r="C61" t="str">
        <f>IF($AK61="","",IF($AK61=0,"",IF(INDEX(LookupData!C:C,$AK61)="","",INDEX(LookupData!C:C,$AK61))))</f>
        <v/>
      </c>
      <c r="D61" t="str">
        <f>IF($AK61="","",IF($AK61=0,"",IF(INDEX(LookupData!D:D,$AK61)="","",INDEX(LookupData!D:D,$AK61))))</f>
        <v/>
      </c>
      <c r="E61" t="str">
        <f>IF($AK61="","",IF($AK61=0,"",IF(INDEX(LookupData!E:E,$AK61)="","",INDEX(LookupData!E:E,$AK61))))</f>
        <v/>
      </c>
      <c r="F61" t="str">
        <f>IF($AK61="","",IF($AK61=0,"",IF(INDEX(LookupData!F:F,$AK61)="","",INDEX(LookupData!F:F,$AK61))))</f>
        <v/>
      </c>
      <c r="G61" t="str">
        <f>IF($AK61="","",IF($AK61=0,"",IF(INDEX(LookupData!G:G,$AK61)="","",INDEX(LookupData!G:G,$AK61))))</f>
        <v/>
      </c>
      <c r="H61" t="str">
        <f>IF($AK61="","",IF($AK61=0,"",IF(INDEX(LookupData!H:H,$AK61)="","",INDEX(LookupData!H:H,$AK61))))</f>
        <v/>
      </c>
      <c r="I61" s="7" t="str">
        <f>IF($AK61="","",IF($AK61=0,"",IF(INDEX(LookupData!I:I,$AK61)="","",INDEX(LookupData!I:I,$AK61))))</f>
        <v/>
      </c>
      <c r="J61" s="7" t="str">
        <f>IF($AK61="","",IF($AK61=0,"",IF(INDEX(LookupData!J:J,$AK61)="","",INDEX(LookupData!J:J,$AK61))))</f>
        <v/>
      </c>
      <c r="K61" s="7" t="str">
        <f>IF($AK61="","",IF($AK61=0,"",IF(INDEX(LookupData!K:K,$AK61)="","",INDEX(LookupData!K:K,$AK61))))</f>
        <v/>
      </c>
      <c r="L61" s="7" t="str">
        <f>IF($AK61="","",IF($AK61=0,"",IF(INDEX(LookupData!L:L,$AK61)="","",INDEX(LookupData!L:L,$AK61))))</f>
        <v/>
      </c>
      <c r="M61" s="7" t="str">
        <f>IF($AK61="","",IF($AK61=0,"",IF(INDEX(LookupData!M:M,$AK61)="","",INDEX(LookupData!M:M,$AK61))))</f>
        <v/>
      </c>
      <c r="N61" s="7" t="str">
        <f>IF($AK61="","",IF($AK61=0,"",IF(INDEX(LookupData!N:N,$AK61)="","",INDEX(LookupData!N:N,$AK61))))</f>
        <v/>
      </c>
      <c r="O61" s="7" t="str">
        <f>IF($AK61="","",IF($AK61=0,"",IF(INDEX(LookupData!O:O,$AK61)="","",INDEX(LookupData!O:O,$AK61))))</f>
        <v/>
      </c>
      <c r="P61" s="7" t="str">
        <f>IF($AK61="","",IF($AK61=0,"",IF(INDEX(LookupData!P:P,$AK61)="","",INDEX(LookupData!P:P,$AK61))))</f>
        <v/>
      </c>
      <c r="Q61" s="7" t="str">
        <f>IF($AK61="","",IF($AK61=0,"",IF(INDEX(LookupData!Q:Q,$AK61)="","",INDEX(LookupData!Q:Q,$AK61))))</f>
        <v/>
      </c>
      <c r="R61" s="7" t="str">
        <f>IF($AK61="","",IF($AK61=0,"",IF(INDEX(LookupData!R:R,$AK61)="","",INDEX(LookupData!R:R,$AK61))))</f>
        <v/>
      </c>
      <c r="S61" s="7" t="str">
        <f>IF($AK61="","",IF($AK61=0,"",IF(INDEX(LookupData!S:S,$AK61)="","",INDEX(LookupData!S:S,$AK61))))</f>
        <v/>
      </c>
      <c r="T61" s="7" t="str">
        <f>IF($AK61="","",IF($AK61=0,"",IF(INDEX(LookupData!T:T,$AK61)="","",INDEX(LookupData!T:T,$AK61))))</f>
        <v/>
      </c>
      <c r="U61" s="7" t="str">
        <f>IF($AK61="","",IF($AK61=0,"",IF(INDEX(LookupData!U:U,$AK61)="","",INDEX(LookupData!U:U,$AK61))))</f>
        <v/>
      </c>
      <c r="V61" s="7" t="str">
        <f>IF($AK61="","",IF($AK61=0,"",IF(INDEX(LookupData!V:V,$AK61)="","",INDEX(LookupData!V:V,$AK61))))</f>
        <v/>
      </c>
      <c r="W61" t="str">
        <f>IF($AK61="","",IF($AK61=0,"",IF(INDEX(LookupData!W:W,$AK61)="","",INDEX(LookupData!W:W,$AK61))))</f>
        <v/>
      </c>
      <c r="X61" s="7" t="str">
        <f>IF($AK61="","",IF($AK61=0,"",IF(INDEX(LookupData!X:X,$AK61)="","",INDEX(LookupData!X:X,$AK61))))</f>
        <v/>
      </c>
      <c r="Y61" s="7" t="str">
        <f>IF($AK61="","",IF($AK61=0,"",IF(INDEX(LookupData!Y:Y,$AK61)="","",INDEX(LookupData!Y:Y,$AK61))))</f>
        <v/>
      </c>
      <c r="Z61" s="7" t="str">
        <f>IF($AK61="","",IF($AK61=0,"",IF(INDEX(LookupData!Z:Z,$AK61)="","",INDEX(LookupData!Z:Z,$AK61))))</f>
        <v/>
      </c>
      <c r="AA61" s="7" t="str">
        <f>IF($AK61="","",IF($AK61=0,"",IF(INDEX(LookupData!AA:AA,$AK61)="","",INDEX(LookupData!AA:AA,$AK61))))</f>
        <v/>
      </c>
      <c r="AB61" s="7" t="str">
        <f>IF($AK61="","",IF($AK61=0,"",IF(INDEX(LookupData!AB:AB,$AK61)="","",INDEX(LookupData!AB:AB,$AK61))))</f>
        <v/>
      </c>
      <c r="AC61" s="7" t="str">
        <f>IF($AK61="","",IF($AK61=0,"",IF(INDEX(LookupData!AC:AC,$AK61)="","",INDEX(LookupData!AC:AC,$AK61))))</f>
        <v/>
      </c>
      <c r="AD61" s="7" t="str">
        <f>IF($AK61="","",IF($AK61=0,"",IF(INDEX(LookupData!AD:AD,$AK61)="","",INDEX(LookupData!AD:AD,$AK61))))</f>
        <v/>
      </c>
      <c r="AE61" s="7" t="str">
        <f>IF($AK61="","",IF($AK61=0,"",IF(INDEX(LookupData!AE:AE,$AK61)="","",INDEX(LookupData!AE:AE,$AK61))))</f>
        <v/>
      </c>
      <c r="AF61" t="str">
        <f>IF($AK61="","",IF($AK61=0,"",IF(INDEX(LookupData!AF:AF,$AK61)="","",INDEX(LookupData!AF:AF,$AK61))))</f>
        <v/>
      </c>
      <c r="AG61" t="str">
        <f>IF($AK61="","",IF($AK61=0,"",IF(INDEX(LookupData!AG:AG,$AK61)="","",INDEX(LookupData!AG:AG,$AK61))))</f>
        <v/>
      </c>
      <c r="AH61" s="11" t="str">
        <f>IF($AK61="","",IF($AK61=0,"",IF(INDEX(LookupData!AH:AH,$AK61)="","",INDEX(LookupData!AH:AH,$AK61))))</f>
        <v/>
      </c>
      <c r="AI61" s="12" t="str">
        <f>IF($AK61="","",IF($AK61=0,"",IF(INDEX(LookupData!AI:AI,$AK61)="","",HYPERLINK(INDEX(LookupData!AI:AI,$AK61),"Open"))))</f>
        <v/>
      </c>
      <c r="AK61" t="str">
        <f>IF(AL61="","",IFERROR(MATCH(AL61,LookupData!$A:$A,0),0))</f>
        <v/>
      </c>
      <c r="AL61" t="str">
        <f t="shared" si="2"/>
        <v/>
      </c>
      <c r="AM61" t="str">
        <f t="shared" si="3"/>
        <v/>
      </c>
    </row>
    <row r="62" spans="1:39" x14ac:dyDescent="0.2">
      <c r="A62" s="9"/>
      <c r="B62" s="10" t="str">
        <f>IF($AK62="","",IF($AK62=0,"not in the database",IF(INDEX(LookupData!B:B,$AK62)="","",INDEX(LookupData!B:B,$AK62))))</f>
        <v/>
      </c>
      <c r="C62" t="str">
        <f>IF($AK62="","",IF($AK62=0,"",IF(INDEX(LookupData!C:C,$AK62)="","",INDEX(LookupData!C:C,$AK62))))</f>
        <v/>
      </c>
      <c r="D62" t="str">
        <f>IF($AK62="","",IF($AK62=0,"",IF(INDEX(LookupData!D:D,$AK62)="","",INDEX(LookupData!D:D,$AK62))))</f>
        <v/>
      </c>
      <c r="E62" t="str">
        <f>IF($AK62="","",IF($AK62=0,"",IF(INDEX(LookupData!E:E,$AK62)="","",INDEX(LookupData!E:E,$AK62))))</f>
        <v/>
      </c>
      <c r="F62" t="str">
        <f>IF($AK62="","",IF($AK62=0,"",IF(INDEX(LookupData!F:F,$AK62)="","",INDEX(LookupData!F:F,$AK62))))</f>
        <v/>
      </c>
      <c r="G62" t="str">
        <f>IF($AK62="","",IF($AK62=0,"",IF(INDEX(LookupData!G:G,$AK62)="","",INDEX(LookupData!G:G,$AK62))))</f>
        <v/>
      </c>
      <c r="H62" t="str">
        <f>IF($AK62="","",IF($AK62=0,"",IF(INDEX(LookupData!H:H,$AK62)="","",INDEX(LookupData!H:H,$AK62))))</f>
        <v/>
      </c>
      <c r="I62" s="7" t="str">
        <f>IF($AK62="","",IF($AK62=0,"",IF(INDEX(LookupData!I:I,$AK62)="","",INDEX(LookupData!I:I,$AK62))))</f>
        <v/>
      </c>
      <c r="J62" s="7" t="str">
        <f>IF($AK62="","",IF($AK62=0,"",IF(INDEX(LookupData!J:J,$AK62)="","",INDEX(LookupData!J:J,$AK62))))</f>
        <v/>
      </c>
      <c r="K62" s="7" t="str">
        <f>IF($AK62="","",IF($AK62=0,"",IF(INDEX(LookupData!K:K,$AK62)="","",INDEX(LookupData!K:K,$AK62))))</f>
        <v/>
      </c>
      <c r="L62" s="7" t="str">
        <f>IF($AK62="","",IF($AK62=0,"",IF(INDEX(LookupData!L:L,$AK62)="","",INDEX(LookupData!L:L,$AK62))))</f>
        <v/>
      </c>
      <c r="M62" s="7" t="str">
        <f>IF($AK62="","",IF($AK62=0,"",IF(INDEX(LookupData!M:M,$AK62)="","",INDEX(LookupData!M:M,$AK62))))</f>
        <v/>
      </c>
      <c r="N62" s="7" t="str">
        <f>IF($AK62="","",IF($AK62=0,"",IF(INDEX(LookupData!N:N,$AK62)="","",INDEX(LookupData!N:N,$AK62))))</f>
        <v/>
      </c>
      <c r="O62" s="7" t="str">
        <f>IF($AK62="","",IF($AK62=0,"",IF(INDEX(LookupData!O:O,$AK62)="","",INDEX(LookupData!O:O,$AK62))))</f>
        <v/>
      </c>
      <c r="P62" s="7" t="str">
        <f>IF($AK62="","",IF($AK62=0,"",IF(INDEX(LookupData!P:P,$AK62)="","",INDEX(LookupData!P:P,$AK62))))</f>
        <v/>
      </c>
      <c r="Q62" s="7" t="str">
        <f>IF($AK62="","",IF($AK62=0,"",IF(INDEX(LookupData!Q:Q,$AK62)="","",INDEX(LookupData!Q:Q,$AK62))))</f>
        <v/>
      </c>
      <c r="R62" s="7" t="str">
        <f>IF($AK62="","",IF($AK62=0,"",IF(INDEX(LookupData!R:R,$AK62)="","",INDEX(LookupData!R:R,$AK62))))</f>
        <v/>
      </c>
      <c r="S62" s="7" t="str">
        <f>IF($AK62="","",IF($AK62=0,"",IF(INDEX(LookupData!S:S,$AK62)="","",INDEX(LookupData!S:S,$AK62))))</f>
        <v/>
      </c>
      <c r="T62" s="7" t="str">
        <f>IF($AK62="","",IF($AK62=0,"",IF(INDEX(LookupData!T:T,$AK62)="","",INDEX(LookupData!T:T,$AK62))))</f>
        <v/>
      </c>
      <c r="U62" s="7" t="str">
        <f>IF($AK62="","",IF($AK62=0,"",IF(INDEX(LookupData!U:U,$AK62)="","",INDEX(LookupData!U:U,$AK62))))</f>
        <v/>
      </c>
      <c r="V62" s="7" t="str">
        <f>IF($AK62="","",IF($AK62=0,"",IF(INDEX(LookupData!V:V,$AK62)="","",INDEX(LookupData!V:V,$AK62))))</f>
        <v/>
      </c>
      <c r="W62" t="str">
        <f>IF($AK62="","",IF($AK62=0,"",IF(INDEX(LookupData!W:W,$AK62)="","",INDEX(LookupData!W:W,$AK62))))</f>
        <v/>
      </c>
      <c r="X62" s="7" t="str">
        <f>IF($AK62="","",IF($AK62=0,"",IF(INDEX(LookupData!X:X,$AK62)="","",INDEX(LookupData!X:X,$AK62))))</f>
        <v/>
      </c>
      <c r="Y62" s="7" t="str">
        <f>IF($AK62="","",IF($AK62=0,"",IF(INDEX(LookupData!Y:Y,$AK62)="","",INDEX(LookupData!Y:Y,$AK62))))</f>
        <v/>
      </c>
      <c r="Z62" s="7" t="str">
        <f>IF($AK62="","",IF($AK62=0,"",IF(INDEX(LookupData!Z:Z,$AK62)="","",INDEX(LookupData!Z:Z,$AK62))))</f>
        <v/>
      </c>
      <c r="AA62" s="7" t="str">
        <f>IF($AK62="","",IF($AK62=0,"",IF(INDEX(LookupData!AA:AA,$AK62)="","",INDEX(LookupData!AA:AA,$AK62))))</f>
        <v/>
      </c>
      <c r="AB62" s="7" t="str">
        <f>IF($AK62="","",IF($AK62=0,"",IF(INDEX(LookupData!AB:AB,$AK62)="","",INDEX(LookupData!AB:AB,$AK62))))</f>
        <v/>
      </c>
      <c r="AC62" s="7" t="str">
        <f>IF($AK62="","",IF($AK62=0,"",IF(INDEX(LookupData!AC:AC,$AK62)="","",INDEX(LookupData!AC:AC,$AK62))))</f>
        <v/>
      </c>
      <c r="AD62" s="7" t="str">
        <f>IF($AK62="","",IF($AK62=0,"",IF(INDEX(LookupData!AD:AD,$AK62)="","",INDEX(LookupData!AD:AD,$AK62))))</f>
        <v/>
      </c>
      <c r="AE62" s="7" t="str">
        <f>IF($AK62="","",IF($AK62=0,"",IF(INDEX(LookupData!AE:AE,$AK62)="","",INDEX(LookupData!AE:AE,$AK62))))</f>
        <v/>
      </c>
      <c r="AF62" t="str">
        <f>IF($AK62="","",IF($AK62=0,"",IF(INDEX(LookupData!AF:AF,$AK62)="","",INDEX(LookupData!AF:AF,$AK62))))</f>
        <v/>
      </c>
      <c r="AG62" t="str">
        <f>IF($AK62="","",IF($AK62=0,"",IF(INDEX(LookupData!AG:AG,$AK62)="","",INDEX(LookupData!AG:AG,$AK62))))</f>
        <v/>
      </c>
      <c r="AH62" s="11" t="str">
        <f>IF($AK62="","",IF($AK62=0,"",IF(INDEX(LookupData!AH:AH,$AK62)="","",INDEX(LookupData!AH:AH,$AK62))))</f>
        <v/>
      </c>
      <c r="AI62" s="12" t="str">
        <f>IF($AK62="","",IF($AK62=0,"",IF(INDEX(LookupData!AI:AI,$AK62)="","",HYPERLINK(INDEX(LookupData!AI:AI,$AK62),"Open"))))</f>
        <v/>
      </c>
      <c r="AK62" t="str">
        <f>IF(AL62="","",IFERROR(MATCH(AL62,LookupData!$A:$A,0),0))</f>
        <v/>
      </c>
      <c r="AL62" t="str">
        <f t="shared" si="2"/>
        <v/>
      </c>
      <c r="AM62" t="str">
        <f t="shared" si="3"/>
        <v/>
      </c>
    </row>
    <row r="63" spans="1:39" x14ac:dyDescent="0.2">
      <c r="A63" s="9"/>
      <c r="B63" s="10" t="str">
        <f>IF($AK63="","",IF($AK63=0,"not in the database",IF(INDEX(LookupData!B:B,$AK63)="","",INDEX(LookupData!B:B,$AK63))))</f>
        <v/>
      </c>
      <c r="C63" t="str">
        <f>IF($AK63="","",IF($AK63=0,"",IF(INDEX(LookupData!C:C,$AK63)="","",INDEX(LookupData!C:C,$AK63))))</f>
        <v/>
      </c>
      <c r="D63" t="str">
        <f>IF($AK63="","",IF($AK63=0,"",IF(INDEX(LookupData!D:D,$AK63)="","",INDEX(LookupData!D:D,$AK63))))</f>
        <v/>
      </c>
      <c r="E63" t="str">
        <f>IF($AK63="","",IF($AK63=0,"",IF(INDEX(LookupData!E:E,$AK63)="","",INDEX(LookupData!E:E,$AK63))))</f>
        <v/>
      </c>
      <c r="F63" t="str">
        <f>IF($AK63="","",IF($AK63=0,"",IF(INDEX(LookupData!F:F,$AK63)="","",INDEX(LookupData!F:F,$AK63))))</f>
        <v/>
      </c>
      <c r="G63" t="str">
        <f>IF($AK63="","",IF($AK63=0,"",IF(INDEX(LookupData!G:G,$AK63)="","",INDEX(LookupData!G:G,$AK63))))</f>
        <v/>
      </c>
      <c r="H63" t="str">
        <f>IF($AK63="","",IF($AK63=0,"",IF(INDEX(LookupData!H:H,$AK63)="","",INDEX(LookupData!H:H,$AK63))))</f>
        <v/>
      </c>
      <c r="I63" s="7" t="str">
        <f>IF($AK63="","",IF($AK63=0,"",IF(INDEX(LookupData!I:I,$AK63)="","",INDEX(LookupData!I:I,$AK63))))</f>
        <v/>
      </c>
      <c r="J63" s="7" t="str">
        <f>IF($AK63="","",IF($AK63=0,"",IF(INDEX(LookupData!J:J,$AK63)="","",INDEX(LookupData!J:J,$AK63))))</f>
        <v/>
      </c>
      <c r="K63" s="7" t="str">
        <f>IF($AK63="","",IF($AK63=0,"",IF(INDEX(LookupData!K:K,$AK63)="","",INDEX(LookupData!K:K,$AK63))))</f>
        <v/>
      </c>
      <c r="L63" s="7" t="str">
        <f>IF($AK63="","",IF($AK63=0,"",IF(INDEX(LookupData!L:L,$AK63)="","",INDEX(LookupData!L:L,$AK63))))</f>
        <v/>
      </c>
      <c r="M63" s="7" t="str">
        <f>IF($AK63="","",IF($AK63=0,"",IF(INDEX(LookupData!M:M,$AK63)="","",INDEX(LookupData!M:M,$AK63))))</f>
        <v/>
      </c>
      <c r="N63" s="7" t="str">
        <f>IF($AK63="","",IF($AK63=0,"",IF(INDEX(LookupData!N:N,$AK63)="","",INDEX(LookupData!N:N,$AK63))))</f>
        <v/>
      </c>
      <c r="O63" s="7" t="str">
        <f>IF($AK63="","",IF($AK63=0,"",IF(INDEX(LookupData!O:O,$AK63)="","",INDEX(LookupData!O:O,$AK63))))</f>
        <v/>
      </c>
      <c r="P63" s="7" t="str">
        <f>IF($AK63="","",IF($AK63=0,"",IF(INDEX(LookupData!P:P,$AK63)="","",INDEX(LookupData!P:P,$AK63))))</f>
        <v/>
      </c>
      <c r="Q63" s="7" t="str">
        <f>IF($AK63="","",IF($AK63=0,"",IF(INDEX(LookupData!Q:Q,$AK63)="","",INDEX(LookupData!Q:Q,$AK63))))</f>
        <v/>
      </c>
      <c r="R63" s="7" t="str">
        <f>IF($AK63="","",IF($AK63=0,"",IF(INDEX(LookupData!R:R,$AK63)="","",INDEX(LookupData!R:R,$AK63))))</f>
        <v/>
      </c>
      <c r="S63" s="7" t="str">
        <f>IF($AK63="","",IF($AK63=0,"",IF(INDEX(LookupData!S:S,$AK63)="","",INDEX(LookupData!S:S,$AK63))))</f>
        <v/>
      </c>
      <c r="T63" s="7" t="str">
        <f>IF($AK63="","",IF($AK63=0,"",IF(INDEX(LookupData!T:T,$AK63)="","",INDEX(LookupData!T:T,$AK63))))</f>
        <v/>
      </c>
      <c r="U63" s="7" t="str">
        <f>IF($AK63="","",IF($AK63=0,"",IF(INDEX(LookupData!U:U,$AK63)="","",INDEX(LookupData!U:U,$AK63))))</f>
        <v/>
      </c>
      <c r="V63" s="7" t="str">
        <f>IF($AK63="","",IF($AK63=0,"",IF(INDEX(LookupData!V:V,$AK63)="","",INDEX(LookupData!V:V,$AK63))))</f>
        <v/>
      </c>
      <c r="W63" t="str">
        <f>IF($AK63="","",IF($AK63=0,"",IF(INDEX(LookupData!W:W,$AK63)="","",INDEX(LookupData!W:W,$AK63))))</f>
        <v/>
      </c>
      <c r="X63" s="7" t="str">
        <f>IF($AK63="","",IF($AK63=0,"",IF(INDEX(LookupData!X:X,$AK63)="","",INDEX(LookupData!X:X,$AK63))))</f>
        <v/>
      </c>
      <c r="Y63" s="7" t="str">
        <f>IF($AK63="","",IF($AK63=0,"",IF(INDEX(LookupData!Y:Y,$AK63)="","",INDEX(LookupData!Y:Y,$AK63))))</f>
        <v/>
      </c>
      <c r="Z63" s="7" t="str">
        <f>IF($AK63="","",IF($AK63=0,"",IF(INDEX(LookupData!Z:Z,$AK63)="","",INDEX(LookupData!Z:Z,$AK63))))</f>
        <v/>
      </c>
      <c r="AA63" s="7" t="str">
        <f>IF($AK63="","",IF($AK63=0,"",IF(INDEX(LookupData!AA:AA,$AK63)="","",INDEX(LookupData!AA:AA,$AK63))))</f>
        <v/>
      </c>
      <c r="AB63" s="7" t="str">
        <f>IF($AK63="","",IF($AK63=0,"",IF(INDEX(LookupData!AB:AB,$AK63)="","",INDEX(LookupData!AB:AB,$AK63))))</f>
        <v/>
      </c>
      <c r="AC63" s="7" t="str">
        <f>IF($AK63="","",IF($AK63=0,"",IF(INDEX(LookupData!AC:AC,$AK63)="","",INDEX(LookupData!AC:AC,$AK63))))</f>
        <v/>
      </c>
      <c r="AD63" s="7" t="str">
        <f>IF($AK63="","",IF($AK63=0,"",IF(INDEX(LookupData!AD:AD,$AK63)="","",INDEX(LookupData!AD:AD,$AK63))))</f>
        <v/>
      </c>
      <c r="AE63" s="7" t="str">
        <f>IF($AK63="","",IF($AK63=0,"",IF(INDEX(LookupData!AE:AE,$AK63)="","",INDEX(LookupData!AE:AE,$AK63))))</f>
        <v/>
      </c>
      <c r="AF63" t="str">
        <f>IF($AK63="","",IF($AK63=0,"",IF(INDEX(LookupData!AF:AF,$AK63)="","",INDEX(LookupData!AF:AF,$AK63))))</f>
        <v/>
      </c>
      <c r="AG63" t="str">
        <f>IF($AK63="","",IF($AK63=0,"",IF(INDEX(LookupData!AG:AG,$AK63)="","",INDEX(LookupData!AG:AG,$AK63))))</f>
        <v/>
      </c>
      <c r="AH63" s="11" t="str">
        <f>IF($AK63="","",IF($AK63=0,"",IF(INDEX(LookupData!AH:AH,$AK63)="","",INDEX(LookupData!AH:AH,$AK63))))</f>
        <v/>
      </c>
      <c r="AI63" s="12" t="str">
        <f>IF($AK63="","",IF($AK63=0,"",IF(INDEX(LookupData!AI:AI,$AK63)="","",HYPERLINK(INDEX(LookupData!AI:AI,$AK63),"Open"))))</f>
        <v/>
      </c>
      <c r="AK63" t="str">
        <f>IF(AL63="","",IFERROR(MATCH(AL63,LookupData!$A:$A,0),0))</f>
        <v/>
      </c>
      <c r="AL63" t="str">
        <f t="shared" si="2"/>
        <v/>
      </c>
      <c r="AM63" t="str">
        <f t="shared" si="3"/>
        <v/>
      </c>
    </row>
    <row r="64" spans="1:39" x14ac:dyDescent="0.2">
      <c r="A64" s="9"/>
      <c r="B64" s="10" t="str">
        <f>IF($AK64="","",IF($AK64=0,"not in the database",IF(INDEX(LookupData!B:B,$AK64)="","",INDEX(LookupData!B:B,$AK64))))</f>
        <v/>
      </c>
      <c r="C64" t="str">
        <f>IF($AK64="","",IF($AK64=0,"",IF(INDEX(LookupData!C:C,$AK64)="","",INDEX(LookupData!C:C,$AK64))))</f>
        <v/>
      </c>
      <c r="D64" t="str">
        <f>IF($AK64="","",IF($AK64=0,"",IF(INDEX(LookupData!D:D,$AK64)="","",INDEX(LookupData!D:D,$AK64))))</f>
        <v/>
      </c>
      <c r="E64" t="str">
        <f>IF($AK64="","",IF($AK64=0,"",IF(INDEX(LookupData!E:E,$AK64)="","",INDEX(LookupData!E:E,$AK64))))</f>
        <v/>
      </c>
      <c r="F64" t="str">
        <f>IF($AK64="","",IF($AK64=0,"",IF(INDEX(LookupData!F:F,$AK64)="","",INDEX(LookupData!F:F,$AK64))))</f>
        <v/>
      </c>
      <c r="G64" t="str">
        <f>IF($AK64="","",IF($AK64=0,"",IF(INDEX(LookupData!G:G,$AK64)="","",INDEX(LookupData!G:G,$AK64))))</f>
        <v/>
      </c>
      <c r="H64" t="str">
        <f>IF($AK64="","",IF($AK64=0,"",IF(INDEX(LookupData!H:H,$AK64)="","",INDEX(LookupData!H:H,$AK64))))</f>
        <v/>
      </c>
      <c r="I64" s="7" t="str">
        <f>IF($AK64="","",IF($AK64=0,"",IF(INDEX(LookupData!I:I,$AK64)="","",INDEX(LookupData!I:I,$AK64))))</f>
        <v/>
      </c>
      <c r="J64" s="7" t="str">
        <f>IF($AK64="","",IF($AK64=0,"",IF(INDEX(LookupData!J:J,$AK64)="","",INDEX(LookupData!J:J,$AK64))))</f>
        <v/>
      </c>
      <c r="K64" s="7" t="str">
        <f>IF($AK64="","",IF($AK64=0,"",IF(INDEX(LookupData!K:K,$AK64)="","",INDEX(LookupData!K:K,$AK64))))</f>
        <v/>
      </c>
      <c r="L64" s="7" t="str">
        <f>IF($AK64="","",IF($AK64=0,"",IF(INDEX(LookupData!L:L,$AK64)="","",INDEX(LookupData!L:L,$AK64))))</f>
        <v/>
      </c>
      <c r="M64" s="7" t="str">
        <f>IF($AK64="","",IF($AK64=0,"",IF(INDEX(LookupData!M:M,$AK64)="","",INDEX(LookupData!M:M,$AK64))))</f>
        <v/>
      </c>
      <c r="N64" s="7" t="str">
        <f>IF($AK64="","",IF($AK64=0,"",IF(INDEX(LookupData!N:N,$AK64)="","",INDEX(LookupData!N:N,$AK64))))</f>
        <v/>
      </c>
      <c r="O64" s="7" t="str">
        <f>IF($AK64="","",IF($AK64=0,"",IF(INDEX(LookupData!O:O,$AK64)="","",INDEX(LookupData!O:O,$AK64))))</f>
        <v/>
      </c>
      <c r="P64" s="7" t="str">
        <f>IF($AK64="","",IF($AK64=0,"",IF(INDEX(LookupData!P:P,$AK64)="","",INDEX(LookupData!P:P,$AK64))))</f>
        <v/>
      </c>
      <c r="Q64" s="7" t="str">
        <f>IF($AK64="","",IF($AK64=0,"",IF(INDEX(LookupData!Q:Q,$AK64)="","",INDEX(LookupData!Q:Q,$AK64))))</f>
        <v/>
      </c>
      <c r="R64" s="7" t="str">
        <f>IF($AK64="","",IF($AK64=0,"",IF(INDEX(LookupData!R:R,$AK64)="","",INDEX(LookupData!R:R,$AK64))))</f>
        <v/>
      </c>
      <c r="S64" s="7" t="str">
        <f>IF($AK64="","",IF($AK64=0,"",IF(INDEX(LookupData!S:S,$AK64)="","",INDEX(LookupData!S:S,$AK64))))</f>
        <v/>
      </c>
      <c r="T64" s="7" t="str">
        <f>IF($AK64="","",IF($AK64=0,"",IF(INDEX(LookupData!T:T,$AK64)="","",INDEX(LookupData!T:T,$AK64))))</f>
        <v/>
      </c>
      <c r="U64" s="7" t="str">
        <f>IF($AK64="","",IF($AK64=0,"",IF(INDEX(LookupData!U:U,$AK64)="","",INDEX(LookupData!U:U,$AK64))))</f>
        <v/>
      </c>
      <c r="V64" s="7" t="str">
        <f>IF($AK64="","",IF($AK64=0,"",IF(INDEX(LookupData!V:V,$AK64)="","",INDEX(LookupData!V:V,$AK64))))</f>
        <v/>
      </c>
      <c r="W64" t="str">
        <f>IF($AK64="","",IF($AK64=0,"",IF(INDEX(LookupData!W:W,$AK64)="","",INDEX(LookupData!W:W,$AK64))))</f>
        <v/>
      </c>
      <c r="X64" s="7" t="str">
        <f>IF($AK64="","",IF($AK64=0,"",IF(INDEX(LookupData!X:X,$AK64)="","",INDEX(LookupData!X:X,$AK64))))</f>
        <v/>
      </c>
      <c r="Y64" s="7" t="str">
        <f>IF($AK64="","",IF($AK64=0,"",IF(INDEX(LookupData!Y:Y,$AK64)="","",INDEX(LookupData!Y:Y,$AK64))))</f>
        <v/>
      </c>
      <c r="Z64" s="7" t="str">
        <f>IF($AK64="","",IF($AK64=0,"",IF(INDEX(LookupData!Z:Z,$AK64)="","",INDEX(LookupData!Z:Z,$AK64))))</f>
        <v/>
      </c>
      <c r="AA64" s="7" t="str">
        <f>IF($AK64="","",IF($AK64=0,"",IF(INDEX(LookupData!AA:AA,$AK64)="","",INDEX(LookupData!AA:AA,$AK64))))</f>
        <v/>
      </c>
      <c r="AB64" s="7" t="str">
        <f>IF($AK64="","",IF($AK64=0,"",IF(INDEX(LookupData!AB:AB,$AK64)="","",INDEX(LookupData!AB:AB,$AK64))))</f>
        <v/>
      </c>
      <c r="AC64" s="7" t="str">
        <f>IF($AK64="","",IF($AK64=0,"",IF(INDEX(LookupData!AC:AC,$AK64)="","",INDEX(LookupData!AC:AC,$AK64))))</f>
        <v/>
      </c>
      <c r="AD64" s="7" t="str">
        <f>IF($AK64="","",IF($AK64=0,"",IF(INDEX(LookupData!AD:AD,$AK64)="","",INDEX(LookupData!AD:AD,$AK64))))</f>
        <v/>
      </c>
      <c r="AE64" s="7" t="str">
        <f>IF($AK64="","",IF($AK64=0,"",IF(INDEX(LookupData!AE:AE,$AK64)="","",INDEX(LookupData!AE:AE,$AK64))))</f>
        <v/>
      </c>
      <c r="AF64" t="str">
        <f>IF($AK64="","",IF($AK64=0,"",IF(INDEX(LookupData!AF:AF,$AK64)="","",INDEX(LookupData!AF:AF,$AK64))))</f>
        <v/>
      </c>
      <c r="AG64" t="str">
        <f>IF($AK64="","",IF($AK64=0,"",IF(INDEX(LookupData!AG:AG,$AK64)="","",INDEX(LookupData!AG:AG,$AK64))))</f>
        <v/>
      </c>
      <c r="AH64" s="11" t="str">
        <f>IF($AK64="","",IF($AK64=0,"",IF(INDEX(LookupData!AH:AH,$AK64)="","",INDEX(LookupData!AH:AH,$AK64))))</f>
        <v/>
      </c>
      <c r="AI64" s="12" t="str">
        <f>IF($AK64="","",IF($AK64=0,"",IF(INDEX(LookupData!AI:AI,$AK64)="","",HYPERLINK(INDEX(LookupData!AI:AI,$AK64),"Open"))))</f>
        <v/>
      </c>
      <c r="AK64" t="str">
        <f>IF(AL64="","",IFERROR(MATCH(AL64,LookupData!$A:$A,0),0))</f>
        <v/>
      </c>
      <c r="AL64" t="str">
        <f t="shared" si="2"/>
        <v/>
      </c>
      <c r="AM64" t="str">
        <f t="shared" si="3"/>
        <v/>
      </c>
    </row>
    <row r="65" spans="1:39" x14ac:dyDescent="0.2">
      <c r="A65" s="9"/>
      <c r="B65" s="10" t="str">
        <f>IF($AK65="","",IF($AK65=0,"not in the database",IF(INDEX(LookupData!B:B,$AK65)="","",INDEX(LookupData!B:B,$AK65))))</f>
        <v/>
      </c>
      <c r="C65" t="str">
        <f>IF($AK65="","",IF($AK65=0,"",IF(INDEX(LookupData!C:C,$AK65)="","",INDEX(LookupData!C:C,$AK65))))</f>
        <v/>
      </c>
      <c r="D65" t="str">
        <f>IF($AK65="","",IF($AK65=0,"",IF(INDEX(LookupData!D:D,$AK65)="","",INDEX(LookupData!D:D,$AK65))))</f>
        <v/>
      </c>
      <c r="E65" t="str">
        <f>IF($AK65="","",IF($AK65=0,"",IF(INDEX(LookupData!E:E,$AK65)="","",INDEX(LookupData!E:E,$AK65))))</f>
        <v/>
      </c>
      <c r="F65" t="str">
        <f>IF($AK65="","",IF($AK65=0,"",IF(INDEX(LookupData!F:F,$AK65)="","",INDEX(LookupData!F:F,$AK65))))</f>
        <v/>
      </c>
      <c r="G65" t="str">
        <f>IF($AK65="","",IF($AK65=0,"",IF(INDEX(LookupData!G:G,$AK65)="","",INDEX(LookupData!G:G,$AK65))))</f>
        <v/>
      </c>
      <c r="H65" t="str">
        <f>IF($AK65="","",IF($AK65=0,"",IF(INDEX(LookupData!H:H,$AK65)="","",INDEX(LookupData!H:H,$AK65))))</f>
        <v/>
      </c>
      <c r="I65" s="7" t="str">
        <f>IF($AK65="","",IF($AK65=0,"",IF(INDEX(LookupData!I:I,$AK65)="","",INDEX(LookupData!I:I,$AK65))))</f>
        <v/>
      </c>
      <c r="J65" s="7" t="str">
        <f>IF($AK65="","",IF($AK65=0,"",IF(INDEX(LookupData!J:J,$AK65)="","",INDEX(LookupData!J:J,$AK65))))</f>
        <v/>
      </c>
      <c r="K65" s="7" t="str">
        <f>IF($AK65="","",IF($AK65=0,"",IF(INDEX(LookupData!K:K,$AK65)="","",INDEX(LookupData!K:K,$AK65))))</f>
        <v/>
      </c>
      <c r="L65" s="7" t="str">
        <f>IF($AK65="","",IF($AK65=0,"",IF(INDEX(LookupData!L:L,$AK65)="","",INDEX(LookupData!L:L,$AK65))))</f>
        <v/>
      </c>
      <c r="M65" s="7" t="str">
        <f>IF($AK65="","",IF($AK65=0,"",IF(INDEX(LookupData!M:M,$AK65)="","",INDEX(LookupData!M:M,$AK65))))</f>
        <v/>
      </c>
      <c r="N65" s="7" t="str">
        <f>IF($AK65="","",IF($AK65=0,"",IF(INDEX(LookupData!N:N,$AK65)="","",INDEX(LookupData!N:N,$AK65))))</f>
        <v/>
      </c>
      <c r="O65" s="7" t="str">
        <f>IF($AK65="","",IF($AK65=0,"",IF(INDEX(LookupData!O:O,$AK65)="","",INDEX(LookupData!O:O,$AK65))))</f>
        <v/>
      </c>
      <c r="P65" s="7" t="str">
        <f>IF($AK65="","",IF($AK65=0,"",IF(INDEX(LookupData!P:P,$AK65)="","",INDEX(LookupData!P:P,$AK65))))</f>
        <v/>
      </c>
      <c r="Q65" s="7" t="str">
        <f>IF($AK65="","",IF($AK65=0,"",IF(INDEX(LookupData!Q:Q,$AK65)="","",INDEX(LookupData!Q:Q,$AK65))))</f>
        <v/>
      </c>
      <c r="R65" s="7" t="str">
        <f>IF($AK65="","",IF($AK65=0,"",IF(INDEX(LookupData!R:R,$AK65)="","",INDEX(LookupData!R:R,$AK65))))</f>
        <v/>
      </c>
      <c r="S65" s="7" t="str">
        <f>IF($AK65="","",IF($AK65=0,"",IF(INDEX(LookupData!S:S,$AK65)="","",INDEX(LookupData!S:S,$AK65))))</f>
        <v/>
      </c>
      <c r="T65" s="7" t="str">
        <f>IF($AK65="","",IF($AK65=0,"",IF(INDEX(LookupData!T:T,$AK65)="","",INDEX(LookupData!T:T,$AK65))))</f>
        <v/>
      </c>
      <c r="U65" s="7" t="str">
        <f>IF($AK65="","",IF($AK65=0,"",IF(INDEX(LookupData!U:U,$AK65)="","",INDEX(LookupData!U:U,$AK65))))</f>
        <v/>
      </c>
      <c r="V65" s="7" t="str">
        <f>IF($AK65="","",IF($AK65=0,"",IF(INDEX(LookupData!V:V,$AK65)="","",INDEX(LookupData!V:V,$AK65))))</f>
        <v/>
      </c>
      <c r="W65" t="str">
        <f>IF($AK65="","",IF($AK65=0,"",IF(INDEX(LookupData!W:W,$AK65)="","",INDEX(LookupData!W:W,$AK65))))</f>
        <v/>
      </c>
      <c r="X65" s="7" t="str">
        <f>IF($AK65="","",IF($AK65=0,"",IF(INDEX(LookupData!X:X,$AK65)="","",INDEX(LookupData!X:X,$AK65))))</f>
        <v/>
      </c>
      <c r="Y65" s="7" t="str">
        <f>IF($AK65="","",IF($AK65=0,"",IF(INDEX(LookupData!Y:Y,$AK65)="","",INDEX(LookupData!Y:Y,$AK65))))</f>
        <v/>
      </c>
      <c r="Z65" s="7" t="str">
        <f>IF($AK65="","",IF($AK65=0,"",IF(INDEX(LookupData!Z:Z,$AK65)="","",INDEX(LookupData!Z:Z,$AK65))))</f>
        <v/>
      </c>
      <c r="AA65" s="7" t="str">
        <f>IF($AK65="","",IF($AK65=0,"",IF(INDEX(LookupData!AA:AA,$AK65)="","",INDEX(LookupData!AA:AA,$AK65))))</f>
        <v/>
      </c>
      <c r="AB65" s="7" t="str">
        <f>IF($AK65="","",IF($AK65=0,"",IF(INDEX(LookupData!AB:AB,$AK65)="","",INDEX(LookupData!AB:AB,$AK65))))</f>
        <v/>
      </c>
      <c r="AC65" s="7" t="str">
        <f>IF($AK65="","",IF($AK65=0,"",IF(INDEX(LookupData!AC:AC,$AK65)="","",INDEX(LookupData!AC:AC,$AK65))))</f>
        <v/>
      </c>
      <c r="AD65" s="7" t="str">
        <f>IF($AK65="","",IF($AK65=0,"",IF(INDEX(LookupData!AD:AD,$AK65)="","",INDEX(LookupData!AD:AD,$AK65))))</f>
        <v/>
      </c>
      <c r="AE65" s="7" t="str">
        <f>IF($AK65="","",IF($AK65=0,"",IF(INDEX(LookupData!AE:AE,$AK65)="","",INDEX(LookupData!AE:AE,$AK65))))</f>
        <v/>
      </c>
      <c r="AF65" t="str">
        <f>IF($AK65="","",IF($AK65=0,"",IF(INDEX(LookupData!AF:AF,$AK65)="","",INDEX(LookupData!AF:AF,$AK65))))</f>
        <v/>
      </c>
      <c r="AG65" t="str">
        <f>IF($AK65="","",IF($AK65=0,"",IF(INDEX(LookupData!AG:AG,$AK65)="","",INDEX(LookupData!AG:AG,$AK65))))</f>
        <v/>
      </c>
      <c r="AH65" s="11" t="str">
        <f>IF($AK65="","",IF($AK65=0,"",IF(INDEX(LookupData!AH:AH,$AK65)="","",INDEX(LookupData!AH:AH,$AK65))))</f>
        <v/>
      </c>
      <c r="AI65" s="12" t="str">
        <f>IF($AK65="","",IF($AK65=0,"",IF(INDEX(LookupData!AI:AI,$AK65)="","",HYPERLINK(INDEX(LookupData!AI:AI,$AK65),"Open"))))</f>
        <v/>
      </c>
      <c r="AK65" t="str">
        <f>IF(AL65="","",IFERROR(MATCH(AL65,LookupData!$A:$A,0),0))</f>
        <v/>
      </c>
      <c r="AL65" t="str">
        <f t="shared" si="2"/>
        <v/>
      </c>
      <c r="AM65" t="str">
        <f t="shared" si="3"/>
        <v/>
      </c>
    </row>
    <row r="66" spans="1:39" x14ac:dyDescent="0.2">
      <c r="A66" s="9"/>
      <c r="B66" s="10" t="str">
        <f>IF($AK66="","",IF($AK66=0,"not in the database",IF(INDEX(LookupData!B:B,$AK66)="","",INDEX(LookupData!B:B,$AK66))))</f>
        <v/>
      </c>
      <c r="C66" t="str">
        <f>IF($AK66="","",IF($AK66=0,"",IF(INDEX(LookupData!C:C,$AK66)="","",INDEX(LookupData!C:C,$AK66))))</f>
        <v/>
      </c>
      <c r="D66" t="str">
        <f>IF($AK66="","",IF($AK66=0,"",IF(INDEX(LookupData!D:D,$AK66)="","",INDEX(LookupData!D:D,$AK66))))</f>
        <v/>
      </c>
      <c r="E66" t="str">
        <f>IF($AK66="","",IF($AK66=0,"",IF(INDEX(LookupData!E:E,$AK66)="","",INDEX(LookupData!E:E,$AK66))))</f>
        <v/>
      </c>
      <c r="F66" t="str">
        <f>IF($AK66="","",IF($AK66=0,"",IF(INDEX(LookupData!F:F,$AK66)="","",INDEX(LookupData!F:F,$AK66))))</f>
        <v/>
      </c>
      <c r="G66" t="str">
        <f>IF($AK66="","",IF($AK66=0,"",IF(INDEX(LookupData!G:G,$AK66)="","",INDEX(LookupData!G:G,$AK66))))</f>
        <v/>
      </c>
      <c r="H66" t="str">
        <f>IF($AK66="","",IF($AK66=0,"",IF(INDEX(LookupData!H:H,$AK66)="","",INDEX(LookupData!H:H,$AK66))))</f>
        <v/>
      </c>
      <c r="I66" s="7" t="str">
        <f>IF($AK66="","",IF($AK66=0,"",IF(INDEX(LookupData!I:I,$AK66)="","",INDEX(LookupData!I:I,$AK66))))</f>
        <v/>
      </c>
      <c r="J66" s="7" t="str">
        <f>IF($AK66="","",IF($AK66=0,"",IF(INDEX(LookupData!J:J,$AK66)="","",INDEX(LookupData!J:J,$AK66))))</f>
        <v/>
      </c>
      <c r="K66" s="7" t="str">
        <f>IF($AK66="","",IF($AK66=0,"",IF(INDEX(LookupData!K:K,$AK66)="","",INDEX(LookupData!K:K,$AK66))))</f>
        <v/>
      </c>
      <c r="L66" s="7" t="str">
        <f>IF($AK66="","",IF($AK66=0,"",IF(INDEX(LookupData!L:L,$AK66)="","",INDEX(LookupData!L:L,$AK66))))</f>
        <v/>
      </c>
      <c r="M66" s="7" t="str">
        <f>IF($AK66="","",IF($AK66=0,"",IF(INDEX(LookupData!M:M,$AK66)="","",INDEX(LookupData!M:M,$AK66))))</f>
        <v/>
      </c>
      <c r="N66" s="7" t="str">
        <f>IF($AK66="","",IF($AK66=0,"",IF(INDEX(LookupData!N:N,$AK66)="","",INDEX(LookupData!N:N,$AK66))))</f>
        <v/>
      </c>
      <c r="O66" s="7" t="str">
        <f>IF($AK66="","",IF($AK66=0,"",IF(INDEX(LookupData!O:O,$AK66)="","",INDEX(LookupData!O:O,$AK66))))</f>
        <v/>
      </c>
      <c r="P66" s="7" t="str">
        <f>IF($AK66="","",IF($AK66=0,"",IF(INDEX(LookupData!P:P,$AK66)="","",INDEX(LookupData!P:P,$AK66))))</f>
        <v/>
      </c>
      <c r="Q66" s="7" t="str">
        <f>IF($AK66="","",IF($AK66=0,"",IF(INDEX(LookupData!Q:Q,$AK66)="","",INDEX(LookupData!Q:Q,$AK66))))</f>
        <v/>
      </c>
      <c r="R66" s="7" t="str">
        <f>IF($AK66="","",IF($AK66=0,"",IF(INDEX(LookupData!R:R,$AK66)="","",INDEX(LookupData!R:R,$AK66))))</f>
        <v/>
      </c>
      <c r="S66" s="7" t="str">
        <f>IF($AK66="","",IF($AK66=0,"",IF(INDEX(LookupData!S:S,$AK66)="","",INDEX(LookupData!S:S,$AK66))))</f>
        <v/>
      </c>
      <c r="T66" s="7" t="str">
        <f>IF($AK66="","",IF($AK66=0,"",IF(INDEX(LookupData!T:T,$AK66)="","",INDEX(LookupData!T:T,$AK66))))</f>
        <v/>
      </c>
      <c r="U66" s="7" t="str">
        <f>IF($AK66="","",IF($AK66=0,"",IF(INDEX(LookupData!U:U,$AK66)="","",INDEX(LookupData!U:U,$AK66))))</f>
        <v/>
      </c>
      <c r="V66" s="7" t="str">
        <f>IF($AK66="","",IF($AK66=0,"",IF(INDEX(LookupData!V:V,$AK66)="","",INDEX(LookupData!V:V,$AK66))))</f>
        <v/>
      </c>
      <c r="W66" t="str">
        <f>IF($AK66="","",IF($AK66=0,"",IF(INDEX(LookupData!W:W,$AK66)="","",INDEX(LookupData!W:W,$AK66))))</f>
        <v/>
      </c>
      <c r="X66" s="7" t="str">
        <f>IF($AK66="","",IF($AK66=0,"",IF(INDEX(LookupData!X:X,$AK66)="","",INDEX(LookupData!X:X,$AK66))))</f>
        <v/>
      </c>
      <c r="Y66" s="7" t="str">
        <f>IF($AK66="","",IF($AK66=0,"",IF(INDEX(LookupData!Y:Y,$AK66)="","",INDEX(LookupData!Y:Y,$AK66))))</f>
        <v/>
      </c>
      <c r="Z66" s="7" t="str">
        <f>IF($AK66="","",IF($AK66=0,"",IF(INDEX(LookupData!Z:Z,$AK66)="","",INDEX(LookupData!Z:Z,$AK66))))</f>
        <v/>
      </c>
      <c r="AA66" s="7" t="str">
        <f>IF($AK66="","",IF($AK66=0,"",IF(INDEX(LookupData!AA:AA,$AK66)="","",INDEX(LookupData!AA:AA,$AK66))))</f>
        <v/>
      </c>
      <c r="AB66" s="7" t="str">
        <f>IF($AK66="","",IF($AK66=0,"",IF(INDEX(LookupData!AB:AB,$AK66)="","",INDEX(LookupData!AB:AB,$AK66))))</f>
        <v/>
      </c>
      <c r="AC66" s="7" t="str">
        <f>IF($AK66="","",IF($AK66=0,"",IF(INDEX(LookupData!AC:AC,$AK66)="","",INDEX(LookupData!AC:AC,$AK66))))</f>
        <v/>
      </c>
      <c r="AD66" s="7" t="str">
        <f>IF($AK66="","",IF($AK66=0,"",IF(INDEX(LookupData!AD:AD,$AK66)="","",INDEX(LookupData!AD:AD,$AK66))))</f>
        <v/>
      </c>
      <c r="AE66" s="7" t="str">
        <f>IF($AK66="","",IF($AK66=0,"",IF(INDEX(LookupData!AE:AE,$AK66)="","",INDEX(LookupData!AE:AE,$AK66))))</f>
        <v/>
      </c>
      <c r="AF66" t="str">
        <f>IF($AK66="","",IF($AK66=0,"",IF(INDEX(LookupData!AF:AF,$AK66)="","",INDEX(LookupData!AF:AF,$AK66))))</f>
        <v/>
      </c>
      <c r="AG66" t="str">
        <f>IF($AK66="","",IF($AK66=0,"",IF(INDEX(LookupData!AG:AG,$AK66)="","",INDEX(LookupData!AG:AG,$AK66))))</f>
        <v/>
      </c>
      <c r="AH66" s="11" t="str">
        <f>IF($AK66="","",IF($AK66=0,"",IF(INDEX(LookupData!AH:AH,$AK66)="","",INDEX(LookupData!AH:AH,$AK66))))</f>
        <v/>
      </c>
      <c r="AI66" s="12" t="str">
        <f>IF($AK66="","",IF($AK66=0,"",IF(INDEX(LookupData!AI:AI,$AK66)="","",HYPERLINK(INDEX(LookupData!AI:AI,$AK66),"Open"))))</f>
        <v/>
      </c>
      <c r="AK66" t="str">
        <f>IF(AL66="","",IFERROR(MATCH(AL66,LookupData!$A:$A,0),0))</f>
        <v/>
      </c>
      <c r="AL66" t="str">
        <f t="shared" ref="AL66:AL97" si="4">IF(TRIM($A66)="","",UPPER(TRIM($A66)))</f>
        <v/>
      </c>
      <c r="AM66" t="str">
        <f t="shared" si="3"/>
        <v/>
      </c>
    </row>
    <row r="67" spans="1:39" x14ac:dyDescent="0.2">
      <c r="A67" s="9"/>
      <c r="B67" s="10" t="str">
        <f>IF($AK67="","",IF($AK67=0,"not in the database",IF(INDEX(LookupData!B:B,$AK67)="","",INDEX(LookupData!B:B,$AK67))))</f>
        <v/>
      </c>
      <c r="C67" t="str">
        <f>IF($AK67="","",IF($AK67=0,"",IF(INDEX(LookupData!C:C,$AK67)="","",INDEX(LookupData!C:C,$AK67))))</f>
        <v/>
      </c>
      <c r="D67" t="str">
        <f>IF($AK67="","",IF($AK67=0,"",IF(INDEX(LookupData!D:D,$AK67)="","",INDEX(LookupData!D:D,$AK67))))</f>
        <v/>
      </c>
      <c r="E67" t="str">
        <f>IF($AK67="","",IF($AK67=0,"",IF(INDEX(LookupData!E:E,$AK67)="","",INDEX(LookupData!E:E,$AK67))))</f>
        <v/>
      </c>
      <c r="F67" t="str">
        <f>IF($AK67="","",IF($AK67=0,"",IF(INDEX(LookupData!F:F,$AK67)="","",INDEX(LookupData!F:F,$AK67))))</f>
        <v/>
      </c>
      <c r="G67" t="str">
        <f>IF($AK67="","",IF($AK67=0,"",IF(INDEX(LookupData!G:G,$AK67)="","",INDEX(LookupData!G:G,$AK67))))</f>
        <v/>
      </c>
      <c r="H67" t="str">
        <f>IF($AK67="","",IF($AK67=0,"",IF(INDEX(LookupData!H:H,$AK67)="","",INDEX(LookupData!H:H,$AK67))))</f>
        <v/>
      </c>
      <c r="I67" s="7" t="str">
        <f>IF($AK67="","",IF($AK67=0,"",IF(INDEX(LookupData!I:I,$AK67)="","",INDEX(LookupData!I:I,$AK67))))</f>
        <v/>
      </c>
      <c r="J67" s="7" t="str">
        <f>IF($AK67="","",IF($AK67=0,"",IF(INDEX(LookupData!J:J,$AK67)="","",INDEX(LookupData!J:J,$AK67))))</f>
        <v/>
      </c>
      <c r="K67" s="7" t="str">
        <f>IF($AK67="","",IF($AK67=0,"",IF(INDEX(LookupData!K:K,$AK67)="","",INDEX(LookupData!K:K,$AK67))))</f>
        <v/>
      </c>
      <c r="L67" s="7" t="str">
        <f>IF($AK67="","",IF($AK67=0,"",IF(INDEX(LookupData!L:L,$AK67)="","",INDEX(LookupData!L:L,$AK67))))</f>
        <v/>
      </c>
      <c r="M67" s="7" t="str">
        <f>IF($AK67="","",IF($AK67=0,"",IF(INDEX(LookupData!M:M,$AK67)="","",INDEX(LookupData!M:M,$AK67))))</f>
        <v/>
      </c>
      <c r="N67" s="7" t="str">
        <f>IF($AK67="","",IF($AK67=0,"",IF(INDEX(LookupData!N:N,$AK67)="","",INDEX(LookupData!N:N,$AK67))))</f>
        <v/>
      </c>
      <c r="O67" s="7" t="str">
        <f>IF($AK67="","",IF($AK67=0,"",IF(INDEX(LookupData!O:O,$AK67)="","",INDEX(LookupData!O:O,$AK67))))</f>
        <v/>
      </c>
      <c r="P67" s="7" t="str">
        <f>IF($AK67="","",IF($AK67=0,"",IF(INDEX(LookupData!P:P,$AK67)="","",INDEX(LookupData!P:P,$AK67))))</f>
        <v/>
      </c>
      <c r="Q67" s="7" t="str">
        <f>IF($AK67="","",IF($AK67=0,"",IF(INDEX(LookupData!Q:Q,$AK67)="","",INDEX(LookupData!Q:Q,$AK67))))</f>
        <v/>
      </c>
      <c r="R67" s="7" t="str">
        <f>IF($AK67="","",IF($AK67=0,"",IF(INDEX(LookupData!R:R,$AK67)="","",INDEX(LookupData!R:R,$AK67))))</f>
        <v/>
      </c>
      <c r="S67" s="7" t="str">
        <f>IF($AK67="","",IF($AK67=0,"",IF(INDEX(LookupData!S:S,$AK67)="","",INDEX(LookupData!S:S,$AK67))))</f>
        <v/>
      </c>
      <c r="T67" s="7" t="str">
        <f>IF($AK67="","",IF($AK67=0,"",IF(INDEX(LookupData!T:T,$AK67)="","",INDEX(LookupData!T:T,$AK67))))</f>
        <v/>
      </c>
      <c r="U67" s="7" t="str">
        <f>IF($AK67="","",IF($AK67=0,"",IF(INDEX(LookupData!U:U,$AK67)="","",INDEX(LookupData!U:U,$AK67))))</f>
        <v/>
      </c>
      <c r="V67" s="7" t="str">
        <f>IF($AK67="","",IF($AK67=0,"",IF(INDEX(LookupData!V:V,$AK67)="","",INDEX(LookupData!V:V,$AK67))))</f>
        <v/>
      </c>
      <c r="W67" t="str">
        <f>IF($AK67="","",IF($AK67=0,"",IF(INDEX(LookupData!W:W,$AK67)="","",INDEX(LookupData!W:W,$AK67))))</f>
        <v/>
      </c>
      <c r="X67" s="7" t="str">
        <f>IF($AK67="","",IF($AK67=0,"",IF(INDEX(LookupData!X:X,$AK67)="","",INDEX(LookupData!X:X,$AK67))))</f>
        <v/>
      </c>
      <c r="Y67" s="7" t="str">
        <f>IF($AK67="","",IF($AK67=0,"",IF(INDEX(LookupData!Y:Y,$AK67)="","",INDEX(LookupData!Y:Y,$AK67))))</f>
        <v/>
      </c>
      <c r="Z67" s="7" t="str">
        <f>IF($AK67="","",IF($AK67=0,"",IF(INDEX(LookupData!Z:Z,$AK67)="","",INDEX(LookupData!Z:Z,$AK67))))</f>
        <v/>
      </c>
      <c r="AA67" s="7" t="str">
        <f>IF($AK67="","",IF($AK67=0,"",IF(INDEX(LookupData!AA:AA,$AK67)="","",INDEX(LookupData!AA:AA,$AK67))))</f>
        <v/>
      </c>
      <c r="AB67" s="7" t="str">
        <f>IF($AK67="","",IF($AK67=0,"",IF(INDEX(LookupData!AB:AB,$AK67)="","",INDEX(LookupData!AB:AB,$AK67))))</f>
        <v/>
      </c>
      <c r="AC67" s="7" t="str">
        <f>IF($AK67="","",IF($AK67=0,"",IF(INDEX(LookupData!AC:AC,$AK67)="","",INDEX(LookupData!AC:AC,$AK67))))</f>
        <v/>
      </c>
      <c r="AD67" s="7" t="str">
        <f>IF($AK67="","",IF($AK67=0,"",IF(INDEX(LookupData!AD:AD,$AK67)="","",INDEX(LookupData!AD:AD,$AK67))))</f>
        <v/>
      </c>
      <c r="AE67" s="7" t="str">
        <f>IF($AK67="","",IF($AK67=0,"",IF(INDEX(LookupData!AE:AE,$AK67)="","",INDEX(LookupData!AE:AE,$AK67))))</f>
        <v/>
      </c>
      <c r="AF67" t="str">
        <f>IF($AK67="","",IF($AK67=0,"",IF(INDEX(LookupData!AF:AF,$AK67)="","",INDEX(LookupData!AF:AF,$AK67))))</f>
        <v/>
      </c>
      <c r="AG67" t="str">
        <f>IF($AK67="","",IF($AK67=0,"",IF(INDEX(LookupData!AG:AG,$AK67)="","",INDEX(LookupData!AG:AG,$AK67))))</f>
        <v/>
      </c>
      <c r="AH67" s="11" t="str">
        <f>IF($AK67="","",IF($AK67=0,"",IF(INDEX(LookupData!AH:AH,$AK67)="","",INDEX(LookupData!AH:AH,$AK67))))</f>
        <v/>
      </c>
      <c r="AI67" s="12" t="str">
        <f>IF($AK67="","",IF($AK67=0,"",IF(INDEX(LookupData!AI:AI,$AK67)="","",HYPERLINK(INDEX(LookupData!AI:AI,$AK67),"Open"))))</f>
        <v/>
      </c>
      <c r="AK67" t="str">
        <f>IF(AL67="","",IFERROR(MATCH(AL67,LookupData!$A:$A,0),0))</f>
        <v/>
      </c>
      <c r="AL67" t="str">
        <f t="shared" si="4"/>
        <v/>
      </c>
      <c r="AM67" t="str">
        <f t="shared" ref="AM67:AM98" si="5">IF(AL67="",AM66,IF(AM66="",AL67,AM66&amp;"|"&amp;AL67))</f>
        <v/>
      </c>
    </row>
    <row r="68" spans="1:39" x14ac:dyDescent="0.2">
      <c r="A68" s="9"/>
      <c r="B68" s="10" t="str">
        <f>IF($AK68="","",IF($AK68=0,"not in the database",IF(INDEX(LookupData!B:B,$AK68)="","",INDEX(LookupData!B:B,$AK68))))</f>
        <v/>
      </c>
      <c r="C68" t="str">
        <f>IF($AK68="","",IF($AK68=0,"",IF(INDEX(LookupData!C:C,$AK68)="","",INDEX(LookupData!C:C,$AK68))))</f>
        <v/>
      </c>
      <c r="D68" t="str">
        <f>IF($AK68="","",IF($AK68=0,"",IF(INDEX(LookupData!D:D,$AK68)="","",INDEX(LookupData!D:D,$AK68))))</f>
        <v/>
      </c>
      <c r="E68" t="str">
        <f>IF($AK68="","",IF($AK68=0,"",IF(INDEX(LookupData!E:E,$AK68)="","",INDEX(LookupData!E:E,$AK68))))</f>
        <v/>
      </c>
      <c r="F68" t="str">
        <f>IF($AK68="","",IF($AK68=0,"",IF(INDEX(LookupData!F:F,$AK68)="","",INDEX(LookupData!F:F,$AK68))))</f>
        <v/>
      </c>
      <c r="G68" t="str">
        <f>IF($AK68="","",IF($AK68=0,"",IF(INDEX(LookupData!G:G,$AK68)="","",INDEX(LookupData!G:G,$AK68))))</f>
        <v/>
      </c>
      <c r="H68" t="str">
        <f>IF($AK68="","",IF($AK68=0,"",IF(INDEX(LookupData!H:H,$AK68)="","",INDEX(LookupData!H:H,$AK68))))</f>
        <v/>
      </c>
      <c r="I68" s="7" t="str">
        <f>IF($AK68="","",IF($AK68=0,"",IF(INDEX(LookupData!I:I,$AK68)="","",INDEX(LookupData!I:I,$AK68))))</f>
        <v/>
      </c>
      <c r="J68" s="7" t="str">
        <f>IF($AK68="","",IF($AK68=0,"",IF(INDEX(LookupData!J:J,$AK68)="","",INDEX(LookupData!J:J,$AK68))))</f>
        <v/>
      </c>
      <c r="K68" s="7" t="str">
        <f>IF($AK68="","",IF($AK68=0,"",IF(INDEX(LookupData!K:K,$AK68)="","",INDEX(LookupData!K:K,$AK68))))</f>
        <v/>
      </c>
      <c r="L68" s="7" t="str">
        <f>IF($AK68="","",IF($AK68=0,"",IF(INDEX(LookupData!L:L,$AK68)="","",INDEX(LookupData!L:L,$AK68))))</f>
        <v/>
      </c>
      <c r="M68" s="7" t="str">
        <f>IF($AK68="","",IF($AK68=0,"",IF(INDEX(LookupData!M:M,$AK68)="","",INDEX(LookupData!M:M,$AK68))))</f>
        <v/>
      </c>
      <c r="N68" s="7" t="str">
        <f>IF($AK68="","",IF($AK68=0,"",IF(INDEX(LookupData!N:N,$AK68)="","",INDEX(LookupData!N:N,$AK68))))</f>
        <v/>
      </c>
      <c r="O68" s="7" t="str">
        <f>IF($AK68="","",IF($AK68=0,"",IF(INDEX(LookupData!O:O,$AK68)="","",INDEX(LookupData!O:O,$AK68))))</f>
        <v/>
      </c>
      <c r="P68" s="7" t="str">
        <f>IF($AK68="","",IF($AK68=0,"",IF(INDEX(LookupData!P:P,$AK68)="","",INDEX(LookupData!P:P,$AK68))))</f>
        <v/>
      </c>
      <c r="Q68" s="7" t="str">
        <f>IF($AK68="","",IF($AK68=0,"",IF(INDEX(LookupData!Q:Q,$AK68)="","",INDEX(LookupData!Q:Q,$AK68))))</f>
        <v/>
      </c>
      <c r="R68" s="7" t="str">
        <f>IF($AK68="","",IF($AK68=0,"",IF(INDEX(LookupData!R:R,$AK68)="","",INDEX(LookupData!R:R,$AK68))))</f>
        <v/>
      </c>
      <c r="S68" s="7" t="str">
        <f>IF($AK68="","",IF($AK68=0,"",IF(INDEX(LookupData!S:S,$AK68)="","",INDEX(LookupData!S:S,$AK68))))</f>
        <v/>
      </c>
      <c r="T68" s="7" t="str">
        <f>IF($AK68="","",IF($AK68=0,"",IF(INDEX(LookupData!T:T,$AK68)="","",INDEX(LookupData!T:T,$AK68))))</f>
        <v/>
      </c>
      <c r="U68" s="7" t="str">
        <f>IF($AK68="","",IF($AK68=0,"",IF(INDEX(LookupData!U:U,$AK68)="","",INDEX(LookupData!U:U,$AK68))))</f>
        <v/>
      </c>
      <c r="V68" s="7" t="str">
        <f>IF($AK68="","",IF($AK68=0,"",IF(INDEX(LookupData!V:V,$AK68)="","",INDEX(LookupData!V:V,$AK68))))</f>
        <v/>
      </c>
      <c r="W68" t="str">
        <f>IF($AK68="","",IF($AK68=0,"",IF(INDEX(LookupData!W:W,$AK68)="","",INDEX(LookupData!W:W,$AK68))))</f>
        <v/>
      </c>
      <c r="X68" s="7" t="str">
        <f>IF($AK68="","",IF($AK68=0,"",IF(INDEX(LookupData!X:X,$AK68)="","",INDEX(LookupData!X:X,$AK68))))</f>
        <v/>
      </c>
      <c r="Y68" s="7" t="str">
        <f>IF($AK68="","",IF($AK68=0,"",IF(INDEX(LookupData!Y:Y,$AK68)="","",INDEX(LookupData!Y:Y,$AK68))))</f>
        <v/>
      </c>
      <c r="Z68" s="7" t="str">
        <f>IF($AK68="","",IF($AK68=0,"",IF(INDEX(LookupData!Z:Z,$AK68)="","",INDEX(LookupData!Z:Z,$AK68))))</f>
        <v/>
      </c>
      <c r="AA68" s="7" t="str">
        <f>IF($AK68="","",IF($AK68=0,"",IF(INDEX(LookupData!AA:AA,$AK68)="","",INDEX(LookupData!AA:AA,$AK68))))</f>
        <v/>
      </c>
      <c r="AB68" s="7" t="str">
        <f>IF($AK68="","",IF($AK68=0,"",IF(INDEX(LookupData!AB:AB,$AK68)="","",INDEX(LookupData!AB:AB,$AK68))))</f>
        <v/>
      </c>
      <c r="AC68" s="7" t="str">
        <f>IF($AK68="","",IF($AK68=0,"",IF(INDEX(LookupData!AC:AC,$AK68)="","",INDEX(LookupData!AC:AC,$AK68))))</f>
        <v/>
      </c>
      <c r="AD68" s="7" t="str">
        <f>IF($AK68="","",IF($AK68=0,"",IF(INDEX(LookupData!AD:AD,$AK68)="","",INDEX(LookupData!AD:AD,$AK68))))</f>
        <v/>
      </c>
      <c r="AE68" s="7" t="str">
        <f>IF($AK68="","",IF($AK68=0,"",IF(INDEX(LookupData!AE:AE,$AK68)="","",INDEX(LookupData!AE:AE,$AK68))))</f>
        <v/>
      </c>
      <c r="AF68" t="str">
        <f>IF($AK68="","",IF($AK68=0,"",IF(INDEX(LookupData!AF:AF,$AK68)="","",INDEX(LookupData!AF:AF,$AK68))))</f>
        <v/>
      </c>
      <c r="AG68" t="str">
        <f>IF($AK68="","",IF($AK68=0,"",IF(INDEX(LookupData!AG:AG,$AK68)="","",INDEX(LookupData!AG:AG,$AK68))))</f>
        <v/>
      </c>
      <c r="AH68" s="11" t="str">
        <f>IF($AK68="","",IF($AK68=0,"",IF(INDEX(LookupData!AH:AH,$AK68)="","",INDEX(LookupData!AH:AH,$AK68))))</f>
        <v/>
      </c>
      <c r="AI68" s="12" t="str">
        <f>IF($AK68="","",IF($AK68=0,"",IF(INDEX(LookupData!AI:AI,$AK68)="","",HYPERLINK(INDEX(LookupData!AI:AI,$AK68),"Open"))))</f>
        <v/>
      </c>
      <c r="AK68" t="str">
        <f>IF(AL68="","",IFERROR(MATCH(AL68,LookupData!$A:$A,0),0))</f>
        <v/>
      </c>
      <c r="AL68" t="str">
        <f t="shared" si="4"/>
        <v/>
      </c>
      <c r="AM68" t="str">
        <f t="shared" si="5"/>
        <v/>
      </c>
    </row>
    <row r="69" spans="1:39" x14ac:dyDescent="0.2">
      <c r="A69" s="9"/>
      <c r="B69" s="10" t="str">
        <f>IF($AK69="","",IF($AK69=0,"not in the database",IF(INDEX(LookupData!B:B,$AK69)="","",INDEX(LookupData!B:B,$AK69))))</f>
        <v/>
      </c>
      <c r="C69" t="str">
        <f>IF($AK69="","",IF($AK69=0,"",IF(INDEX(LookupData!C:C,$AK69)="","",INDEX(LookupData!C:C,$AK69))))</f>
        <v/>
      </c>
      <c r="D69" t="str">
        <f>IF($AK69="","",IF($AK69=0,"",IF(INDEX(LookupData!D:D,$AK69)="","",INDEX(LookupData!D:D,$AK69))))</f>
        <v/>
      </c>
      <c r="E69" t="str">
        <f>IF($AK69="","",IF($AK69=0,"",IF(INDEX(LookupData!E:E,$AK69)="","",INDEX(LookupData!E:E,$AK69))))</f>
        <v/>
      </c>
      <c r="F69" t="str">
        <f>IF($AK69="","",IF($AK69=0,"",IF(INDEX(LookupData!F:F,$AK69)="","",INDEX(LookupData!F:F,$AK69))))</f>
        <v/>
      </c>
      <c r="G69" t="str">
        <f>IF($AK69="","",IF($AK69=0,"",IF(INDEX(LookupData!G:G,$AK69)="","",INDEX(LookupData!G:G,$AK69))))</f>
        <v/>
      </c>
      <c r="H69" t="str">
        <f>IF($AK69="","",IF($AK69=0,"",IF(INDEX(LookupData!H:H,$AK69)="","",INDEX(LookupData!H:H,$AK69))))</f>
        <v/>
      </c>
      <c r="I69" s="7" t="str">
        <f>IF($AK69="","",IF($AK69=0,"",IF(INDEX(LookupData!I:I,$AK69)="","",INDEX(LookupData!I:I,$AK69))))</f>
        <v/>
      </c>
      <c r="J69" s="7" t="str">
        <f>IF($AK69="","",IF($AK69=0,"",IF(INDEX(LookupData!J:J,$AK69)="","",INDEX(LookupData!J:J,$AK69))))</f>
        <v/>
      </c>
      <c r="K69" s="7" t="str">
        <f>IF($AK69="","",IF($AK69=0,"",IF(INDEX(LookupData!K:K,$AK69)="","",INDEX(LookupData!K:K,$AK69))))</f>
        <v/>
      </c>
      <c r="L69" s="7" t="str">
        <f>IF($AK69="","",IF($AK69=0,"",IF(INDEX(LookupData!L:L,$AK69)="","",INDEX(LookupData!L:L,$AK69))))</f>
        <v/>
      </c>
      <c r="M69" s="7" t="str">
        <f>IF($AK69="","",IF($AK69=0,"",IF(INDEX(LookupData!M:M,$AK69)="","",INDEX(LookupData!M:M,$AK69))))</f>
        <v/>
      </c>
      <c r="N69" s="7" t="str">
        <f>IF($AK69="","",IF($AK69=0,"",IF(INDEX(LookupData!N:N,$AK69)="","",INDEX(LookupData!N:N,$AK69))))</f>
        <v/>
      </c>
      <c r="O69" s="7" t="str">
        <f>IF($AK69="","",IF($AK69=0,"",IF(INDEX(LookupData!O:O,$AK69)="","",INDEX(LookupData!O:O,$AK69))))</f>
        <v/>
      </c>
      <c r="P69" s="7" t="str">
        <f>IF($AK69="","",IF($AK69=0,"",IF(INDEX(LookupData!P:P,$AK69)="","",INDEX(LookupData!P:P,$AK69))))</f>
        <v/>
      </c>
      <c r="Q69" s="7" t="str">
        <f>IF($AK69="","",IF($AK69=0,"",IF(INDEX(LookupData!Q:Q,$AK69)="","",INDEX(LookupData!Q:Q,$AK69))))</f>
        <v/>
      </c>
      <c r="R69" s="7" t="str">
        <f>IF($AK69="","",IF($AK69=0,"",IF(INDEX(LookupData!R:R,$AK69)="","",INDEX(LookupData!R:R,$AK69))))</f>
        <v/>
      </c>
      <c r="S69" s="7" t="str">
        <f>IF($AK69="","",IF($AK69=0,"",IF(INDEX(LookupData!S:S,$AK69)="","",INDEX(LookupData!S:S,$AK69))))</f>
        <v/>
      </c>
      <c r="T69" s="7" t="str">
        <f>IF($AK69="","",IF($AK69=0,"",IF(INDEX(LookupData!T:T,$AK69)="","",INDEX(LookupData!T:T,$AK69))))</f>
        <v/>
      </c>
      <c r="U69" s="7" t="str">
        <f>IF($AK69="","",IF($AK69=0,"",IF(INDEX(LookupData!U:U,$AK69)="","",INDEX(LookupData!U:U,$AK69))))</f>
        <v/>
      </c>
      <c r="V69" s="7" t="str">
        <f>IF($AK69="","",IF($AK69=0,"",IF(INDEX(LookupData!V:V,$AK69)="","",INDEX(LookupData!V:V,$AK69))))</f>
        <v/>
      </c>
      <c r="W69" t="str">
        <f>IF($AK69="","",IF($AK69=0,"",IF(INDEX(LookupData!W:W,$AK69)="","",INDEX(LookupData!W:W,$AK69))))</f>
        <v/>
      </c>
      <c r="X69" s="7" t="str">
        <f>IF($AK69="","",IF($AK69=0,"",IF(INDEX(LookupData!X:X,$AK69)="","",INDEX(LookupData!X:X,$AK69))))</f>
        <v/>
      </c>
      <c r="Y69" s="7" t="str">
        <f>IF($AK69="","",IF($AK69=0,"",IF(INDEX(LookupData!Y:Y,$AK69)="","",INDEX(LookupData!Y:Y,$AK69))))</f>
        <v/>
      </c>
      <c r="Z69" s="7" t="str">
        <f>IF($AK69="","",IF($AK69=0,"",IF(INDEX(LookupData!Z:Z,$AK69)="","",INDEX(LookupData!Z:Z,$AK69))))</f>
        <v/>
      </c>
      <c r="AA69" s="7" t="str">
        <f>IF($AK69="","",IF($AK69=0,"",IF(INDEX(LookupData!AA:AA,$AK69)="","",INDEX(LookupData!AA:AA,$AK69))))</f>
        <v/>
      </c>
      <c r="AB69" s="7" t="str">
        <f>IF($AK69="","",IF($AK69=0,"",IF(INDEX(LookupData!AB:AB,$AK69)="","",INDEX(LookupData!AB:AB,$AK69))))</f>
        <v/>
      </c>
      <c r="AC69" s="7" t="str">
        <f>IF($AK69="","",IF($AK69=0,"",IF(INDEX(LookupData!AC:AC,$AK69)="","",INDEX(LookupData!AC:AC,$AK69))))</f>
        <v/>
      </c>
      <c r="AD69" s="7" t="str">
        <f>IF($AK69="","",IF($AK69=0,"",IF(INDEX(LookupData!AD:AD,$AK69)="","",INDEX(LookupData!AD:AD,$AK69))))</f>
        <v/>
      </c>
      <c r="AE69" s="7" t="str">
        <f>IF($AK69="","",IF($AK69=0,"",IF(INDEX(LookupData!AE:AE,$AK69)="","",INDEX(LookupData!AE:AE,$AK69))))</f>
        <v/>
      </c>
      <c r="AF69" t="str">
        <f>IF($AK69="","",IF($AK69=0,"",IF(INDEX(LookupData!AF:AF,$AK69)="","",INDEX(LookupData!AF:AF,$AK69))))</f>
        <v/>
      </c>
      <c r="AG69" t="str">
        <f>IF($AK69="","",IF($AK69=0,"",IF(INDEX(LookupData!AG:AG,$AK69)="","",INDEX(LookupData!AG:AG,$AK69))))</f>
        <v/>
      </c>
      <c r="AH69" s="11" t="str">
        <f>IF($AK69="","",IF($AK69=0,"",IF(INDEX(LookupData!AH:AH,$AK69)="","",INDEX(LookupData!AH:AH,$AK69))))</f>
        <v/>
      </c>
      <c r="AI69" s="12" t="str">
        <f>IF($AK69="","",IF($AK69=0,"",IF(INDEX(LookupData!AI:AI,$AK69)="","",HYPERLINK(INDEX(LookupData!AI:AI,$AK69),"Open"))))</f>
        <v/>
      </c>
      <c r="AK69" t="str">
        <f>IF(AL69="","",IFERROR(MATCH(AL69,LookupData!$A:$A,0),0))</f>
        <v/>
      </c>
      <c r="AL69" t="str">
        <f t="shared" si="4"/>
        <v/>
      </c>
      <c r="AM69" t="str">
        <f t="shared" si="5"/>
        <v/>
      </c>
    </row>
    <row r="70" spans="1:39" x14ac:dyDescent="0.2">
      <c r="A70" s="9"/>
      <c r="B70" s="10" t="str">
        <f>IF($AK70="","",IF($AK70=0,"not in the database",IF(INDEX(LookupData!B:B,$AK70)="","",INDEX(LookupData!B:B,$AK70))))</f>
        <v/>
      </c>
      <c r="C70" t="str">
        <f>IF($AK70="","",IF($AK70=0,"",IF(INDEX(LookupData!C:C,$AK70)="","",INDEX(LookupData!C:C,$AK70))))</f>
        <v/>
      </c>
      <c r="D70" t="str">
        <f>IF($AK70="","",IF($AK70=0,"",IF(INDEX(LookupData!D:D,$AK70)="","",INDEX(LookupData!D:D,$AK70))))</f>
        <v/>
      </c>
      <c r="E70" t="str">
        <f>IF($AK70="","",IF($AK70=0,"",IF(INDEX(LookupData!E:E,$AK70)="","",INDEX(LookupData!E:E,$AK70))))</f>
        <v/>
      </c>
      <c r="F70" t="str">
        <f>IF($AK70="","",IF($AK70=0,"",IF(INDEX(LookupData!F:F,$AK70)="","",INDEX(LookupData!F:F,$AK70))))</f>
        <v/>
      </c>
      <c r="G70" t="str">
        <f>IF($AK70="","",IF($AK70=0,"",IF(INDEX(LookupData!G:G,$AK70)="","",INDEX(LookupData!G:G,$AK70))))</f>
        <v/>
      </c>
      <c r="H70" t="str">
        <f>IF($AK70="","",IF($AK70=0,"",IF(INDEX(LookupData!H:H,$AK70)="","",INDEX(LookupData!H:H,$AK70))))</f>
        <v/>
      </c>
      <c r="I70" s="7" t="str">
        <f>IF($AK70="","",IF($AK70=0,"",IF(INDEX(LookupData!I:I,$AK70)="","",INDEX(LookupData!I:I,$AK70))))</f>
        <v/>
      </c>
      <c r="J70" s="7" t="str">
        <f>IF($AK70="","",IF($AK70=0,"",IF(INDEX(LookupData!J:J,$AK70)="","",INDEX(LookupData!J:J,$AK70))))</f>
        <v/>
      </c>
      <c r="K70" s="7" t="str">
        <f>IF($AK70="","",IF($AK70=0,"",IF(INDEX(LookupData!K:K,$AK70)="","",INDEX(LookupData!K:K,$AK70))))</f>
        <v/>
      </c>
      <c r="L70" s="7" t="str">
        <f>IF($AK70="","",IF($AK70=0,"",IF(INDEX(LookupData!L:L,$AK70)="","",INDEX(LookupData!L:L,$AK70))))</f>
        <v/>
      </c>
      <c r="M70" s="7" t="str">
        <f>IF($AK70="","",IF($AK70=0,"",IF(INDEX(LookupData!M:M,$AK70)="","",INDEX(LookupData!M:M,$AK70))))</f>
        <v/>
      </c>
      <c r="N70" s="7" t="str">
        <f>IF($AK70="","",IF($AK70=0,"",IF(INDEX(LookupData!N:N,$AK70)="","",INDEX(LookupData!N:N,$AK70))))</f>
        <v/>
      </c>
      <c r="O70" s="7" t="str">
        <f>IF($AK70="","",IF($AK70=0,"",IF(INDEX(LookupData!O:O,$AK70)="","",INDEX(LookupData!O:O,$AK70))))</f>
        <v/>
      </c>
      <c r="P70" s="7" t="str">
        <f>IF($AK70="","",IF($AK70=0,"",IF(INDEX(LookupData!P:P,$AK70)="","",INDEX(LookupData!P:P,$AK70))))</f>
        <v/>
      </c>
      <c r="Q70" s="7" t="str">
        <f>IF($AK70="","",IF($AK70=0,"",IF(INDEX(LookupData!Q:Q,$AK70)="","",INDEX(LookupData!Q:Q,$AK70))))</f>
        <v/>
      </c>
      <c r="R70" s="7" t="str">
        <f>IF($AK70="","",IF($AK70=0,"",IF(INDEX(LookupData!R:R,$AK70)="","",INDEX(LookupData!R:R,$AK70))))</f>
        <v/>
      </c>
      <c r="S70" s="7" t="str">
        <f>IF($AK70="","",IF($AK70=0,"",IF(INDEX(LookupData!S:S,$AK70)="","",INDEX(LookupData!S:S,$AK70))))</f>
        <v/>
      </c>
      <c r="T70" s="7" t="str">
        <f>IF($AK70="","",IF($AK70=0,"",IF(INDEX(LookupData!T:T,$AK70)="","",INDEX(LookupData!T:T,$AK70))))</f>
        <v/>
      </c>
      <c r="U70" s="7" t="str">
        <f>IF($AK70="","",IF($AK70=0,"",IF(INDEX(LookupData!U:U,$AK70)="","",INDEX(LookupData!U:U,$AK70))))</f>
        <v/>
      </c>
      <c r="V70" s="7" t="str">
        <f>IF($AK70="","",IF($AK70=0,"",IF(INDEX(LookupData!V:V,$AK70)="","",INDEX(LookupData!V:V,$AK70))))</f>
        <v/>
      </c>
      <c r="W70" t="str">
        <f>IF($AK70="","",IF($AK70=0,"",IF(INDEX(LookupData!W:W,$AK70)="","",INDEX(LookupData!W:W,$AK70))))</f>
        <v/>
      </c>
      <c r="X70" s="7" t="str">
        <f>IF($AK70="","",IF($AK70=0,"",IF(INDEX(LookupData!X:X,$AK70)="","",INDEX(LookupData!X:X,$AK70))))</f>
        <v/>
      </c>
      <c r="Y70" s="7" t="str">
        <f>IF($AK70="","",IF($AK70=0,"",IF(INDEX(LookupData!Y:Y,$AK70)="","",INDEX(LookupData!Y:Y,$AK70))))</f>
        <v/>
      </c>
      <c r="Z70" s="7" t="str">
        <f>IF($AK70="","",IF($AK70=0,"",IF(INDEX(LookupData!Z:Z,$AK70)="","",INDEX(LookupData!Z:Z,$AK70))))</f>
        <v/>
      </c>
      <c r="AA70" s="7" t="str">
        <f>IF($AK70="","",IF($AK70=0,"",IF(INDEX(LookupData!AA:AA,$AK70)="","",INDEX(LookupData!AA:AA,$AK70))))</f>
        <v/>
      </c>
      <c r="AB70" s="7" t="str">
        <f>IF($AK70="","",IF($AK70=0,"",IF(INDEX(LookupData!AB:AB,$AK70)="","",INDEX(LookupData!AB:AB,$AK70))))</f>
        <v/>
      </c>
      <c r="AC70" s="7" t="str">
        <f>IF($AK70="","",IF($AK70=0,"",IF(INDEX(LookupData!AC:AC,$AK70)="","",INDEX(LookupData!AC:AC,$AK70))))</f>
        <v/>
      </c>
      <c r="AD70" s="7" t="str">
        <f>IF($AK70="","",IF($AK70=0,"",IF(INDEX(LookupData!AD:AD,$AK70)="","",INDEX(LookupData!AD:AD,$AK70))))</f>
        <v/>
      </c>
      <c r="AE70" s="7" t="str">
        <f>IF($AK70="","",IF($AK70=0,"",IF(INDEX(LookupData!AE:AE,$AK70)="","",INDEX(LookupData!AE:AE,$AK70))))</f>
        <v/>
      </c>
      <c r="AF70" t="str">
        <f>IF($AK70="","",IF($AK70=0,"",IF(INDEX(LookupData!AF:AF,$AK70)="","",INDEX(LookupData!AF:AF,$AK70))))</f>
        <v/>
      </c>
      <c r="AG70" t="str">
        <f>IF($AK70="","",IF($AK70=0,"",IF(INDEX(LookupData!AG:AG,$AK70)="","",INDEX(LookupData!AG:AG,$AK70))))</f>
        <v/>
      </c>
      <c r="AH70" s="11" t="str">
        <f>IF($AK70="","",IF($AK70=0,"",IF(INDEX(LookupData!AH:AH,$AK70)="","",INDEX(LookupData!AH:AH,$AK70))))</f>
        <v/>
      </c>
      <c r="AI70" s="12" t="str">
        <f>IF($AK70="","",IF($AK70=0,"",IF(INDEX(LookupData!AI:AI,$AK70)="","",HYPERLINK(INDEX(LookupData!AI:AI,$AK70),"Open"))))</f>
        <v/>
      </c>
      <c r="AK70" t="str">
        <f>IF(AL70="","",IFERROR(MATCH(AL70,LookupData!$A:$A,0),0))</f>
        <v/>
      </c>
      <c r="AL70" t="str">
        <f t="shared" si="4"/>
        <v/>
      </c>
      <c r="AM70" t="str">
        <f t="shared" si="5"/>
        <v/>
      </c>
    </row>
    <row r="71" spans="1:39" x14ac:dyDescent="0.2">
      <c r="A71" s="9"/>
      <c r="B71" s="10" t="str">
        <f>IF($AK71="","",IF($AK71=0,"not in the database",IF(INDEX(LookupData!B:B,$AK71)="","",INDEX(LookupData!B:B,$AK71))))</f>
        <v/>
      </c>
      <c r="C71" t="str">
        <f>IF($AK71="","",IF($AK71=0,"",IF(INDEX(LookupData!C:C,$AK71)="","",INDEX(LookupData!C:C,$AK71))))</f>
        <v/>
      </c>
      <c r="D71" t="str">
        <f>IF($AK71="","",IF($AK71=0,"",IF(INDEX(LookupData!D:D,$AK71)="","",INDEX(LookupData!D:D,$AK71))))</f>
        <v/>
      </c>
      <c r="E71" t="str">
        <f>IF($AK71="","",IF($AK71=0,"",IF(INDEX(LookupData!E:E,$AK71)="","",INDEX(LookupData!E:E,$AK71))))</f>
        <v/>
      </c>
      <c r="F71" t="str">
        <f>IF($AK71="","",IF($AK71=0,"",IF(INDEX(LookupData!F:F,$AK71)="","",INDEX(LookupData!F:F,$AK71))))</f>
        <v/>
      </c>
      <c r="G71" t="str">
        <f>IF($AK71="","",IF($AK71=0,"",IF(INDEX(LookupData!G:G,$AK71)="","",INDEX(LookupData!G:G,$AK71))))</f>
        <v/>
      </c>
      <c r="H71" t="str">
        <f>IF($AK71="","",IF($AK71=0,"",IF(INDEX(LookupData!H:H,$AK71)="","",INDEX(LookupData!H:H,$AK71))))</f>
        <v/>
      </c>
      <c r="I71" s="7" t="str">
        <f>IF($AK71="","",IF($AK71=0,"",IF(INDEX(LookupData!I:I,$AK71)="","",INDEX(LookupData!I:I,$AK71))))</f>
        <v/>
      </c>
      <c r="J71" s="7" t="str">
        <f>IF($AK71="","",IF($AK71=0,"",IF(INDEX(LookupData!J:J,$AK71)="","",INDEX(LookupData!J:J,$AK71))))</f>
        <v/>
      </c>
      <c r="K71" s="7" t="str">
        <f>IF($AK71="","",IF($AK71=0,"",IF(INDEX(LookupData!K:K,$AK71)="","",INDEX(LookupData!K:K,$AK71))))</f>
        <v/>
      </c>
      <c r="L71" s="7" t="str">
        <f>IF($AK71="","",IF($AK71=0,"",IF(INDEX(LookupData!L:L,$AK71)="","",INDEX(LookupData!L:L,$AK71))))</f>
        <v/>
      </c>
      <c r="M71" s="7" t="str">
        <f>IF($AK71="","",IF($AK71=0,"",IF(INDEX(LookupData!M:M,$AK71)="","",INDEX(LookupData!M:M,$AK71))))</f>
        <v/>
      </c>
      <c r="N71" s="7" t="str">
        <f>IF($AK71="","",IF($AK71=0,"",IF(INDEX(LookupData!N:N,$AK71)="","",INDEX(LookupData!N:N,$AK71))))</f>
        <v/>
      </c>
      <c r="O71" s="7" t="str">
        <f>IF($AK71="","",IF($AK71=0,"",IF(INDEX(LookupData!O:O,$AK71)="","",INDEX(LookupData!O:O,$AK71))))</f>
        <v/>
      </c>
      <c r="P71" s="7" t="str">
        <f>IF($AK71="","",IF($AK71=0,"",IF(INDEX(LookupData!P:P,$AK71)="","",INDEX(LookupData!P:P,$AK71))))</f>
        <v/>
      </c>
      <c r="Q71" s="7" t="str">
        <f>IF($AK71="","",IF($AK71=0,"",IF(INDEX(LookupData!Q:Q,$AK71)="","",INDEX(LookupData!Q:Q,$AK71))))</f>
        <v/>
      </c>
      <c r="R71" s="7" t="str">
        <f>IF($AK71="","",IF($AK71=0,"",IF(INDEX(LookupData!R:R,$AK71)="","",INDEX(LookupData!R:R,$AK71))))</f>
        <v/>
      </c>
      <c r="S71" s="7" t="str">
        <f>IF($AK71="","",IF($AK71=0,"",IF(INDEX(LookupData!S:S,$AK71)="","",INDEX(LookupData!S:S,$AK71))))</f>
        <v/>
      </c>
      <c r="T71" s="7" t="str">
        <f>IF($AK71="","",IF($AK71=0,"",IF(INDEX(LookupData!T:T,$AK71)="","",INDEX(LookupData!T:T,$AK71))))</f>
        <v/>
      </c>
      <c r="U71" s="7" t="str">
        <f>IF($AK71="","",IF($AK71=0,"",IF(INDEX(LookupData!U:U,$AK71)="","",INDEX(LookupData!U:U,$AK71))))</f>
        <v/>
      </c>
      <c r="V71" s="7" t="str">
        <f>IF($AK71="","",IF($AK71=0,"",IF(INDEX(LookupData!V:V,$AK71)="","",INDEX(LookupData!V:V,$AK71))))</f>
        <v/>
      </c>
      <c r="W71" t="str">
        <f>IF($AK71="","",IF($AK71=0,"",IF(INDEX(LookupData!W:W,$AK71)="","",INDEX(LookupData!W:W,$AK71))))</f>
        <v/>
      </c>
      <c r="X71" s="7" t="str">
        <f>IF($AK71="","",IF($AK71=0,"",IF(INDEX(LookupData!X:X,$AK71)="","",INDEX(LookupData!X:X,$AK71))))</f>
        <v/>
      </c>
      <c r="Y71" s="7" t="str">
        <f>IF($AK71="","",IF($AK71=0,"",IF(INDEX(LookupData!Y:Y,$AK71)="","",INDEX(LookupData!Y:Y,$AK71))))</f>
        <v/>
      </c>
      <c r="Z71" s="7" t="str">
        <f>IF($AK71="","",IF($AK71=0,"",IF(INDEX(LookupData!Z:Z,$AK71)="","",INDEX(LookupData!Z:Z,$AK71))))</f>
        <v/>
      </c>
      <c r="AA71" s="7" t="str">
        <f>IF($AK71="","",IF($AK71=0,"",IF(INDEX(LookupData!AA:AA,$AK71)="","",INDEX(LookupData!AA:AA,$AK71))))</f>
        <v/>
      </c>
      <c r="AB71" s="7" t="str">
        <f>IF($AK71="","",IF($AK71=0,"",IF(INDEX(LookupData!AB:AB,$AK71)="","",INDEX(LookupData!AB:AB,$AK71))))</f>
        <v/>
      </c>
      <c r="AC71" s="7" t="str">
        <f>IF($AK71="","",IF($AK71=0,"",IF(INDEX(LookupData!AC:AC,$AK71)="","",INDEX(LookupData!AC:AC,$AK71))))</f>
        <v/>
      </c>
      <c r="AD71" s="7" t="str">
        <f>IF($AK71="","",IF($AK71=0,"",IF(INDEX(LookupData!AD:AD,$AK71)="","",INDEX(LookupData!AD:AD,$AK71))))</f>
        <v/>
      </c>
      <c r="AE71" s="7" t="str">
        <f>IF($AK71="","",IF($AK71=0,"",IF(INDEX(LookupData!AE:AE,$AK71)="","",INDEX(LookupData!AE:AE,$AK71))))</f>
        <v/>
      </c>
      <c r="AF71" t="str">
        <f>IF($AK71="","",IF($AK71=0,"",IF(INDEX(LookupData!AF:AF,$AK71)="","",INDEX(LookupData!AF:AF,$AK71))))</f>
        <v/>
      </c>
      <c r="AG71" t="str">
        <f>IF($AK71="","",IF($AK71=0,"",IF(INDEX(LookupData!AG:AG,$AK71)="","",INDEX(LookupData!AG:AG,$AK71))))</f>
        <v/>
      </c>
      <c r="AH71" s="11" t="str">
        <f>IF($AK71="","",IF($AK71=0,"",IF(INDEX(LookupData!AH:AH,$AK71)="","",INDEX(LookupData!AH:AH,$AK71))))</f>
        <v/>
      </c>
      <c r="AI71" s="12" t="str">
        <f>IF($AK71="","",IF($AK71=0,"",IF(INDEX(LookupData!AI:AI,$AK71)="","",HYPERLINK(INDEX(LookupData!AI:AI,$AK71),"Open"))))</f>
        <v/>
      </c>
      <c r="AK71" t="str">
        <f>IF(AL71="","",IFERROR(MATCH(AL71,LookupData!$A:$A,0),0))</f>
        <v/>
      </c>
      <c r="AL71" t="str">
        <f t="shared" si="4"/>
        <v/>
      </c>
      <c r="AM71" t="str">
        <f t="shared" si="5"/>
        <v/>
      </c>
    </row>
    <row r="72" spans="1:39" x14ac:dyDescent="0.2">
      <c r="A72" s="9"/>
      <c r="B72" s="10" t="str">
        <f>IF($AK72="","",IF($AK72=0,"not in the database",IF(INDEX(LookupData!B:B,$AK72)="","",INDEX(LookupData!B:B,$AK72))))</f>
        <v/>
      </c>
      <c r="C72" t="str">
        <f>IF($AK72="","",IF($AK72=0,"",IF(INDEX(LookupData!C:C,$AK72)="","",INDEX(LookupData!C:C,$AK72))))</f>
        <v/>
      </c>
      <c r="D72" t="str">
        <f>IF($AK72="","",IF($AK72=0,"",IF(INDEX(LookupData!D:D,$AK72)="","",INDEX(LookupData!D:D,$AK72))))</f>
        <v/>
      </c>
      <c r="E72" t="str">
        <f>IF($AK72="","",IF($AK72=0,"",IF(INDEX(LookupData!E:E,$AK72)="","",INDEX(LookupData!E:E,$AK72))))</f>
        <v/>
      </c>
      <c r="F72" t="str">
        <f>IF($AK72="","",IF($AK72=0,"",IF(INDEX(LookupData!F:F,$AK72)="","",INDEX(LookupData!F:F,$AK72))))</f>
        <v/>
      </c>
      <c r="G72" t="str">
        <f>IF($AK72="","",IF($AK72=0,"",IF(INDEX(LookupData!G:G,$AK72)="","",INDEX(LookupData!G:G,$AK72))))</f>
        <v/>
      </c>
      <c r="H72" t="str">
        <f>IF($AK72="","",IF($AK72=0,"",IF(INDEX(LookupData!H:H,$AK72)="","",INDEX(LookupData!H:H,$AK72))))</f>
        <v/>
      </c>
      <c r="I72" s="7" t="str">
        <f>IF($AK72="","",IF($AK72=0,"",IF(INDEX(LookupData!I:I,$AK72)="","",INDEX(LookupData!I:I,$AK72))))</f>
        <v/>
      </c>
      <c r="J72" s="7" t="str">
        <f>IF($AK72="","",IF($AK72=0,"",IF(INDEX(LookupData!J:J,$AK72)="","",INDEX(LookupData!J:J,$AK72))))</f>
        <v/>
      </c>
      <c r="K72" s="7" t="str">
        <f>IF($AK72="","",IF($AK72=0,"",IF(INDEX(LookupData!K:K,$AK72)="","",INDEX(LookupData!K:K,$AK72))))</f>
        <v/>
      </c>
      <c r="L72" s="7" t="str">
        <f>IF($AK72="","",IF($AK72=0,"",IF(INDEX(LookupData!L:L,$AK72)="","",INDEX(LookupData!L:L,$AK72))))</f>
        <v/>
      </c>
      <c r="M72" s="7" t="str">
        <f>IF($AK72="","",IF($AK72=0,"",IF(INDEX(LookupData!M:M,$AK72)="","",INDEX(LookupData!M:M,$AK72))))</f>
        <v/>
      </c>
      <c r="N72" s="7" t="str">
        <f>IF($AK72="","",IF($AK72=0,"",IF(INDEX(LookupData!N:N,$AK72)="","",INDEX(LookupData!N:N,$AK72))))</f>
        <v/>
      </c>
      <c r="O72" s="7" t="str">
        <f>IF($AK72="","",IF($AK72=0,"",IF(INDEX(LookupData!O:O,$AK72)="","",INDEX(LookupData!O:O,$AK72))))</f>
        <v/>
      </c>
      <c r="P72" s="7" t="str">
        <f>IF($AK72="","",IF($AK72=0,"",IF(INDEX(LookupData!P:P,$AK72)="","",INDEX(LookupData!P:P,$AK72))))</f>
        <v/>
      </c>
      <c r="Q72" s="7" t="str">
        <f>IF($AK72="","",IF($AK72=0,"",IF(INDEX(LookupData!Q:Q,$AK72)="","",INDEX(LookupData!Q:Q,$AK72))))</f>
        <v/>
      </c>
      <c r="R72" s="7" t="str">
        <f>IF($AK72="","",IF($AK72=0,"",IF(INDEX(LookupData!R:R,$AK72)="","",INDEX(LookupData!R:R,$AK72))))</f>
        <v/>
      </c>
      <c r="S72" s="7" t="str">
        <f>IF($AK72="","",IF($AK72=0,"",IF(INDEX(LookupData!S:S,$AK72)="","",INDEX(LookupData!S:S,$AK72))))</f>
        <v/>
      </c>
      <c r="T72" s="7" t="str">
        <f>IF($AK72="","",IF($AK72=0,"",IF(INDEX(LookupData!T:T,$AK72)="","",INDEX(LookupData!T:T,$AK72))))</f>
        <v/>
      </c>
      <c r="U72" s="7" t="str">
        <f>IF($AK72="","",IF($AK72=0,"",IF(INDEX(LookupData!U:U,$AK72)="","",INDEX(LookupData!U:U,$AK72))))</f>
        <v/>
      </c>
      <c r="V72" s="7" t="str">
        <f>IF($AK72="","",IF($AK72=0,"",IF(INDEX(LookupData!V:V,$AK72)="","",INDEX(LookupData!V:V,$AK72))))</f>
        <v/>
      </c>
      <c r="W72" t="str">
        <f>IF($AK72="","",IF($AK72=0,"",IF(INDEX(LookupData!W:W,$AK72)="","",INDEX(LookupData!W:W,$AK72))))</f>
        <v/>
      </c>
      <c r="X72" s="7" t="str">
        <f>IF($AK72="","",IF($AK72=0,"",IF(INDEX(LookupData!X:X,$AK72)="","",INDEX(LookupData!X:X,$AK72))))</f>
        <v/>
      </c>
      <c r="Y72" s="7" t="str">
        <f>IF($AK72="","",IF($AK72=0,"",IF(INDEX(LookupData!Y:Y,$AK72)="","",INDEX(LookupData!Y:Y,$AK72))))</f>
        <v/>
      </c>
      <c r="Z72" s="7" t="str">
        <f>IF($AK72="","",IF($AK72=0,"",IF(INDEX(LookupData!Z:Z,$AK72)="","",INDEX(LookupData!Z:Z,$AK72))))</f>
        <v/>
      </c>
      <c r="AA72" s="7" t="str">
        <f>IF($AK72="","",IF($AK72=0,"",IF(INDEX(LookupData!AA:AA,$AK72)="","",INDEX(LookupData!AA:AA,$AK72))))</f>
        <v/>
      </c>
      <c r="AB72" s="7" t="str">
        <f>IF($AK72="","",IF($AK72=0,"",IF(INDEX(LookupData!AB:AB,$AK72)="","",INDEX(LookupData!AB:AB,$AK72))))</f>
        <v/>
      </c>
      <c r="AC72" s="7" t="str">
        <f>IF($AK72="","",IF($AK72=0,"",IF(INDEX(LookupData!AC:AC,$AK72)="","",INDEX(LookupData!AC:AC,$AK72))))</f>
        <v/>
      </c>
      <c r="AD72" s="7" t="str">
        <f>IF($AK72="","",IF($AK72=0,"",IF(INDEX(LookupData!AD:AD,$AK72)="","",INDEX(LookupData!AD:AD,$AK72))))</f>
        <v/>
      </c>
      <c r="AE72" s="7" t="str">
        <f>IF($AK72="","",IF($AK72=0,"",IF(INDEX(LookupData!AE:AE,$AK72)="","",INDEX(LookupData!AE:AE,$AK72))))</f>
        <v/>
      </c>
      <c r="AF72" t="str">
        <f>IF($AK72="","",IF($AK72=0,"",IF(INDEX(LookupData!AF:AF,$AK72)="","",INDEX(LookupData!AF:AF,$AK72))))</f>
        <v/>
      </c>
      <c r="AG72" t="str">
        <f>IF($AK72="","",IF($AK72=0,"",IF(INDEX(LookupData!AG:AG,$AK72)="","",INDEX(LookupData!AG:AG,$AK72))))</f>
        <v/>
      </c>
      <c r="AH72" s="11" t="str">
        <f>IF($AK72="","",IF($AK72=0,"",IF(INDEX(LookupData!AH:AH,$AK72)="","",INDEX(LookupData!AH:AH,$AK72))))</f>
        <v/>
      </c>
      <c r="AI72" s="12" t="str">
        <f>IF($AK72="","",IF($AK72=0,"",IF(INDEX(LookupData!AI:AI,$AK72)="","",HYPERLINK(INDEX(LookupData!AI:AI,$AK72),"Open"))))</f>
        <v/>
      </c>
      <c r="AK72" t="str">
        <f>IF(AL72="","",IFERROR(MATCH(AL72,LookupData!$A:$A,0),0))</f>
        <v/>
      </c>
      <c r="AL72" t="str">
        <f t="shared" si="4"/>
        <v/>
      </c>
      <c r="AM72" t="str">
        <f t="shared" si="5"/>
        <v/>
      </c>
    </row>
    <row r="73" spans="1:39" x14ac:dyDescent="0.2">
      <c r="A73" s="9"/>
      <c r="B73" s="10" t="str">
        <f>IF($AK73="","",IF($AK73=0,"not in the database",IF(INDEX(LookupData!B:B,$AK73)="","",INDEX(LookupData!B:B,$AK73))))</f>
        <v/>
      </c>
      <c r="C73" t="str">
        <f>IF($AK73="","",IF($AK73=0,"",IF(INDEX(LookupData!C:C,$AK73)="","",INDEX(LookupData!C:C,$AK73))))</f>
        <v/>
      </c>
      <c r="D73" t="str">
        <f>IF($AK73="","",IF($AK73=0,"",IF(INDEX(LookupData!D:D,$AK73)="","",INDEX(LookupData!D:D,$AK73))))</f>
        <v/>
      </c>
      <c r="E73" t="str">
        <f>IF($AK73="","",IF($AK73=0,"",IF(INDEX(LookupData!E:E,$AK73)="","",INDEX(LookupData!E:E,$AK73))))</f>
        <v/>
      </c>
      <c r="F73" t="str">
        <f>IF($AK73="","",IF($AK73=0,"",IF(INDEX(LookupData!F:F,$AK73)="","",INDEX(LookupData!F:F,$AK73))))</f>
        <v/>
      </c>
      <c r="G73" t="str">
        <f>IF($AK73="","",IF($AK73=0,"",IF(INDEX(LookupData!G:G,$AK73)="","",INDEX(LookupData!G:G,$AK73))))</f>
        <v/>
      </c>
      <c r="H73" t="str">
        <f>IF($AK73="","",IF($AK73=0,"",IF(INDEX(LookupData!H:H,$AK73)="","",INDEX(LookupData!H:H,$AK73))))</f>
        <v/>
      </c>
      <c r="I73" s="7" t="str">
        <f>IF($AK73="","",IF($AK73=0,"",IF(INDEX(LookupData!I:I,$AK73)="","",INDEX(LookupData!I:I,$AK73))))</f>
        <v/>
      </c>
      <c r="J73" s="7" t="str">
        <f>IF($AK73="","",IF($AK73=0,"",IF(INDEX(LookupData!J:J,$AK73)="","",INDEX(LookupData!J:J,$AK73))))</f>
        <v/>
      </c>
      <c r="K73" s="7" t="str">
        <f>IF($AK73="","",IF($AK73=0,"",IF(INDEX(LookupData!K:K,$AK73)="","",INDEX(LookupData!K:K,$AK73))))</f>
        <v/>
      </c>
      <c r="L73" s="7" t="str">
        <f>IF($AK73="","",IF($AK73=0,"",IF(INDEX(LookupData!L:L,$AK73)="","",INDEX(LookupData!L:L,$AK73))))</f>
        <v/>
      </c>
      <c r="M73" s="7" t="str">
        <f>IF($AK73="","",IF($AK73=0,"",IF(INDEX(LookupData!M:M,$AK73)="","",INDEX(LookupData!M:M,$AK73))))</f>
        <v/>
      </c>
      <c r="N73" s="7" t="str">
        <f>IF($AK73="","",IF($AK73=0,"",IF(INDEX(LookupData!N:N,$AK73)="","",INDEX(LookupData!N:N,$AK73))))</f>
        <v/>
      </c>
      <c r="O73" s="7" t="str">
        <f>IF($AK73="","",IF($AK73=0,"",IF(INDEX(LookupData!O:O,$AK73)="","",INDEX(LookupData!O:O,$AK73))))</f>
        <v/>
      </c>
      <c r="P73" s="7" t="str">
        <f>IF($AK73="","",IF($AK73=0,"",IF(INDEX(LookupData!P:P,$AK73)="","",INDEX(LookupData!P:P,$AK73))))</f>
        <v/>
      </c>
      <c r="Q73" s="7" t="str">
        <f>IF($AK73="","",IF($AK73=0,"",IF(INDEX(LookupData!Q:Q,$AK73)="","",INDEX(LookupData!Q:Q,$AK73))))</f>
        <v/>
      </c>
      <c r="R73" s="7" t="str">
        <f>IF($AK73="","",IF($AK73=0,"",IF(INDEX(LookupData!R:R,$AK73)="","",INDEX(LookupData!R:R,$AK73))))</f>
        <v/>
      </c>
      <c r="S73" s="7" t="str">
        <f>IF($AK73="","",IF($AK73=0,"",IF(INDEX(LookupData!S:S,$AK73)="","",INDEX(LookupData!S:S,$AK73))))</f>
        <v/>
      </c>
      <c r="T73" s="7" t="str">
        <f>IF($AK73="","",IF($AK73=0,"",IF(INDEX(LookupData!T:T,$AK73)="","",INDEX(LookupData!T:T,$AK73))))</f>
        <v/>
      </c>
      <c r="U73" s="7" t="str">
        <f>IF($AK73="","",IF($AK73=0,"",IF(INDEX(LookupData!U:U,$AK73)="","",INDEX(LookupData!U:U,$AK73))))</f>
        <v/>
      </c>
      <c r="V73" s="7" t="str">
        <f>IF($AK73="","",IF($AK73=0,"",IF(INDEX(LookupData!V:V,$AK73)="","",INDEX(LookupData!V:V,$AK73))))</f>
        <v/>
      </c>
      <c r="W73" t="str">
        <f>IF($AK73="","",IF($AK73=0,"",IF(INDEX(LookupData!W:W,$AK73)="","",INDEX(LookupData!W:W,$AK73))))</f>
        <v/>
      </c>
      <c r="X73" s="7" t="str">
        <f>IF($AK73="","",IF($AK73=0,"",IF(INDEX(LookupData!X:X,$AK73)="","",INDEX(LookupData!X:X,$AK73))))</f>
        <v/>
      </c>
      <c r="Y73" s="7" t="str">
        <f>IF($AK73="","",IF($AK73=0,"",IF(INDEX(LookupData!Y:Y,$AK73)="","",INDEX(LookupData!Y:Y,$AK73))))</f>
        <v/>
      </c>
      <c r="Z73" s="7" t="str">
        <f>IF($AK73="","",IF($AK73=0,"",IF(INDEX(LookupData!Z:Z,$AK73)="","",INDEX(LookupData!Z:Z,$AK73))))</f>
        <v/>
      </c>
      <c r="AA73" s="7" t="str">
        <f>IF($AK73="","",IF($AK73=0,"",IF(INDEX(LookupData!AA:AA,$AK73)="","",INDEX(LookupData!AA:AA,$AK73))))</f>
        <v/>
      </c>
      <c r="AB73" s="7" t="str">
        <f>IF($AK73="","",IF($AK73=0,"",IF(INDEX(LookupData!AB:AB,$AK73)="","",INDEX(LookupData!AB:AB,$AK73))))</f>
        <v/>
      </c>
      <c r="AC73" s="7" t="str">
        <f>IF($AK73="","",IF($AK73=0,"",IF(INDEX(LookupData!AC:AC,$AK73)="","",INDEX(LookupData!AC:AC,$AK73))))</f>
        <v/>
      </c>
      <c r="AD73" s="7" t="str">
        <f>IF($AK73="","",IF($AK73=0,"",IF(INDEX(LookupData!AD:AD,$AK73)="","",INDEX(LookupData!AD:AD,$AK73))))</f>
        <v/>
      </c>
      <c r="AE73" s="7" t="str">
        <f>IF($AK73="","",IF($AK73=0,"",IF(INDEX(LookupData!AE:AE,$AK73)="","",INDEX(LookupData!AE:AE,$AK73))))</f>
        <v/>
      </c>
      <c r="AF73" t="str">
        <f>IF($AK73="","",IF($AK73=0,"",IF(INDEX(LookupData!AF:AF,$AK73)="","",INDEX(LookupData!AF:AF,$AK73))))</f>
        <v/>
      </c>
      <c r="AG73" t="str">
        <f>IF($AK73="","",IF($AK73=0,"",IF(INDEX(LookupData!AG:AG,$AK73)="","",INDEX(LookupData!AG:AG,$AK73))))</f>
        <v/>
      </c>
      <c r="AH73" s="11" t="str">
        <f>IF($AK73="","",IF($AK73=0,"",IF(INDEX(LookupData!AH:AH,$AK73)="","",INDEX(LookupData!AH:AH,$AK73))))</f>
        <v/>
      </c>
      <c r="AI73" s="12" t="str">
        <f>IF($AK73="","",IF($AK73=0,"",IF(INDEX(LookupData!AI:AI,$AK73)="","",HYPERLINK(INDEX(LookupData!AI:AI,$AK73),"Open"))))</f>
        <v/>
      </c>
      <c r="AK73" t="str">
        <f>IF(AL73="","",IFERROR(MATCH(AL73,LookupData!$A:$A,0),0))</f>
        <v/>
      </c>
      <c r="AL73" t="str">
        <f t="shared" si="4"/>
        <v/>
      </c>
      <c r="AM73" t="str">
        <f t="shared" si="5"/>
        <v/>
      </c>
    </row>
    <row r="74" spans="1:39" x14ac:dyDescent="0.2">
      <c r="A74" s="9"/>
      <c r="B74" s="10" t="str">
        <f>IF($AK74="","",IF($AK74=0,"not in the database",IF(INDEX(LookupData!B:B,$AK74)="","",INDEX(LookupData!B:B,$AK74))))</f>
        <v/>
      </c>
      <c r="C74" t="str">
        <f>IF($AK74="","",IF($AK74=0,"",IF(INDEX(LookupData!C:C,$AK74)="","",INDEX(LookupData!C:C,$AK74))))</f>
        <v/>
      </c>
      <c r="D74" t="str">
        <f>IF($AK74="","",IF($AK74=0,"",IF(INDEX(LookupData!D:D,$AK74)="","",INDEX(LookupData!D:D,$AK74))))</f>
        <v/>
      </c>
      <c r="E74" t="str">
        <f>IF($AK74="","",IF($AK74=0,"",IF(INDEX(LookupData!E:E,$AK74)="","",INDEX(LookupData!E:E,$AK74))))</f>
        <v/>
      </c>
      <c r="F74" t="str">
        <f>IF($AK74="","",IF($AK74=0,"",IF(INDEX(LookupData!F:F,$AK74)="","",INDEX(LookupData!F:F,$AK74))))</f>
        <v/>
      </c>
      <c r="G74" t="str">
        <f>IF($AK74="","",IF($AK74=0,"",IF(INDEX(LookupData!G:G,$AK74)="","",INDEX(LookupData!G:G,$AK74))))</f>
        <v/>
      </c>
      <c r="H74" t="str">
        <f>IF($AK74="","",IF($AK74=0,"",IF(INDEX(LookupData!H:H,$AK74)="","",INDEX(LookupData!H:H,$AK74))))</f>
        <v/>
      </c>
      <c r="I74" s="7" t="str">
        <f>IF($AK74="","",IF($AK74=0,"",IF(INDEX(LookupData!I:I,$AK74)="","",INDEX(LookupData!I:I,$AK74))))</f>
        <v/>
      </c>
      <c r="J74" s="7" t="str">
        <f>IF($AK74="","",IF($AK74=0,"",IF(INDEX(LookupData!J:J,$AK74)="","",INDEX(LookupData!J:J,$AK74))))</f>
        <v/>
      </c>
      <c r="K74" s="7" t="str">
        <f>IF($AK74="","",IF($AK74=0,"",IF(INDEX(LookupData!K:K,$AK74)="","",INDEX(LookupData!K:K,$AK74))))</f>
        <v/>
      </c>
      <c r="L74" s="7" t="str">
        <f>IF($AK74="","",IF($AK74=0,"",IF(INDEX(LookupData!L:L,$AK74)="","",INDEX(LookupData!L:L,$AK74))))</f>
        <v/>
      </c>
      <c r="M74" s="7" t="str">
        <f>IF($AK74="","",IF($AK74=0,"",IF(INDEX(LookupData!M:M,$AK74)="","",INDEX(LookupData!M:M,$AK74))))</f>
        <v/>
      </c>
      <c r="N74" s="7" t="str">
        <f>IF($AK74="","",IF($AK74=0,"",IF(INDEX(LookupData!N:N,$AK74)="","",INDEX(LookupData!N:N,$AK74))))</f>
        <v/>
      </c>
      <c r="O74" s="7" t="str">
        <f>IF($AK74="","",IF($AK74=0,"",IF(INDEX(LookupData!O:O,$AK74)="","",INDEX(LookupData!O:O,$AK74))))</f>
        <v/>
      </c>
      <c r="P74" s="7" t="str">
        <f>IF($AK74="","",IF($AK74=0,"",IF(INDEX(LookupData!P:P,$AK74)="","",INDEX(LookupData!P:P,$AK74))))</f>
        <v/>
      </c>
      <c r="Q74" s="7" t="str">
        <f>IF($AK74="","",IF($AK74=0,"",IF(INDEX(LookupData!Q:Q,$AK74)="","",INDEX(LookupData!Q:Q,$AK74))))</f>
        <v/>
      </c>
      <c r="R74" s="7" t="str">
        <f>IF($AK74="","",IF($AK74=0,"",IF(INDEX(LookupData!R:R,$AK74)="","",INDEX(LookupData!R:R,$AK74))))</f>
        <v/>
      </c>
      <c r="S74" s="7" t="str">
        <f>IF($AK74="","",IF($AK74=0,"",IF(INDEX(LookupData!S:S,$AK74)="","",INDEX(LookupData!S:S,$AK74))))</f>
        <v/>
      </c>
      <c r="T74" s="7" t="str">
        <f>IF($AK74="","",IF($AK74=0,"",IF(INDEX(LookupData!T:T,$AK74)="","",INDEX(LookupData!T:T,$AK74))))</f>
        <v/>
      </c>
      <c r="U74" s="7" t="str">
        <f>IF($AK74="","",IF($AK74=0,"",IF(INDEX(LookupData!U:U,$AK74)="","",INDEX(LookupData!U:U,$AK74))))</f>
        <v/>
      </c>
      <c r="V74" s="7" t="str">
        <f>IF($AK74="","",IF($AK74=0,"",IF(INDEX(LookupData!V:V,$AK74)="","",INDEX(LookupData!V:V,$AK74))))</f>
        <v/>
      </c>
      <c r="W74" t="str">
        <f>IF($AK74="","",IF($AK74=0,"",IF(INDEX(LookupData!W:W,$AK74)="","",INDEX(LookupData!W:W,$AK74))))</f>
        <v/>
      </c>
      <c r="X74" s="7" t="str">
        <f>IF($AK74="","",IF($AK74=0,"",IF(INDEX(LookupData!X:X,$AK74)="","",INDEX(LookupData!X:X,$AK74))))</f>
        <v/>
      </c>
      <c r="Y74" s="7" t="str">
        <f>IF($AK74="","",IF($AK74=0,"",IF(INDEX(LookupData!Y:Y,$AK74)="","",INDEX(LookupData!Y:Y,$AK74))))</f>
        <v/>
      </c>
      <c r="Z74" s="7" t="str">
        <f>IF($AK74="","",IF($AK74=0,"",IF(INDEX(LookupData!Z:Z,$AK74)="","",INDEX(LookupData!Z:Z,$AK74))))</f>
        <v/>
      </c>
      <c r="AA74" s="7" t="str">
        <f>IF($AK74="","",IF($AK74=0,"",IF(INDEX(LookupData!AA:AA,$AK74)="","",INDEX(LookupData!AA:AA,$AK74))))</f>
        <v/>
      </c>
      <c r="AB74" s="7" t="str">
        <f>IF($AK74="","",IF($AK74=0,"",IF(INDEX(LookupData!AB:AB,$AK74)="","",INDEX(LookupData!AB:AB,$AK74))))</f>
        <v/>
      </c>
      <c r="AC74" s="7" t="str">
        <f>IF($AK74="","",IF($AK74=0,"",IF(INDEX(LookupData!AC:AC,$AK74)="","",INDEX(LookupData!AC:AC,$AK74))))</f>
        <v/>
      </c>
      <c r="AD74" s="7" t="str">
        <f>IF($AK74="","",IF($AK74=0,"",IF(INDEX(LookupData!AD:AD,$AK74)="","",INDEX(LookupData!AD:AD,$AK74))))</f>
        <v/>
      </c>
      <c r="AE74" s="7" t="str">
        <f>IF($AK74="","",IF($AK74=0,"",IF(INDEX(LookupData!AE:AE,$AK74)="","",INDEX(LookupData!AE:AE,$AK74))))</f>
        <v/>
      </c>
      <c r="AF74" t="str">
        <f>IF($AK74="","",IF($AK74=0,"",IF(INDEX(LookupData!AF:AF,$AK74)="","",INDEX(LookupData!AF:AF,$AK74))))</f>
        <v/>
      </c>
      <c r="AG74" t="str">
        <f>IF($AK74="","",IF($AK74=0,"",IF(INDEX(LookupData!AG:AG,$AK74)="","",INDEX(LookupData!AG:AG,$AK74))))</f>
        <v/>
      </c>
      <c r="AH74" s="11" t="str">
        <f>IF($AK74="","",IF($AK74=0,"",IF(INDEX(LookupData!AH:AH,$AK74)="","",INDEX(LookupData!AH:AH,$AK74))))</f>
        <v/>
      </c>
      <c r="AI74" s="12" t="str">
        <f>IF($AK74="","",IF($AK74=0,"",IF(INDEX(LookupData!AI:AI,$AK74)="","",HYPERLINK(INDEX(LookupData!AI:AI,$AK74),"Open"))))</f>
        <v/>
      </c>
      <c r="AK74" t="str">
        <f>IF(AL74="","",IFERROR(MATCH(AL74,LookupData!$A:$A,0),0))</f>
        <v/>
      </c>
      <c r="AL74" t="str">
        <f t="shared" si="4"/>
        <v/>
      </c>
      <c r="AM74" t="str">
        <f t="shared" si="5"/>
        <v/>
      </c>
    </row>
    <row r="75" spans="1:39" x14ac:dyDescent="0.2">
      <c r="A75" s="9"/>
      <c r="B75" s="10" t="str">
        <f>IF($AK75="","",IF($AK75=0,"not in the database",IF(INDEX(LookupData!B:B,$AK75)="","",INDEX(LookupData!B:B,$AK75))))</f>
        <v/>
      </c>
      <c r="C75" t="str">
        <f>IF($AK75="","",IF($AK75=0,"",IF(INDEX(LookupData!C:C,$AK75)="","",INDEX(LookupData!C:C,$AK75))))</f>
        <v/>
      </c>
      <c r="D75" t="str">
        <f>IF($AK75="","",IF($AK75=0,"",IF(INDEX(LookupData!D:D,$AK75)="","",INDEX(LookupData!D:D,$AK75))))</f>
        <v/>
      </c>
      <c r="E75" t="str">
        <f>IF($AK75="","",IF($AK75=0,"",IF(INDEX(LookupData!E:E,$AK75)="","",INDEX(LookupData!E:E,$AK75))))</f>
        <v/>
      </c>
      <c r="F75" t="str">
        <f>IF($AK75="","",IF($AK75=0,"",IF(INDEX(LookupData!F:F,$AK75)="","",INDEX(LookupData!F:F,$AK75))))</f>
        <v/>
      </c>
      <c r="G75" t="str">
        <f>IF($AK75="","",IF($AK75=0,"",IF(INDEX(LookupData!G:G,$AK75)="","",INDEX(LookupData!G:G,$AK75))))</f>
        <v/>
      </c>
      <c r="H75" t="str">
        <f>IF($AK75="","",IF($AK75=0,"",IF(INDEX(LookupData!H:H,$AK75)="","",INDEX(LookupData!H:H,$AK75))))</f>
        <v/>
      </c>
      <c r="I75" s="7" t="str">
        <f>IF($AK75="","",IF($AK75=0,"",IF(INDEX(LookupData!I:I,$AK75)="","",INDEX(LookupData!I:I,$AK75))))</f>
        <v/>
      </c>
      <c r="J75" s="7" t="str">
        <f>IF($AK75="","",IF($AK75=0,"",IF(INDEX(LookupData!J:J,$AK75)="","",INDEX(LookupData!J:J,$AK75))))</f>
        <v/>
      </c>
      <c r="K75" s="7" t="str">
        <f>IF($AK75="","",IF($AK75=0,"",IF(INDEX(LookupData!K:K,$AK75)="","",INDEX(LookupData!K:K,$AK75))))</f>
        <v/>
      </c>
      <c r="L75" s="7" t="str">
        <f>IF($AK75="","",IF($AK75=0,"",IF(INDEX(LookupData!L:L,$AK75)="","",INDEX(LookupData!L:L,$AK75))))</f>
        <v/>
      </c>
      <c r="M75" s="7" t="str">
        <f>IF($AK75="","",IF($AK75=0,"",IF(INDEX(LookupData!M:M,$AK75)="","",INDEX(LookupData!M:M,$AK75))))</f>
        <v/>
      </c>
      <c r="N75" s="7" t="str">
        <f>IF($AK75="","",IF($AK75=0,"",IF(INDEX(LookupData!N:N,$AK75)="","",INDEX(LookupData!N:N,$AK75))))</f>
        <v/>
      </c>
      <c r="O75" s="7" t="str">
        <f>IF($AK75="","",IF($AK75=0,"",IF(INDEX(LookupData!O:O,$AK75)="","",INDEX(LookupData!O:O,$AK75))))</f>
        <v/>
      </c>
      <c r="P75" s="7" t="str">
        <f>IF($AK75="","",IF($AK75=0,"",IF(INDEX(LookupData!P:P,$AK75)="","",INDEX(LookupData!P:P,$AK75))))</f>
        <v/>
      </c>
      <c r="Q75" s="7" t="str">
        <f>IF($AK75="","",IF($AK75=0,"",IF(INDEX(LookupData!Q:Q,$AK75)="","",INDEX(LookupData!Q:Q,$AK75))))</f>
        <v/>
      </c>
      <c r="R75" s="7" t="str">
        <f>IF($AK75="","",IF($AK75=0,"",IF(INDEX(LookupData!R:R,$AK75)="","",INDEX(LookupData!R:R,$AK75))))</f>
        <v/>
      </c>
      <c r="S75" s="7" t="str">
        <f>IF($AK75="","",IF($AK75=0,"",IF(INDEX(LookupData!S:S,$AK75)="","",INDEX(LookupData!S:S,$AK75))))</f>
        <v/>
      </c>
      <c r="T75" s="7" t="str">
        <f>IF($AK75="","",IF($AK75=0,"",IF(INDEX(LookupData!T:T,$AK75)="","",INDEX(LookupData!T:T,$AK75))))</f>
        <v/>
      </c>
      <c r="U75" s="7" t="str">
        <f>IF($AK75="","",IF($AK75=0,"",IF(INDEX(LookupData!U:U,$AK75)="","",INDEX(LookupData!U:U,$AK75))))</f>
        <v/>
      </c>
      <c r="V75" s="7" t="str">
        <f>IF($AK75="","",IF($AK75=0,"",IF(INDEX(LookupData!V:V,$AK75)="","",INDEX(LookupData!V:V,$AK75))))</f>
        <v/>
      </c>
      <c r="W75" t="str">
        <f>IF($AK75="","",IF($AK75=0,"",IF(INDEX(LookupData!W:W,$AK75)="","",INDEX(LookupData!W:W,$AK75))))</f>
        <v/>
      </c>
      <c r="X75" s="7" t="str">
        <f>IF($AK75="","",IF($AK75=0,"",IF(INDEX(LookupData!X:X,$AK75)="","",INDEX(LookupData!X:X,$AK75))))</f>
        <v/>
      </c>
      <c r="Y75" s="7" t="str">
        <f>IF($AK75="","",IF($AK75=0,"",IF(INDEX(LookupData!Y:Y,$AK75)="","",INDEX(LookupData!Y:Y,$AK75))))</f>
        <v/>
      </c>
      <c r="Z75" s="7" t="str">
        <f>IF($AK75="","",IF($AK75=0,"",IF(INDEX(LookupData!Z:Z,$AK75)="","",INDEX(LookupData!Z:Z,$AK75))))</f>
        <v/>
      </c>
      <c r="AA75" s="7" t="str">
        <f>IF($AK75="","",IF($AK75=0,"",IF(INDEX(LookupData!AA:AA,$AK75)="","",INDEX(LookupData!AA:AA,$AK75))))</f>
        <v/>
      </c>
      <c r="AB75" s="7" t="str">
        <f>IF($AK75="","",IF($AK75=0,"",IF(INDEX(LookupData!AB:AB,$AK75)="","",INDEX(LookupData!AB:AB,$AK75))))</f>
        <v/>
      </c>
      <c r="AC75" s="7" t="str">
        <f>IF($AK75="","",IF($AK75=0,"",IF(INDEX(LookupData!AC:AC,$AK75)="","",INDEX(LookupData!AC:AC,$AK75))))</f>
        <v/>
      </c>
      <c r="AD75" s="7" t="str">
        <f>IF($AK75="","",IF($AK75=0,"",IF(INDEX(LookupData!AD:AD,$AK75)="","",INDEX(LookupData!AD:AD,$AK75))))</f>
        <v/>
      </c>
      <c r="AE75" s="7" t="str">
        <f>IF($AK75="","",IF($AK75=0,"",IF(INDEX(LookupData!AE:AE,$AK75)="","",INDEX(LookupData!AE:AE,$AK75))))</f>
        <v/>
      </c>
      <c r="AF75" t="str">
        <f>IF($AK75="","",IF($AK75=0,"",IF(INDEX(LookupData!AF:AF,$AK75)="","",INDEX(LookupData!AF:AF,$AK75))))</f>
        <v/>
      </c>
      <c r="AG75" t="str">
        <f>IF($AK75="","",IF($AK75=0,"",IF(INDEX(LookupData!AG:AG,$AK75)="","",INDEX(LookupData!AG:AG,$AK75))))</f>
        <v/>
      </c>
      <c r="AH75" s="11" t="str">
        <f>IF($AK75="","",IF($AK75=0,"",IF(INDEX(LookupData!AH:AH,$AK75)="","",INDEX(LookupData!AH:AH,$AK75))))</f>
        <v/>
      </c>
      <c r="AI75" s="12" t="str">
        <f>IF($AK75="","",IF($AK75=0,"",IF(INDEX(LookupData!AI:AI,$AK75)="","",HYPERLINK(INDEX(LookupData!AI:AI,$AK75),"Open"))))</f>
        <v/>
      </c>
      <c r="AK75" t="str">
        <f>IF(AL75="","",IFERROR(MATCH(AL75,LookupData!$A:$A,0),0))</f>
        <v/>
      </c>
      <c r="AL75" t="str">
        <f t="shared" si="4"/>
        <v/>
      </c>
      <c r="AM75" t="str">
        <f t="shared" si="5"/>
        <v/>
      </c>
    </row>
    <row r="76" spans="1:39" x14ac:dyDescent="0.2">
      <c r="A76" s="9"/>
      <c r="B76" s="10" t="str">
        <f>IF($AK76="","",IF($AK76=0,"not in the database",IF(INDEX(LookupData!B:B,$AK76)="","",INDEX(LookupData!B:B,$AK76))))</f>
        <v/>
      </c>
      <c r="C76" t="str">
        <f>IF($AK76="","",IF($AK76=0,"",IF(INDEX(LookupData!C:C,$AK76)="","",INDEX(LookupData!C:C,$AK76))))</f>
        <v/>
      </c>
      <c r="D76" t="str">
        <f>IF($AK76="","",IF($AK76=0,"",IF(INDEX(LookupData!D:D,$AK76)="","",INDEX(LookupData!D:D,$AK76))))</f>
        <v/>
      </c>
      <c r="E76" t="str">
        <f>IF($AK76="","",IF($AK76=0,"",IF(INDEX(LookupData!E:E,$AK76)="","",INDEX(LookupData!E:E,$AK76))))</f>
        <v/>
      </c>
      <c r="F76" t="str">
        <f>IF($AK76="","",IF($AK76=0,"",IF(INDEX(LookupData!F:F,$AK76)="","",INDEX(LookupData!F:F,$AK76))))</f>
        <v/>
      </c>
      <c r="G76" t="str">
        <f>IF($AK76="","",IF($AK76=0,"",IF(INDEX(LookupData!G:G,$AK76)="","",INDEX(LookupData!G:G,$AK76))))</f>
        <v/>
      </c>
      <c r="H76" t="str">
        <f>IF($AK76="","",IF($AK76=0,"",IF(INDEX(LookupData!H:H,$AK76)="","",INDEX(LookupData!H:H,$AK76))))</f>
        <v/>
      </c>
      <c r="I76" s="7" t="str">
        <f>IF($AK76="","",IF($AK76=0,"",IF(INDEX(LookupData!I:I,$AK76)="","",INDEX(LookupData!I:I,$AK76))))</f>
        <v/>
      </c>
      <c r="J76" s="7" t="str">
        <f>IF($AK76="","",IF($AK76=0,"",IF(INDEX(LookupData!J:J,$AK76)="","",INDEX(LookupData!J:J,$AK76))))</f>
        <v/>
      </c>
      <c r="K76" s="7" t="str">
        <f>IF($AK76="","",IF($AK76=0,"",IF(INDEX(LookupData!K:K,$AK76)="","",INDEX(LookupData!K:K,$AK76))))</f>
        <v/>
      </c>
      <c r="L76" s="7" t="str">
        <f>IF($AK76="","",IF($AK76=0,"",IF(INDEX(LookupData!L:L,$AK76)="","",INDEX(LookupData!L:L,$AK76))))</f>
        <v/>
      </c>
      <c r="M76" s="7" t="str">
        <f>IF($AK76="","",IF($AK76=0,"",IF(INDEX(LookupData!M:M,$AK76)="","",INDEX(LookupData!M:M,$AK76))))</f>
        <v/>
      </c>
      <c r="N76" s="7" t="str">
        <f>IF($AK76="","",IF($AK76=0,"",IF(INDEX(LookupData!N:N,$AK76)="","",INDEX(LookupData!N:N,$AK76))))</f>
        <v/>
      </c>
      <c r="O76" s="7" t="str">
        <f>IF($AK76="","",IF($AK76=0,"",IF(INDEX(LookupData!O:O,$AK76)="","",INDEX(LookupData!O:O,$AK76))))</f>
        <v/>
      </c>
      <c r="P76" s="7" t="str">
        <f>IF($AK76="","",IF($AK76=0,"",IF(INDEX(LookupData!P:P,$AK76)="","",INDEX(LookupData!P:P,$AK76))))</f>
        <v/>
      </c>
      <c r="Q76" s="7" t="str">
        <f>IF($AK76="","",IF($AK76=0,"",IF(INDEX(LookupData!Q:Q,$AK76)="","",INDEX(LookupData!Q:Q,$AK76))))</f>
        <v/>
      </c>
      <c r="R76" s="7" t="str">
        <f>IF($AK76="","",IF($AK76=0,"",IF(INDEX(LookupData!R:R,$AK76)="","",INDEX(LookupData!R:R,$AK76))))</f>
        <v/>
      </c>
      <c r="S76" s="7" t="str">
        <f>IF($AK76="","",IF($AK76=0,"",IF(INDEX(LookupData!S:S,$AK76)="","",INDEX(LookupData!S:S,$AK76))))</f>
        <v/>
      </c>
      <c r="T76" s="7" t="str">
        <f>IF($AK76="","",IF($AK76=0,"",IF(INDEX(LookupData!T:T,$AK76)="","",INDEX(LookupData!T:T,$AK76))))</f>
        <v/>
      </c>
      <c r="U76" s="7" t="str">
        <f>IF($AK76="","",IF($AK76=0,"",IF(INDEX(LookupData!U:U,$AK76)="","",INDEX(LookupData!U:U,$AK76))))</f>
        <v/>
      </c>
      <c r="V76" s="7" t="str">
        <f>IF($AK76="","",IF($AK76=0,"",IF(INDEX(LookupData!V:V,$AK76)="","",INDEX(LookupData!V:V,$AK76))))</f>
        <v/>
      </c>
      <c r="W76" t="str">
        <f>IF($AK76="","",IF($AK76=0,"",IF(INDEX(LookupData!W:W,$AK76)="","",INDEX(LookupData!W:W,$AK76))))</f>
        <v/>
      </c>
      <c r="X76" s="7" t="str">
        <f>IF($AK76="","",IF($AK76=0,"",IF(INDEX(LookupData!X:X,$AK76)="","",INDEX(LookupData!X:X,$AK76))))</f>
        <v/>
      </c>
      <c r="Y76" s="7" t="str">
        <f>IF($AK76="","",IF($AK76=0,"",IF(INDEX(LookupData!Y:Y,$AK76)="","",INDEX(LookupData!Y:Y,$AK76))))</f>
        <v/>
      </c>
      <c r="Z76" s="7" t="str">
        <f>IF($AK76="","",IF($AK76=0,"",IF(INDEX(LookupData!Z:Z,$AK76)="","",INDEX(LookupData!Z:Z,$AK76))))</f>
        <v/>
      </c>
      <c r="AA76" s="7" t="str">
        <f>IF($AK76="","",IF($AK76=0,"",IF(INDEX(LookupData!AA:AA,$AK76)="","",INDEX(LookupData!AA:AA,$AK76))))</f>
        <v/>
      </c>
      <c r="AB76" s="7" t="str">
        <f>IF($AK76="","",IF($AK76=0,"",IF(INDEX(LookupData!AB:AB,$AK76)="","",INDEX(LookupData!AB:AB,$AK76))))</f>
        <v/>
      </c>
      <c r="AC76" s="7" t="str">
        <f>IF($AK76="","",IF($AK76=0,"",IF(INDEX(LookupData!AC:AC,$AK76)="","",INDEX(LookupData!AC:AC,$AK76))))</f>
        <v/>
      </c>
      <c r="AD76" s="7" t="str">
        <f>IF($AK76="","",IF($AK76=0,"",IF(INDEX(LookupData!AD:AD,$AK76)="","",INDEX(LookupData!AD:AD,$AK76))))</f>
        <v/>
      </c>
      <c r="AE76" s="7" t="str">
        <f>IF($AK76="","",IF($AK76=0,"",IF(INDEX(LookupData!AE:AE,$AK76)="","",INDEX(LookupData!AE:AE,$AK76))))</f>
        <v/>
      </c>
      <c r="AF76" t="str">
        <f>IF($AK76="","",IF($AK76=0,"",IF(INDEX(LookupData!AF:AF,$AK76)="","",INDEX(LookupData!AF:AF,$AK76))))</f>
        <v/>
      </c>
      <c r="AG76" t="str">
        <f>IF($AK76="","",IF($AK76=0,"",IF(INDEX(LookupData!AG:AG,$AK76)="","",INDEX(LookupData!AG:AG,$AK76))))</f>
        <v/>
      </c>
      <c r="AH76" s="11" t="str">
        <f>IF($AK76="","",IF($AK76=0,"",IF(INDEX(LookupData!AH:AH,$AK76)="","",INDEX(LookupData!AH:AH,$AK76))))</f>
        <v/>
      </c>
      <c r="AI76" s="12" t="str">
        <f>IF($AK76="","",IF($AK76=0,"",IF(INDEX(LookupData!AI:AI,$AK76)="","",HYPERLINK(INDEX(LookupData!AI:AI,$AK76),"Open"))))</f>
        <v/>
      </c>
      <c r="AK76" t="str">
        <f>IF(AL76="","",IFERROR(MATCH(AL76,LookupData!$A:$A,0),0))</f>
        <v/>
      </c>
      <c r="AL76" t="str">
        <f t="shared" si="4"/>
        <v/>
      </c>
      <c r="AM76" t="str">
        <f t="shared" si="5"/>
        <v/>
      </c>
    </row>
    <row r="77" spans="1:39" x14ac:dyDescent="0.2">
      <c r="A77" s="9"/>
      <c r="B77" s="10" t="str">
        <f>IF($AK77="","",IF($AK77=0,"not in the database",IF(INDEX(LookupData!B:B,$AK77)="","",INDEX(LookupData!B:B,$AK77))))</f>
        <v/>
      </c>
      <c r="C77" t="str">
        <f>IF($AK77="","",IF($AK77=0,"",IF(INDEX(LookupData!C:C,$AK77)="","",INDEX(LookupData!C:C,$AK77))))</f>
        <v/>
      </c>
      <c r="D77" t="str">
        <f>IF($AK77="","",IF($AK77=0,"",IF(INDEX(LookupData!D:D,$AK77)="","",INDEX(LookupData!D:D,$AK77))))</f>
        <v/>
      </c>
      <c r="E77" t="str">
        <f>IF($AK77="","",IF($AK77=0,"",IF(INDEX(LookupData!E:E,$AK77)="","",INDEX(LookupData!E:E,$AK77))))</f>
        <v/>
      </c>
      <c r="F77" t="str">
        <f>IF($AK77="","",IF($AK77=0,"",IF(INDEX(LookupData!F:F,$AK77)="","",INDEX(LookupData!F:F,$AK77))))</f>
        <v/>
      </c>
      <c r="G77" t="str">
        <f>IF($AK77="","",IF($AK77=0,"",IF(INDEX(LookupData!G:G,$AK77)="","",INDEX(LookupData!G:G,$AK77))))</f>
        <v/>
      </c>
      <c r="H77" t="str">
        <f>IF($AK77="","",IF($AK77=0,"",IF(INDEX(LookupData!H:H,$AK77)="","",INDEX(LookupData!H:H,$AK77))))</f>
        <v/>
      </c>
      <c r="I77" s="7" t="str">
        <f>IF($AK77="","",IF($AK77=0,"",IF(INDEX(LookupData!I:I,$AK77)="","",INDEX(LookupData!I:I,$AK77))))</f>
        <v/>
      </c>
      <c r="J77" s="7" t="str">
        <f>IF($AK77="","",IF($AK77=0,"",IF(INDEX(LookupData!J:J,$AK77)="","",INDEX(LookupData!J:J,$AK77))))</f>
        <v/>
      </c>
      <c r="K77" s="7" t="str">
        <f>IF($AK77="","",IF($AK77=0,"",IF(INDEX(LookupData!K:K,$AK77)="","",INDEX(LookupData!K:K,$AK77))))</f>
        <v/>
      </c>
      <c r="L77" s="7" t="str">
        <f>IF($AK77="","",IF($AK77=0,"",IF(INDEX(LookupData!L:L,$AK77)="","",INDEX(LookupData!L:L,$AK77))))</f>
        <v/>
      </c>
      <c r="M77" s="7" t="str">
        <f>IF($AK77="","",IF($AK77=0,"",IF(INDEX(LookupData!M:M,$AK77)="","",INDEX(LookupData!M:M,$AK77))))</f>
        <v/>
      </c>
      <c r="N77" s="7" t="str">
        <f>IF($AK77="","",IF($AK77=0,"",IF(INDEX(LookupData!N:N,$AK77)="","",INDEX(LookupData!N:N,$AK77))))</f>
        <v/>
      </c>
      <c r="O77" s="7" t="str">
        <f>IF($AK77="","",IF($AK77=0,"",IF(INDEX(LookupData!O:O,$AK77)="","",INDEX(LookupData!O:O,$AK77))))</f>
        <v/>
      </c>
      <c r="P77" s="7" t="str">
        <f>IF($AK77="","",IF($AK77=0,"",IF(INDEX(LookupData!P:P,$AK77)="","",INDEX(LookupData!P:P,$AK77))))</f>
        <v/>
      </c>
      <c r="Q77" s="7" t="str">
        <f>IF($AK77="","",IF($AK77=0,"",IF(INDEX(LookupData!Q:Q,$AK77)="","",INDEX(LookupData!Q:Q,$AK77))))</f>
        <v/>
      </c>
      <c r="R77" s="7" t="str">
        <f>IF($AK77="","",IF($AK77=0,"",IF(INDEX(LookupData!R:R,$AK77)="","",INDEX(LookupData!R:R,$AK77))))</f>
        <v/>
      </c>
      <c r="S77" s="7" t="str">
        <f>IF($AK77="","",IF($AK77=0,"",IF(INDEX(LookupData!S:S,$AK77)="","",INDEX(LookupData!S:S,$AK77))))</f>
        <v/>
      </c>
      <c r="T77" s="7" t="str">
        <f>IF($AK77="","",IF($AK77=0,"",IF(INDEX(LookupData!T:T,$AK77)="","",INDEX(LookupData!T:T,$AK77))))</f>
        <v/>
      </c>
      <c r="U77" s="7" t="str">
        <f>IF($AK77="","",IF($AK77=0,"",IF(INDEX(LookupData!U:U,$AK77)="","",INDEX(LookupData!U:U,$AK77))))</f>
        <v/>
      </c>
      <c r="V77" s="7" t="str">
        <f>IF($AK77="","",IF($AK77=0,"",IF(INDEX(LookupData!V:V,$AK77)="","",INDEX(LookupData!V:V,$AK77))))</f>
        <v/>
      </c>
      <c r="W77" t="str">
        <f>IF($AK77="","",IF($AK77=0,"",IF(INDEX(LookupData!W:W,$AK77)="","",INDEX(LookupData!W:W,$AK77))))</f>
        <v/>
      </c>
      <c r="X77" s="7" t="str">
        <f>IF($AK77="","",IF($AK77=0,"",IF(INDEX(LookupData!X:X,$AK77)="","",INDEX(LookupData!X:X,$AK77))))</f>
        <v/>
      </c>
      <c r="Y77" s="7" t="str">
        <f>IF($AK77="","",IF($AK77=0,"",IF(INDEX(LookupData!Y:Y,$AK77)="","",INDEX(LookupData!Y:Y,$AK77))))</f>
        <v/>
      </c>
      <c r="Z77" s="7" t="str">
        <f>IF($AK77="","",IF($AK77=0,"",IF(INDEX(LookupData!Z:Z,$AK77)="","",INDEX(LookupData!Z:Z,$AK77))))</f>
        <v/>
      </c>
      <c r="AA77" s="7" t="str">
        <f>IF($AK77="","",IF($AK77=0,"",IF(INDEX(LookupData!AA:AA,$AK77)="","",INDEX(LookupData!AA:AA,$AK77))))</f>
        <v/>
      </c>
      <c r="AB77" s="7" t="str">
        <f>IF($AK77="","",IF($AK77=0,"",IF(INDEX(LookupData!AB:AB,$AK77)="","",INDEX(LookupData!AB:AB,$AK77))))</f>
        <v/>
      </c>
      <c r="AC77" s="7" t="str">
        <f>IF($AK77="","",IF($AK77=0,"",IF(INDEX(LookupData!AC:AC,$AK77)="","",INDEX(LookupData!AC:AC,$AK77))))</f>
        <v/>
      </c>
      <c r="AD77" s="7" t="str">
        <f>IF($AK77="","",IF($AK77=0,"",IF(INDEX(LookupData!AD:AD,$AK77)="","",INDEX(LookupData!AD:AD,$AK77))))</f>
        <v/>
      </c>
      <c r="AE77" s="7" t="str">
        <f>IF($AK77="","",IF($AK77=0,"",IF(INDEX(LookupData!AE:AE,$AK77)="","",INDEX(LookupData!AE:AE,$AK77))))</f>
        <v/>
      </c>
      <c r="AF77" t="str">
        <f>IF($AK77="","",IF($AK77=0,"",IF(INDEX(LookupData!AF:AF,$AK77)="","",INDEX(LookupData!AF:AF,$AK77))))</f>
        <v/>
      </c>
      <c r="AG77" t="str">
        <f>IF($AK77="","",IF($AK77=0,"",IF(INDEX(LookupData!AG:AG,$AK77)="","",INDEX(LookupData!AG:AG,$AK77))))</f>
        <v/>
      </c>
      <c r="AH77" s="11" t="str">
        <f>IF($AK77="","",IF($AK77=0,"",IF(INDEX(LookupData!AH:AH,$AK77)="","",INDEX(LookupData!AH:AH,$AK77))))</f>
        <v/>
      </c>
      <c r="AI77" s="12" t="str">
        <f>IF($AK77="","",IF($AK77=0,"",IF(INDEX(LookupData!AI:AI,$AK77)="","",HYPERLINK(INDEX(LookupData!AI:AI,$AK77),"Open"))))</f>
        <v/>
      </c>
      <c r="AK77" t="str">
        <f>IF(AL77="","",IFERROR(MATCH(AL77,LookupData!$A:$A,0),0))</f>
        <v/>
      </c>
      <c r="AL77" t="str">
        <f t="shared" si="4"/>
        <v/>
      </c>
      <c r="AM77" t="str">
        <f t="shared" si="5"/>
        <v/>
      </c>
    </row>
    <row r="78" spans="1:39" x14ac:dyDescent="0.2">
      <c r="A78" s="9"/>
      <c r="B78" s="10" t="str">
        <f>IF($AK78="","",IF($AK78=0,"not in the database",IF(INDEX(LookupData!B:B,$AK78)="","",INDEX(LookupData!B:B,$AK78))))</f>
        <v/>
      </c>
      <c r="C78" t="str">
        <f>IF($AK78="","",IF($AK78=0,"",IF(INDEX(LookupData!C:C,$AK78)="","",INDEX(LookupData!C:C,$AK78))))</f>
        <v/>
      </c>
      <c r="D78" t="str">
        <f>IF($AK78="","",IF($AK78=0,"",IF(INDEX(LookupData!D:D,$AK78)="","",INDEX(LookupData!D:D,$AK78))))</f>
        <v/>
      </c>
      <c r="E78" t="str">
        <f>IF($AK78="","",IF($AK78=0,"",IF(INDEX(LookupData!E:E,$AK78)="","",INDEX(LookupData!E:E,$AK78))))</f>
        <v/>
      </c>
      <c r="F78" t="str">
        <f>IF($AK78="","",IF($AK78=0,"",IF(INDEX(LookupData!F:F,$AK78)="","",INDEX(LookupData!F:F,$AK78))))</f>
        <v/>
      </c>
      <c r="G78" t="str">
        <f>IF($AK78="","",IF($AK78=0,"",IF(INDEX(LookupData!G:G,$AK78)="","",INDEX(LookupData!G:G,$AK78))))</f>
        <v/>
      </c>
      <c r="H78" t="str">
        <f>IF($AK78="","",IF($AK78=0,"",IF(INDEX(LookupData!H:H,$AK78)="","",INDEX(LookupData!H:H,$AK78))))</f>
        <v/>
      </c>
      <c r="I78" s="7" t="str">
        <f>IF($AK78="","",IF($AK78=0,"",IF(INDEX(LookupData!I:I,$AK78)="","",INDEX(LookupData!I:I,$AK78))))</f>
        <v/>
      </c>
      <c r="J78" s="7" t="str">
        <f>IF($AK78="","",IF($AK78=0,"",IF(INDEX(LookupData!J:J,$AK78)="","",INDEX(LookupData!J:J,$AK78))))</f>
        <v/>
      </c>
      <c r="K78" s="7" t="str">
        <f>IF($AK78="","",IF($AK78=0,"",IF(INDEX(LookupData!K:K,$AK78)="","",INDEX(LookupData!K:K,$AK78))))</f>
        <v/>
      </c>
      <c r="L78" s="7" t="str">
        <f>IF($AK78="","",IF($AK78=0,"",IF(INDEX(LookupData!L:L,$AK78)="","",INDEX(LookupData!L:L,$AK78))))</f>
        <v/>
      </c>
      <c r="M78" s="7" t="str">
        <f>IF($AK78="","",IF($AK78=0,"",IF(INDEX(LookupData!M:M,$AK78)="","",INDEX(LookupData!M:M,$AK78))))</f>
        <v/>
      </c>
      <c r="N78" s="7" t="str">
        <f>IF($AK78="","",IF($AK78=0,"",IF(INDEX(LookupData!N:N,$AK78)="","",INDEX(LookupData!N:N,$AK78))))</f>
        <v/>
      </c>
      <c r="O78" s="7" t="str">
        <f>IF($AK78="","",IF($AK78=0,"",IF(INDEX(LookupData!O:O,$AK78)="","",INDEX(LookupData!O:O,$AK78))))</f>
        <v/>
      </c>
      <c r="P78" s="7" t="str">
        <f>IF($AK78="","",IF($AK78=0,"",IF(INDEX(LookupData!P:P,$AK78)="","",INDEX(LookupData!P:P,$AK78))))</f>
        <v/>
      </c>
      <c r="Q78" s="7" t="str">
        <f>IF($AK78="","",IF($AK78=0,"",IF(INDEX(LookupData!Q:Q,$AK78)="","",INDEX(LookupData!Q:Q,$AK78))))</f>
        <v/>
      </c>
      <c r="R78" s="7" t="str">
        <f>IF($AK78="","",IF($AK78=0,"",IF(INDEX(LookupData!R:R,$AK78)="","",INDEX(LookupData!R:R,$AK78))))</f>
        <v/>
      </c>
      <c r="S78" s="7" t="str">
        <f>IF($AK78="","",IF($AK78=0,"",IF(INDEX(LookupData!S:S,$AK78)="","",INDEX(LookupData!S:S,$AK78))))</f>
        <v/>
      </c>
      <c r="T78" s="7" t="str">
        <f>IF($AK78="","",IF($AK78=0,"",IF(INDEX(LookupData!T:T,$AK78)="","",INDEX(LookupData!T:T,$AK78))))</f>
        <v/>
      </c>
      <c r="U78" s="7" t="str">
        <f>IF($AK78="","",IF($AK78=0,"",IF(INDEX(LookupData!U:U,$AK78)="","",INDEX(LookupData!U:U,$AK78))))</f>
        <v/>
      </c>
      <c r="V78" s="7" t="str">
        <f>IF($AK78="","",IF($AK78=0,"",IF(INDEX(LookupData!V:V,$AK78)="","",INDEX(LookupData!V:V,$AK78))))</f>
        <v/>
      </c>
      <c r="W78" t="str">
        <f>IF($AK78="","",IF($AK78=0,"",IF(INDEX(LookupData!W:W,$AK78)="","",INDEX(LookupData!W:W,$AK78))))</f>
        <v/>
      </c>
      <c r="X78" s="7" t="str">
        <f>IF($AK78="","",IF($AK78=0,"",IF(INDEX(LookupData!X:X,$AK78)="","",INDEX(LookupData!X:X,$AK78))))</f>
        <v/>
      </c>
      <c r="Y78" s="7" t="str">
        <f>IF($AK78="","",IF($AK78=0,"",IF(INDEX(LookupData!Y:Y,$AK78)="","",INDEX(LookupData!Y:Y,$AK78))))</f>
        <v/>
      </c>
      <c r="Z78" s="7" t="str">
        <f>IF($AK78="","",IF($AK78=0,"",IF(INDEX(LookupData!Z:Z,$AK78)="","",INDEX(LookupData!Z:Z,$AK78))))</f>
        <v/>
      </c>
      <c r="AA78" s="7" t="str">
        <f>IF($AK78="","",IF($AK78=0,"",IF(INDEX(LookupData!AA:AA,$AK78)="","",INDEX(LookupData!AA:AA,$AK78))))</f>
        <v/>
      </c>
      <c r="AB78" s="7" t="str">
        <f>IF($AK78="","",IF($AK78=0,"",IF(INDEX(LookupData!AB:AB,$AK78)="","",INDEX(LookupData!AB:AB,$AK78))))</f>
        <v/>
      </c>
      <c r="AC78" s="7" t="str">
        <f>IF($AK78="","",IF($AK78=0,"",IF(INDEX(LookupData!AC:AC,$AK78)="","",INDEX(LookupData!AC:AC,$AK78))))</f>
        <v/>
      </c>
      <c r="AD78" s="7" t="str">
        <f>IF($AK78="","",IF($AK78=0,"",IF(INDEX(LookupData!AD:AD,$AK78)="","",INDEX(LookupData!AD:AD,$AK78))))</f>
        <v/>
      </c>
      <c r="AE78" s="7" t="str">
        <f>IF($AK78="","",IF($AK78=0,"",IF(INDEX(LookupData!AE:AE,$AK78)="","",INDEX(LookupData!AE:AE,$AK78))))</f>
        <v/>
      </c>
      <c r="AF78" t="str">
        <f>IF($AK78="","",IF($AK78=0,"",IF(INDEX(LookupData!AF:AF,$AK78)="","",INDEX(LookupData!AF:AF,$AK78))))</f>
        <v/>
      </c>
      <c r="AG78" t="str">
        <f>IF($AK78="","",IF($AK78=0,"",IF(INDEX(LookupData!AG:AG,$AK78)="","",INDEX(LookupData!AG:AG,$AK78))))</f>
        <v/>
      </c>
      <c r="AH78" s="11" t="str">
        <f>IF($AK78="","",IF($AK78=0,"",IF(INDEX(LookupData!AH:AH,$AK78)="","",INDEX(LookupData!AH:AH,$AK78))))</f>
        <v/>
      </c>
      <c r="AI78" s="12" t="str">
        <f>IF($AK78="","",IF($AK78=0,"",IF(INDEX(LookupData!AI:AI,$AK78)="","",HYPERLINK(INDEX(LookupData!AI:AI,$AK78),"Open"))))</f>
        <v/>
      </c>
      <c r="AK78" t="str">
        <f>IF(AL78="","",IFERROR(MATCH(AL78,LookupData!$A:$A,0),0))</f>
        <v/>
      </c>
      <c r="AL78" t="str">
        <f t="shared" si="4"/>
        <v/>
      </c>
      <c r="AM78" t="str">
        <f t="shared" si="5"/>
        <v/>
      </c>
    </row>
    <row r="79" spans="1:39" x14ac:dyDescent="0.2">
      <c r="A79" s="9"/>
      <c r="B79" s="10" t="str">
        <f>IF($AK79="","",IF($AK79=0,"not in the database",IF(INDEX(LookupData!B:B,$AK79)="","",INDEX(LookupData!B:B,$AK79))))</f>
        <v/>
      </c>
      <c r="C79" t="str">
        <f>IF($AK79="","",IF($AK79=0,"",IF(INDEX(LookupData!C:C,$AK79)="","",INDEX(LookupData!C:C,$AK79))))</f>
        <v/>
      </c>
      <c r="D79" t="str">
        <f>IF($AK79="","",IF($AK79=0,"",IF(INDEX(LookupData!D:D,$AK79)="","",INDEX(LookupData!D:D,$AK79))))</f>
        <v/>
      </c>
      <c r="E79" t="str">
        <f>IF($AK79="","",IF($AK79=0,"",IF(INDEX(LookupData!E:E,$AK79)="","",INDEX(LookupData!E:E,$AK79))))</f>
        <v/>
      </c>
      <c r="F79" t="str">
        <f>IF($AK79="","",IF($AK79=0,"",IF(INDEX(LookupData!F:F,$AK79)="","",INDEX(LookupData!F:F,$AK79))))</f>
        <v/>
      </c>
      <c r="G79" t="str">
        <f>IF($AK79="","",IF($AK79=0,"",IF(INDEX(LookupData!G:G,$AK79)="","",INDEX(LookupData!G:G,$AK79))))</f>
        <v/>
      </c>
      <c r="H79" t="str">
        <f>IF($AK79="","",IF($AK79=0,"",IF(INDEX(LookupData!H:H,$AK79)="","",INDEX(LookupData!H:H,$AK79))))</f>
        <v/>
      </c>
      <c r="I79" s="7" t="str">
        <f>IF($AK79="","",IF($AK79=0,"",IF(INDEX(LookupData!I:I,$AK79)="","",INDEX(LookupData!I:I,$AK79))))</f>
        <v/>
      </c>
      <c r="J79" s="7" t="str">
        <f>IF($AK79="","",IF($AK79=0,"",IF(INDEX(LookupData!J:J,$AK79)="","",INDEX(LookupData!J:J,$AK79))))</f>
        <v/>
      </c>
      <c r="K79" s="7" t="str">
        <f>IF($AK79="","",IF($AK79=0,"",IF(INDEX(LookupData!K:K,$AK79)="","",INDEX(LookupData!K:K,$AK79))))</f>
        <v/>
      </c>
      <c r="L79" s="7" t="str">
        <f>IF($AK79="","",IF($AK79=0,"",IF(INDEX(LookupData!L:L,$AK79)="","",INDEX(LookupData!L:L,$AK79))))</f>
        <v/>
      </c>
      <c r="M79" s="7" t="str">
        <f>IF($AK79="","",IF($AK79=0,"",IF(INDEX(LookupData!M:M,$AK79)="","",INDEX(LookupData!M:M,$AK79))))</f>
        <v/>
      </c>
      <c r="N79" s="7" t="str">
        <f>IF($AK79="","",IF($AK79=0,"",IF(INDEX(LookupData!N:N,$AK79)="","",INDEX(LookupData!N:N,$AK79))))</f>
        <v/>
      </c>
      <c r="O79" s="7" t="str">
        <f>IF($AK79="","",IF($AK79=0,"",IF(INDEX(LookupData!O:O,$AK79)="","",INDEX(LookupData!O:O,$AK79))))</f>
        <v/>
      </c>
      <c r="P79" s="7" t="str">
        <f>IF($AK79="","",IF($AK79=0,"",IF(INDEX(LookupData!P:P,$AK79)="","",INDEX(LookupData!P:P,$AK79))))</f>
        <v/>
      </c>
      <c r="Q79" s="7" t="str">
        <f>IF($AK79="","",IF($AK79=0,"",IF(INDEX(LookupData!Q:Q,$AK79)="","",INDEX(LookupData!Q:Q,$AK79))))</f>
        <v/>
      </c>
      <c r="R79" s="7" t="str">
        <f>IF($AK79="","",IF($AK79=0,"",IF(INDEX(LookupData!R:R,$AK79)="","",INDEX(LookupData!R:R,$AK79))))</f>
        <v/>
      </c>
      <c r="S79" s="7" t="str">
        <f>IF($AK79="","",IF($AK79=0,"",IF(INDEX(LookupData!S:S,$AK79)="","",INDEX(LookupData!S:S,$AK79))))</f>
        <v/>
      </c>
      <c r="T79" s="7" t="str">
        <f>IF($AK79="","",IF($AK79=0,"",IF(INDEX(LookupData!T:T,$AK79)="","",INDEX(LookupData!T:T,$AK79))))</f>
        <v/>
      </c>
      <c r="U79" s="7" t="str">
        <f>IF($AK79="","",IF($AK79=0,"",IF(INDEX(LookupData!U:U,$AK79)="","",INDEX(LookupData!U:U,$AK79))))</f>
        <v/>
      </c>
      <c r="V79" s="7" t="str">
        <f>IF($AK79="","",IF($AK79=0,"",IF(INDEX(LookupData!V:V,$AK79)="","",INDEX(LookupData!V:V,$AK79))))</f>
        <v/>
      </c>
      <c r="W79" t="str">
        <f>IF($AK79="","",IF($AK79=0,"",IF(INDEX(LookupData!W:W,$AK79)="","",INDEX(LookupData!W:W,$AK79))))</f>
        <v/>
      </c>
      <c r="X79" s="7" t="str">
        <f>IF($AK79="","",IF($AK79=0,"",IF(INDEX(LookupData!X:X,$AK79)="","",INDEX(LookupData!X:X,$AK79))))</f>
        <v/>
      </c>
      <c r="Y79" s="7" t="str">
        <f>IF($AK79="","",IF($AK79=0,"",IF(INDEX(LookupData!Y:Y,$AK79)="","",INDEX(LookupData!Y:Y,$AK79))))</f>
        <v/>
      </c>
      <c r="Z79" s="7" t="str">
        <f>IF($AK79="","",IF($AK79=0,"",IF(INDEX(LookupData!Z:Z,$AK79)="","",INDEX(LookupData!Z:Z,$AK79))))</f>
        <v/>
      </c>
      <c r="AA79" s="7" t="str">
        <f>IF($AK79="","",IF($AK79=0,"",IF(INDEX(LookupData!AA:AA,$AK79)="","",INDEX(LookupData!AA:AA,$AK79))))</f>
        <v/>
      </c>
      <c r="AB79" s="7" t="str">
        <f>IF($AK79="","",IF($AK79=0,"",IF(INDEX(LookupData!AB:AB,$AK79)="","",INDEX(LookupData!AB:AB,$AK79))))</f>
        <v/>
      </c>
      <c r="AC79" s="7" t="str">
        <f>IF($AK79="","",IF($AK79=0,"",IF(INDEX(LookupData!AC:AC,$AK79)="","",INDEX(LookupData!AC:AC,$AK79))))</f>
        <v/>
      </c>
      <c r="AD79" s="7" t="str">
        <f>IF($AK79="","",IF($AK79=0,"",IF(INDEX(LookupData!AD:AD,$AK79)="","",INDEX(LookupData!AD:AD,$AK79))))</f>
        <v/>
      </c>
      <c r="AE79" s="7" t="str">
        <f>IF($AK79="","",IF($AK79=0,"",IF(INDEX(LookupData!AE:AE,$AK79)="","",INDEX(LookupData!AE:AE,$AK79))))</f>
        <v/>
      </c>
      <c r="AF79" t="str">
        <f>IF($AK79="","",IF($AK79=0,"",IF(INDEX(LookupData!AF:AF,$AK79)="","",INDEX(LookupData!AF:AF,$AK79))))</f>
        <v/>
      </c>
      <c r="AG79" t="str">
        <f>IF($AK79="","",IF($AK79=0,"",IF(INDEX(LookupData!AG:AG,$AK79)="","",INDEX(LookupData!AG:AG,$AK79))))</f>
        <v/>
      </c>
      <c r="AH79" s="11" t="str">
        <f>IF($AK79="","",IF($AK79=0,"",IF(INDEX(LookupData!AH:AH,$AK79)="","",INDEX(LookupData!AH:AH,$AK79))))</f>
        <v/>
      </c>
      <c r="AI79" s="12" t="str">
        <f>IF($AK79="","",IF($AK79=0,"",IF(INDEX(LookupData!AI:AI,$AK79)="","",HYPERLINK(INDEX(LookupData!AI:AI,$AK79),"Open"))))</f>
        <v/>
      </c>
      <c r="AK79" t="str">
        <f>IF(AL79="","",IFERROR(MATCH(AL79,LookupData!$A:$A,0),0))</f>
        <v/>
      </c>
      <c r="AL79" t="str">
        <f t="shared" si="4"/>
        <v/>
      </c>
      <c r="AM79" t="str">
        <f t="shared" si="5"/>
        <v/>
      </c>
    </row>
    <row r="80" spans="1:39" x14ac:dyDescent="0.2">
      <c r="A80" s="9"/>
      <c r="B80" s="10" t="str">
        <f>IF($AK80="","",IF($AK80=0,"not in the database",IF(INDEX(LookupData!B:B,$AK80)="","",INDEX(LookupData!B:B,$AK80))))</f>
        <v/>
      </c>
      <c r="C80" t="str">
        <f>IF($AK80="","",IF($AK80=0,"",IF(INDEX(LookupData!C:C,$AK80)="","",INDEX(LookupData!C:C,$AK80))))</f>
        <v/>
      </c>
      <c r="D80" t="str">
        <f>IF($AK80="","",IF($AK80=0,"",IF(INDEX(LookupData!D:D,$AK80)="","",INDEX(LookupData!D:D,$AK80))))</f>
        <v/>
      </c>
      <c r="E80" t="str">
        <f>IF($AK80="","",IF($AK80=0,"",IF(INDEX(LookupData!E:E,$AK80)="","",INDEX(LookupData!E:E,$AK80))))</f>
        <v/>
      </c>
      <c r="F80" t="str">
        <f>IF($AK80="","",IF($AK80=0,"",IF(INDEX(LookupData!F:F,$AK80)="","",INDEX(LookupData!F:F,$AK80))))</f>
        <v/>
      </c>
      <c r="G80" t="str">
        <f>IF($AK80="","",IF($AK80=0,"",IF(INDEX(LookupData!G:G,$AK80)="","",INDEX(LookupData!G:G,$AK80))))</f>
        <v/>
      </c>
      <c r="H80" t="str">
        <f>IF($AK80="","",IF($AK80=0,"",IF(INDEX(LookupData!H:H,$AK80)="","",INDEX(LookupData!H:H,$AK80))))</f>
        <v/>
      </c>
      <c r="I80" s="7" t="str">
        <f>IF($AK80="","",IF($AK80=0,"",IF(INDEX(LookupData!I:I,$AK80)="","",INDEX(LookupData!I:I,$AK80))))</f>
        <v/>
      </c>
      <c r="J80" s="7" t="str">
        <f>IF($AK80="","",IF($AK80=0,"",IF(INDEX(LookupData!J:J,$AK80)="","",INDEX(LookupData!J:J,$AK80))))</f>
        <v/>
      </c>
      <c r="K80" s="7" t="str">
        <f>IF($AK80="","",IF($AK80=0,"",IF(INDEX(LookupData!K:K,$AK80)="","",INDEX(LookupData!K:K,$AK80))))</f>
        <v/>
      </c>
      <c r="L80" s="7" t="str">
        <f>IF($AK80="","",IF($AK80=0,"",IF(INDEX(LookupData!L:L,$AK80)="","",INDEX(LookupData!L:L,$AK80))))</f>
        <v/>
      </c>
      <c r="M80" s="7" t="str">
        <f>IF($AK80="","",IF($AK80=0,"",IF(INDEX(LookupData!M:M,$AK80)="","",INDEX(LookupData!M:M,$AK80))))</f>
        <v/>
      </c>
      <c r="N80" s="7" t="str">
        <f>IF($AK80="","",IF($AK80=0,"",IF(INDEX(LookupData!N:N,$AK80)="","",INDEX(LookupData!N:N,$AK80))))</f>
        <v/>
      </c>
      <c r="O80" s="7" t="str">
        <f>IF($AK80="","",IF($AK80=0,"",IF(INDEX(LookupData!O:O,$AK80)="","",INDEX(LookupData!O:O,$AK80))))</f>
        <v/>
      </c>
      <c r="P80" s="7" t="str">
        <f>IF($AK80="","",IF($AK80=0,"",IF(INDEX(LookupData!P:P,$AK80)="","",INDEX(LookupData!P:P,$AK80))))</f>
        <v/>
      </c>
      <c r="Q80" s="7" t="str">
        <f>IF($AK80="","",IF($AK80=0,"",IF(INDEX(LookupData!Q:Q,$AK80)="","",INDEX(LookupData!Q:Q,$AK80))))</f>
        <v/>
      </c>
      <c r="R80" s="7" t="str">
        <f>IF($AK80="","",IF($AK80=0,"",IF(INDEX(LookupData!R:R,$AK80)="","",INDEX(LookupData!R:R,$AK80))))</f>
        <v/>
      </c>
      <c r="S80" s="7" t="str">
        <f>IF($AK80="","",IF($AK80=0,"",IF(INDEX(LookupData!S:S,$AK80)="","",INDEX(LookupData!S:S,$AK80))))</f>
        <v/>
      </c>
      <c r="T80" s="7" t="str">
        <f>IF($AK80="","",IF($AK80=0,"",IF(INDEX(LookupData!T:T,$AK80)="","",INDEX(LookupData!T:T,$AK80))))</f>
        <v/>
      </c>
      <c r="U80" s="7" t="str">
        <f>IF($AK80="","",IF($AK80=0,"",IF(INDEX(LookupData!U:U,$AK80)="","",INDEX(LookupData!U:U,$AK80))))</f>
        <v/>
      </c>
      <c r="V80" s="7" t="str">
        <f>IF($AK80="","",IF($AK80=0,"",IF(INDEX(LookupData!V:V,$AK80)="","",INDEX(LookupData!V:V,$AK80))))</f>
        <v/>
      </c>
      <c r="W80" t="str">
        <f>IF($AK80="","",IF($AK80=0,"",IF(INDEX(LookupData!W:W,$AK80)="","",INDEX(LookupData!W:W,$AK80))))</f>
        <v/>
      </c>
      <c r="X80" s="7" t="str">
        <f>IF($AK80="","",IF($AK80=0,"",IF(INDEX(LookupData!X:X,$AK80)="","",INDEX(LookupData!X:X,$AK80))))</f>
        <v/>
      </c>
      <c r="Y80" s="7" t="str">
        <f>IF($AK80="","",IF($AK80=0,"",IF(INDEX(LookupData!Y:Y,$AK80)="","",INDEX(LookupData!Y:Y,$AK80))))</f>
        <v/>
      </c>
      <c r="Z80" s="7" t="str">
        <f>IF($AK80="","",IF($AK80=0,"",IF(INDEX(LookupData!Z:Z,$AK80)="","",INDEX(LookupData!Z:Z,$AK80))))</f>
        <v/>
      </c>
      <c r="AA80" s="7" t="str">
        <f>IF($AK80="","",IF($AK80=0,"",IF(INDEX(LookupData!AA:AA,$AK80)="","",INDEX(LookupData!AA:AA,$AK80))))</f>
        <v/>
      </c>
      <c r="AB80" s="7" t="str">
        <f>IF($AK80="","",IF($AK80=0,"",IF(INDEX(LookupData!AB:AB,$AK80)="","",INDEX(LookupData!AB:AB,$AK80))))</f>
        <v/>
      </c>
      <c r="AC80" s="7" t="str">
        <f>IF($AK80="","",IF($AK80=0,"",IF(INDEX(LookupData!AC:AC,$AK80)="","",INDEX(LookupData!AC:AC,$AK80))))</f>
        <v/>
      </c>
      <c r="AD80" s="7" t="str">
        <f>IF($AK80="","",IF($AK80=0,"",IF(INDEX(LookupData!AD:AD,$AK80)="","",INDEX(LookupData!AD:AD,$AK80))))</f>
        <v/>
      </c>
      <c r="AE80" s="7" t="str">
        <f>IF($AK80="","",IF($AK80=0,"",IF(INDEX(LookupData!AE:AE,$AK80)="","",INDEX(LookupData!AE:AE,$AK80))))</f>
        <v/>
      </c>
      <c r="AF80" t="str">
        <f>IF($AK80="","",IF($AK80=0,"",IF(INDEX(LookupData!AF:AF,$AK80)="","",INDEX(LookupData!AF:AF,$AK80))))</f>
        <v/>
      </c>
      <c r="AG80" t="str">
        <f>IF($AK80="","",IF($AK80=0,"",IF(INDEX(LookupData!AG:AG,$AK80)="","",INDEX(LookupData!AG:AG,$AK80))))</f>
        <v/>
      </c>
      <c r="AH80" s="11" t="str">
        <f>IF($AK80="","",IF($AK80=0,"",IF(INDEX(LookupData!AH:AH,$AK80)="","",INDEX(LookupData!AH:AH,$AK80))))</f>
        <v/>
      </c>
      <c r="AI80" s="12" t="str">
        <f>IF($AK80="","",IF($AK80=0,"",IF(INDEX(LookupData!AI:AI,$AK80)="","",HYPERLINK(INDEX(LookupData!AI:AI,$AK80),"Open"))))</f>
        <v/>
      </c>
      <c r="AK80" t="str">
        <f>IF(AL80="","",IFERROR(MATCH(AL80,LookupData!$A:$A,0),0))</f>
        <v/>
      </c>
      <c r="AL80" t="str">
        <f t="shared" si="4"/>
        <v/>
      </c>
      <c r="AM80" t="str">
        <f t="shared" si="5"/>
        <v/>
      </c>
    </row>
    <row r="81" spans="1:39" x14ac:dyDescent="0.2">
      <c r="A81" s="9"/>
      <c r="B81" s="10" t="str">
        <f>IF($AK81="","",IF($AK81=0,"not in the database",IF(INDEX(LookupData!B:B,$AK81)="","",INDEX(LookupData!B:B,$AK81))))</f>
        <v/>
      </c>
      <c r="C81" t="str">
        <f>IF($AK81="","",IF($AK81=0,"",IF(INDEX(LookupData!C:C,$AK81)="","",INDEX(LookupData!C:C,$AK81))))</f>
        <v/>
      </c>
      <c r="D81" t="str">
        <f>IF($AK81="","",IF($AK81=0,"",IF(INDEX(LookupData!D:D,$AK81)="","",INDEX(LookupData!D:D,$AK81))))</f>
        <v/>
      </c>
      <c r="E81" t="str">
        <f>IF($AK81="","",IF($AK81=0,"",IF(INDEX(LookupData!E:E,$AK81)="","",INDEX(LookupData!E:E,$AK81))))</f>
        <v/>
      </c>
      <c r="F81" t="str">
        <f>IF($AK81="","",IF($AK81=0,"",IF(INDEX(LookupData!F:F,$AK81)="","",INDEX(LookupData!F:F,$AK81))))</f>
        <v/>
      </c>
      <c r="G81" t="str">
        <f>IF($AK81="","",IF($AK81=0,"",IF(INDEX(LookupData!G:G,$AK81)="","",INDEX(LookupData!G:G,$AK81))))</f>
        <v/>
      </c>
      <c r="H81" t="str">
        <f>IF($AK81="","",IF($AK81=0,"",IF(INDEX(LookupData!H:H,$AK81)="","",INDEX(LookupData!H:H,$AK81))))</f>
        <v/>
      </c>
      <c r="I81" s="7" t="str">
        <f>IF($AK81="","",IF($AK81=0,"",IF(INDEX(LookupData!I:I,$AK81)="","",INDEX(LookupData!I:I,$AK81))))</f>
        <v/>
      </c>
      <c r="J81" s="7" t="str">
        <f>IF($AK81="","",IF($AK81=0,"",IF(INDEX(LookupData!J:J,$AK81)="","",INDEX(LookupData!J:J,$AK81))))</f>
        <v/>
      </c>
      <c r="K81" s="7" t="str">
        <f>IF($AK81="","",IF($AK81=0,"",IF(INDEX(LookupData!K:K,$AK81)="","",INDEX(LookupData!K:K,$AK81))))</f>
        <v/>
      </c>
      <c r="L81" s="7" t="str">
        <f>IF($AK81="","",IF($AK81=0,"",IF(INDEX(LookupData!L:L,$AK81)="","",INDEX(LookupData!L:L,$AK81))))</f>
        <v/>
      </c>
      <c r="M81" s="7" t="str">
        <f>IF($AK81="","",IF($AK81=0,"",IF(INDEX(LookupData!M:M,$AK81)="","",INDEX(LookupData!M:M,$AK81))))</f>
        <v/>
      </c>
      <c r="N81" s="7" t="str">
        <f>IF($AK81="","",IF($AK81=0,"",IF(INDEX(LookupData!N:N,$AK81)="","",INDEX(LookupData!N:N,$AK81))))</f>
        <v/>
      </c>
      <c r="O81" s="7" t="str">
        <f>IF($AK81="","",IF($AK81=0,"",IF(INDEX(LookupData!O:O,$AK81)="","",INDEX(LookupData!O:O,$AK81))))</f>
        <v/>
      </c>
      <c r="P81" s="7" t="str">
        <f>IF($AK81="","",IF($AK81=0,"",IF(INDEX(LookupData!P:P,$AK81)="","",INDEX(LookupData!P:P,$AK81))))</f>
        <v/>
      </c>
      <c r="Q81" s="7" t="str">
        <f>IF($AK81="","",IF($AK81=0,"",IF(INDEX(LookupData!Q:Q,$AK81)="","",INDEX(LookupData!Q:Q,$AK81))))</f>
        <v/>
      </c>
      <c r="R81" s="7" t="str">
        <f>IF($AK81="","",IF($AK81=0,"",IF(INDEX(LookupData!R:R,$AK81)="","",INDEX(LookupData!R:R,$AK81))))</f>
        <v/>
      </c>
      <c r="S81" s="7" t="str">
        <f>IF($AK81="","",IF($AK81=0,"",IF(INDEX(LookupData!S:S,$AK81)="","",INDEX(LookupData!S:S,$AK81))))</f>
        <v/>
      </c>
      <c r="T81" s="7" t="str">
        <f>IF($AK81="","",IF($AK81=0,"",IF(INDEX(LookupData!T:T,$AK81)="","",INDEX(LookupData!T:T,$AK81))))</f>
        <v/>
      </c>
      <c r="U81" s="7" t="str">
        <f>IF($AK81="","",IF($AK81=0,"",IF(INDEX(LookupData!U:U,$AK81)="","",INDEX(LookupData!U:U,$AK81))))</f>
        <v/>
      </c>
      <c r="V81" s="7" t="str">
        <f>IF($AK81="","",IF($AK81=0,"",IF(INDEX(LookupData!V:V,$AK81)="","",INDEX(LookupData!V:V,$AK81))))</f>
        <v/>
      </c>
      <c r="W81" t="str">
        <f>IF($AK81="","",IF($AK81=0,"",IF(INDEX(LookupData!W:W,$AK81)="","",INDEX(LookupData!W:W,$AK81))))</f>
        <v/>
      </c>
      <c r="X81" s="7" t="str">
        <f>IF($AK81="","",IF($AK81=0,"",IF(INDEX(LookupData!X:X,$AK81)="","",INDEX(LookupData!X:X,$AK81))))</f>
        <v/>
      </c>
      <c r="Y81" s="7" t="str">
        <f>IF($AK81="","",IF($AK81=0,"",IF(INDEX(LookupData!Y:Y,$AK81)="","",INDEX(LookupData!Y:Y,$AK81))))</f>
        <v/>
      </c>
      <c r="Z81" s="7" t="str">
        <f>IF($AK81="","",IF($AK81=0,"",IF(INDEX(LookupData!Z:Z,$AK81)="","",INDEX(LookupData!Z:Z,$AK81))))</f>
        <v/>
      </c>
      <c r="AA81" s="7" t="str">
        <f>IF($AK81="","",IF($AK81=0,"",IF(INDEX(LookupData!AA:AA,$AK81)="","",INDEX(LookupData!AA:AA,$AK81))))</f>
        <v/>
      </c>
      <c r="AB81" s="7" t="str">
        <f>IF($AK81="","",IF($AK81=0,"",IF(INDEX(LookupData!AB:AB,$AK81)="","",INDEX(LookupData!AB:AB,$AK81))))</f>
        <v/>
      </c>
      <c r="AC81" s="7" t="str">
        <f>IF($AK81="","",IF($AK81=0,"",IF(INDEX(LookupData!AC:AC,$AK81)="","",INDEX(LookupData!AC:AC,$AK81))))</f>
        <v/>
      </c>
      <c r="AD81" s="7" t="str">
        <f>IF($AK81="","",IF($AK81=0,"",IF(INDEX(LookupData!AD:AD,$AK81)="","",INDEX(LookupData!AD:AD,$AK81))))</f>
        <v/>
      </c>
      <c r="AE81" s="7" t="str">
        <f>IF($AK81="","",IF($AK81=0,"",IF(INDEX(LookupData!AE:AE,$AK81)="","",INDEX(LookupData!AE:AE,$AK81))))</f>
        <v/>
      </c>
      <c r="AF81" t="str">
        <f>IF($AK81="","",IF($AK81=0,"",IF(INDEX(LookupData!AF:AF,$AK81)="","",INDEX(LookupData!AF:AF,$AK81))))</f>
        <v/>
      </c>
      <c r="AG81" t="str">
        <f>IF($AK81="","",IF($AK81=0,"",IF(INDEX(LookupData!AG:AG,$AK81)="","",INDEX(LookupData!AG:AG,$AK81))))</f>
        <v/>
      </c>
      <c r="AH81" s="11" t="str">
        <f>IF($AK81="","",IF($AK81=0,"",IF(INDEX(LookupData!AH:AH,$AK81)="","",INDEX(LookupData!AH:AH,$AK81))))</f>
        <v/>
      </c>
      <c r="AI81" s="12" t="str">
        <f>IF($AK81="","",IF($AK81=0,"",IF(INDEX(LookupData!AI:AI,$AK81)="","",HYPERLINK(INDEX(LookupData!AI:AI,$AK81),"Open"))))</f>
        <v/>
      </c>
      <c r="AK81" t="str">
        <f>IF(AL81="","",IFERROR(MATCH(AL81,LookupData!$A:$A,0),0))</f>
        <v/>
      </c>
      <c r="AL81" t="str">
        <f t="shared" si="4"/>
        <v/>
      </c>
      <c r="AM81" t="str">
        <f t="shared" si="5"/>
        <v/>
      </c>
    </row>
    <row r="82" spans="1:39" x14ac:dyDescent="0.2">
      <c r="A82" s="9"/>
      <c r="B82" s="10" t="str">
        <f>IF($AK82="","",IF($AK82=0,"not in the database",IF(INDEX(LookupData!B:B,$AK82)="","",INDEX(LookupData!B:B,$AK82))))</f>
        <v/>
      </c>
      <c r="C82" t="str">
        <f>IF($AK82="","",IF($AK82=0,"",IF(INDEX(LookupData!C:C,$AK82)="","",INDEX(LookupData!C:C,$AK82))))</f>
        <v/>
      </c>
      <c r="D82" t="str">
        <f>IF($AK82="","",IF($AK82=0,"",IF(INDEX(LookupData!D:D,$AK82)="","",INDEX(LookupData!D:D,$AK82))))</f>
        <v/>
      </c>
      <c r="E82" t="str">
        <f>IF($AK82="","",IF($AK82=0,"",IF(INDEX(LookupData!E:E,$AK82)="","",INDEX(LookupData!E:E,$AK82))))</f>
        <v/>
      </c>
      <c r="F82" t="str">
        <f>IF($AK82="","",IF($AK82=0,"",IF(INDEX(LookupData!F:F,$AK82)="","",INDEX(LookupData!F:F,$AK82))))</f>
        <v/>
      </c>
      <c r="G82" t="str">
        <f>IF($AK82="","",IF($AK82=0,"",IF(INDEX(LookupData!G:G,$AK82)="","",INDEX(LookupData!G:G,$AK82))))</f>
        <v/>
      </c>
      <c r="H82" t="str">
        <f>IF($AK82="","",IF($AK82=0,"",IF(INDEX(LookupData!H:H,$AK82)="","",INDEX(LookupData!H:H,$AK82))))</f>
        <v/>
      </c>
      <c r="I82" s="7" t="str">
        <f>IF($AK82="","",IF($AK82=0,"",IF(INDEX(LookupData!I:I,$AK82)="","",INDEX(LookupData!I:I,$AK82))))</f>
        <v/>
      </c>
      <c r="J82" s="7" t="str">
        <f>IF($AK82="","",IF($AK82=0,"",IF(INDEX(LookupData!J:J,$AK82)="","",INDEX(LookupData!J:J,$AK82))))</f>
        <v/>
      </c>
      <c r="K82" s="7" t="str">
        <f>IF($AK82="","",IF($AK82=0,"",IF(INDEX(LookupData!K:K,$AK82)="","",INDEX(LookupData!K:K,$AK82))))</f>
        <v/>
      </c>
      <c r="L82" s="7" t="str">
        <f>IF($AK82="","",IF($AK82=0,"",IF(INDEX(LookupData!L:L,$AK82)="","",INDEX(LookupData!L:L,$AK82))))</f>
        <v/>
      </c>
      <c r="M82" s="7" t="str">
        <f>IF($AK82="","",IF($AK82=0,"",IF(INDEX(LookupData!M:M,$AK82)="","",INDEX(LookupData!M:M,$AK82))))</f>
        <v/>
      </c>
      <c r="N82" s="7" t="str">
        <f>IF($AK82="","",IF($AK82=0,"",IF(INDEX(LookupData!N:N,$AK82)="","",INDEX(LookupData!N:N,$AK82))))</f>
        <v/>
      </c>
      <c r="O82" s="7" t="str">
        <f>IF($AK82="","",IF($AK82=0,"",IF(INDEX(LookupData!O:O,$AK82)="","",INDEX(LookupData!O:O,$AK82))))</f>
        <v/>
      </c>
      <c r="P82" s="7" t="str">
        <f>IF($AK82="","",IF($AK82=0,"",IF(INDEX(LookupData!P:P,$AK82)="","",INDEX(LookupData!P:P,$AK82))))</f>
        <v/>
      </c>
      <c r="Q82" s="7" t="str">
        <f>IF($AK82="","",IF($AK82=0,"",IF(INDEX(LookupData!Q:Q,$AK82)="","",INDEX(LookupData!Q:Q,$AK82))))</f>
        <v/>
      </c>
      <c r="R82" s="7" t="str">
        <f>IF($AK82="","",IF($AK82=0,"",IF(INDEX(LookupData!R:R,$AK82)="","",INDEX(LookupData!R:R,$AK82))))</f>
        <v/>
      </c>
      <c r="S82" s="7" t="str">
        <f>IF($AK82="","",IF($AK82=0,"",IF(INDEX(LookupData!S:S,$AK82)="","",INDEX(LookupData!S:S,$AK82))))</f>
        <v/>
      </c>
      <c r="T82" s="7" t="str">
        <f>IF($AK82="","",IF($AK82=0,"",IF(INDEX(LookupData!T:T,$AK82)="","",INDEX(LookupData!T:T,$AK82))))</f>
        <v/>
      </c>
      <c r="U82" s="7" t="str">
        <f>IF($AK82="","",IF($AK82=0,"",IF(INDEX(LookupData!U:U,$AK82)="","",INDEX(LookupData!U:U,$AK82))))</f>
        <v/>
      </c>
      <c r="V82" s="7" t="str">
        <f>IF($AK82="","",IF($AK82=0,"",IF(INDEX(LookupData!V:V,$AK82)="","",INDEX(LookupData!V:V,$AK82))))</f>
        <v/>
      </c>
      <c r="W82" t="str">
        <f>IF($AK82="","",IF($AK82=0,"",IF(INDEX(LookupData!W:W,$AK82)="","",INDEX(LookupData!W:W,$AK82))))</f>
        <v/>
      </c>
      <c r="X82" s="7" t="str">
        <f>IF($AK82="","",IF($AK82=0,"",IF(INDEX(LookupData!X:X,$AK82)="","",INDEX(LookupData!X:X,$AK82))))</f>
        <v/>
      </c>
      <c r="Y82" s="7" t="str">
        <f>IF($AK82="","",IF($AK82=0,"",IF(INDEX(LookupData!Y:Y,$AK82)="","",INDEX(LookupData!Y:Y,$AK82))))</f>
        <v/>
      </c>
      <c r="Z82" s="7" t="str">
        <f>IF($AK82="","",IF($AK82=0,"",IF(INDEX(LookupData!Z:Z,$AK82)="","",INDEX(LookupData!Z:Z,$AK82))))</f>
        <v/>
      </c>
      <c r="AA82" s="7" t="str">
        <f>IF($AK82="","",IF($AK82=0,"",IF(INDEX(LookupData!AA:AA,$AK82)="","",INDEX(LookupData!AA:AA,$AK82))))</f>
        <v/>
      </c>
      <c r="AB82" s="7" t="str">
        <f>IF($AK82="","",IF($AK82=0,"",IF(INDEX(LookupData!AB:AB,$AK82)="","",INDEX(LookupData!AB:AB,$AK82))))</f>
        <v/>
      </c>
      <c r="AC82" s="7" t="str">
        <f>IF($AK82="","",IF($AK82=0,"",IF(INDEX(LookupData!AC:AC,$AK82)="","",INDEX(LookupData!AC:AC,$AK82))))</f>
        <v/>
      </c>
      <c r="AD82" s="7" t="str">
        <f>IF($AK82="","",IF($AK82=0,"",IF(INDEX(LookupData!AD:AD,$AK82)="","",INDEX(LookupData!AD:AD,$AK82))))</f>
        <v/>
      </c>
      <c r="AE82" s="7" t="str">
        <f>IF($AK82="","",IF($AK82=0,"",IF(INDEX(LookupData!AE:AE,$AK82)="","",INDEX(LookupData!AE:AE,$AK82))))</f>
        <v/>
      </c>
      <c r="AF82" t="str">
        <f>IF($AK82="","",IF($AK82=0,"",IF(INDEX(LookupData!AF:AF,$AK82)="","",INDEX(LookupData!AF:AF,$AK82))))</f>
        <v/>
      </c>
      <c r="AG82" t="str">
        <f>IF($AK82="","",IF($AK82=0,"",IF(INDEX(LookupData!AG:AG,$AK82)="","",INDEX(LookupData!AG:AG,$AK82))))</f>
        <v/>
      </c>
      <c r="AH82" s="11" t="str">
        <f>IF($AK82="","",IF($AK82=0,"",IF(INDEX(LookupData!AH:AH,$AK82)="","",INDEX(LookupData!AH:AH,$AK82))))</f>
        <v/>
      </c>
      <c r="AI82" s="12" t="str">
        <f>IF($AK82="","",IF($AK82=0,"",IF(INDEX(LookupData!AI:AI,$AK82)="","",HYPERLINK(INDEX(LookupData!AI:AI,$AK82),"Open"))))</f>
        <v/>
      </c>
      <c r="AK82" t="str">
        <f>IF(AL82="","",IFERROR(MATCH(AL82,LookupData!$A:$A,0),0))</f>
        <v/>
      </c>
      <c r="AL82" t="str">
        <f t="shared" si="4"/>
        <v/>
      </c>
      <c r="AM82" t="str">
        <f t="shared" si="5"/>
        <v/>
      </c>
    </row>
    <row r="83" spans="1:39" x14ac:dyDescent="0.2">
      <c r="A83" s="9"/>
      <c r="B83" s="10" t="str">
        <f>IF($AK83="","",IF($AK83=0,"not in the database",IF(INDEX(LookupData!B:B,$AK83)="","",INDEX(LookupData!B:B,$AK83))))</f>
        <v/>
      </c>
      <c r="C83" t="str">
        <f>IF($AK83="","",IF($AK83=0,"",IF(INDEX(LookupData!C:C,$AK83)="","",INDEX(LookupData!C:C,$AK83))))</f>
        <v/>
      </c>
      <c r="D83" t="str">
        <f>IF($AK83="","",IF($AK83=0,"",IF(INDEX(LookupData!D:D,$AK83)="","",INDEX(LookupData!D:D,$AK83))))</f>
        <v/>
      </c>
      <c r="E83" t="str">
        <f>IF($AK83="","",IF($AK83=0,"",IF(INDEX(LookupData!E:E,$AK83)="","",INDEX(LookupData!E:E,$AK83))))</f>
        <v/>
      </c>
      <c r="F83" t="str">
        <f>IF($AK83="","",IF($AK83=0,"",IF(INDEX(LookupData!F:F,$AK83)="","",INDEX(LookupData!F:F,$AK83))))</f>
        <v/>
      </c>
      <c r="G83" t="str">
        <f>IF($AK83="","",IF($AK83=0,"",IF(INDEX(LookupData!G:G,$AK83)="","",INDEX(LookupData!G:G,$AK83))))</f>
        <v/>
      </c>
      <c r="H83" t="str">
        <f>IF($AK83="","",IF($AK83=0,"",IF(INDEX(LookupData!H:H,$AK83)="","",INDEX(LookupData!H:H,$AK83))))</f>
        <v/>
      </c>
      <c r="I83" s="7" t="str">
        <f>IF($AK83="","",IF($AK83=0,"",IF(INDEX(LookupData!I:I,$AK83)="","",INDEX(LookupData!I:I,$AK83))))</f>
        <v/>
      </c>
      <c r="J83" s="7" t="str">
        <f>IF($AK83="","",IF($AK83=0,"",IF(INDEX(LookupData!J:J,$AK83)="","",INDEX(LookupData!J:J,$AK83))))</f>
        <v/>
      </c>
      <c r="K83" s="7" t="str">
        <f>IF($AK83="","",IF($AK83=0,"",IF(INDEX(LookupData!K:K,$AK83)="","",INDEX(LookupData!K:K,$AK83))))</f>
        <v/>
      </c>
      <c r="L83" s="7" t="str">
        <f>IF($AK83="","",IF($AK83=0,"",IF(INDEX(LookupData!L:L,$AK83)="","",INDEX(LookupData!L:L,$AK83))))</f>
        <v/>
      </c>
      <c r="M83" s="7" t="str">
        <f>IF($AK83="","",IF($AK83=0,"",IF(INDEX(LookupData!M:M,$AK83)="","",INDEX(LookupData!M:M,$AK83))))</f>
        <v/>
      </c>
      <c r="N83" s="7" t="str">
        <f>IF($AK83="","",IF($AK83=0,"",IF(INDEX(LookupData!N:N,$AK83)="","",INDEX(LookupData!N:N,$AK83))))</f>
        <v/>
      </c>
      <c r="O83" s="7" t="str">
        <f>IF($AK83="","",IF($AK83=0,"",IF(INDEX(LookupData!O:O,$AK83)="","",INDEX(LookupData!O:O,$AK83))))</f>
        <v/>
      </c>
      <c r="P83" s="7" t="str">
        <f>IF($AK83="","",IF($AK83=0,"",IF(INDEX(LookupData!P:P,$AK83)="","",INDEX(LookupData!P:P,$AK83))))</f>
        <v/>
      </c>
      <c r="Q83" s="7" t="str">
        <f>IF($AK83="","",IF($AK83=0,"",IF(INDEX(LookupData!Q:Q,$AK83)="","",INDEX(LookupData!Q:Q,$AK83))))</f>
        <v/>
      </c>
      <c r="R83" s="7" t="str">
        <f>IF($AK83="","",IF($AK83=0,"",IF(INDEX(LookupData!R:R,$AK83)="","",INDEX(LookupData!R:R,$AK83))))</f>
        <v/>
      </c>
      <c r="S83" s="7" t="str">
        <f>IF($AK83="","",IF($AK83=0,"",IF(INDEX(LookupData!S:S,$AK83)="","",INDEX(LookupData!S:S,$AK83))))</f>
        <v/>
      </c>
      <c r="T83" s="7" t="str">
        <f>IF($AK83="","",IF($AK83=0,"",IF(INDEX(LookupData!T:T,$AK83)="","",INDEX(LookupData!T:T,$AK83))))</f>
        <v/>
      </c>
      <c r="U83" s="7" t="str">
        <f>IF($AK83="","",IF($AK83=0,"",IF(INDEX(LookupData!U:U,$AK83)="","",INDEX(LookupData!U:U,$AK83))))</f>
        <v/>
      </c>
      <c r="V83" s="7" t="str">
        <f>IF($AK83="","",IF($AK83=0,"",IF(INDEX(LookupData!V:V,$AK83)="","",INDEX(LookupData!V:V,$AK83))))</f>
        <v/>
      </c>
      <c r="W83" t="str">
        <f>IF($AK83="","",IF($AK83=0,"",IF(INDEX(LookupData!W:W,$AK83)="","",INDEX(LookupData!W:W,$AK83))))</f>
        <v/>
      </c>
      <c r="X83" s="7" t="str">
        <f>IF($AK83="","",IF($AK83=0,"",IF(INDEX(LookupData!X:X,$AK83)="","",INDEX(LookupData!X:X,$AK83))))</f>
        <v/>
      </c>
      <c r="Y83" s="7" t="str">
        <f>IF($AK83="","",IF($AK83=0,"",IF(INDEX(LookupData!Y:Y,$AK83)="","",INDEX(LookupData!Y:Y,$AK83))))</f>
        <v/>
      </c>
      <c r="Z83" s="7" t="str">
        <f>IF($AK83="","",IF($AK83=0,"",IF(INDEX(LookupData!Z:Z,$AK83)="","",INDEX(LookupData!Z:Z,$AK83))))</f>
        <v/>
      </c>
      <c r="AA83" s="7" t="str">
        <f>IF($AK83="","",IF($AK83=0,"",IF(INDEX(LookupData!AA:AA,$AK83)="","",INDEX(LookupData!AA:AA,$AK83))))</f>
        <v/>
      </c>
      <c r="AB83" s="7" t="str">
        <f>IF($AK83="","",IF($AK83=0,"",IF(INDEX(LookupData!AB:AB,$AK83)="","",INDEX(LookupData!AB:AB,$AK83))))</f>
        <v/>
      </c>
      <c r="AC83" s="7" t="str">
        <f>IF($AK83="","",IF($AK83=0,"",IF(INDEX(LookupData!AC:AC,$AK83)="","",INDEX(LookupData!AC:AC,$AK83))))</f>
        <v/>
      </c>
      <c r="AD83" s="7" t="str">
        <f>IF($AK83="","",IF($AK83=0,"",IF(INDEX(LookupData!AD:AD,$AK83)="","",INDEX(LookupData!AD:AD,$AK83))))</f>
        <v/>
      </c>
      <c r="AE83" s="7" t="str">
        <f>IF($AK83="","",IF($AK83=0,"",IF(INDEX(LookupData!AE:AE,$AK83)="","",INDEX(LookupData!AE:AE,$AK83))))</f>
        <v/>
      </c>
      <c r="AF83" t="str">
        <f>IF($AK83="","",IF($AK83=0,"",IF(INDEX(LookupData!AF:AF,$AK83)="","",INDEX(LookupData!AF:AF,$AK83))))</f>
        <v/>
      </c>
      <c r="AG83" t="str">
        <f>IF($AK83="","",IF($AK83=0,"",IF(INDEX(LookupData!AG:AG,$AK83)="","",INDEX(LookupData!AG:AG,$AK83))))</f>
        <v/>
      </c>
      <c r="AH83" s="11" t="str">
        <f>IF($AK83="","",IF($AK83=0,"",IF(INDEX(LookupData!AH:AH,$AK83)="","",INDEX(LookupData!AH:AH,$AK83))))</f>
        <v/>
      </c>
      <c r="AI83" s="12" t="str">
        <f>IF($AK83="","",IF($AK83=0,"",IF(INDEX(LookupData!AI:AI,$AK83)="","",HYPERLINK(INDEX(LookupData!AI:AI,$AK83),"Open"))))</f>
        <v/>
      </c>
      <c r="AK83" t="str">
        <f>IF(AL83="","",IFERROR(MATCH(AL83,LookupData!$A:$A,0),0))</f>
        <v/>
      </c>
      <c r="AL83" t="str">
        <f t="shared" si="4"/>
        <v/>
      </c>
      <c r="AM83" t="str">
        <f t="shared" si="5"/>
        <v/>
      </c>
    </row>
    <row r="84" spans="1:39" x14ac:dyDescent="0.2">
      <c r="A84" s="9"/>
      <c r="B84" s="10" t="str">
        <f>IF($AK84="","",IF($AK84=0,"not in the database",IF(INDEX(LookupData!B:B,$AK84)="","",INDEX(LookupData!B:B,$AK84))))</f>
        <v/>
      </c>
      <c r="C84" t="str">
        <f>IF($AK84="","",IF($AK84=0,"",IF(INDEX(LookupData!C:C,$AK84)="","",INDEX(LookupData!C:C,$AK84))))</f>
        <v/>
      </c>
      <c r="D84" t="str">
        <f>IF($AK84="","",IF($AK84=0,"",IF(INDEX(LookupData!D:D,$AK84)="","",INDEX(LookupData!D:D,$AK84))))</f>
        <v/>
      </c>
      <c r="E84" t="str">
        <f>IF($AK84="","",IF($AK84=0,"",IF(INDEX(LookupData!E:E,$AK84)="","",INDEX(LookupData!E:E,$AK84))))</f>
        <v/>
      </c>
      <c r="F84" t="str">
        <f>IF($AK84="","",IF($AK84=0,"",IF(INDEX(LookupData!F:F,$AK84)="","",INDEX(LookupData!F:F,$AK84))))</f>
        <v/>
      </c>
      <c r="G84" t="str">
        <f>IF($AK84="","",IF($AK84=0,"",IF(INDEX(LookupData!G:G,$AK84)="","",INDEX(LookupData!G:G,$AK84))))</f>
        <v/>
      </c>
      <c r="H84" t="str">
        <f>IF($AK84="","",IF($AK84=0,"",IF(INDEX(LookupData!H:H,$AK84)="","",INDEX(LookupData!H:H,$AK84))))</f>
        <v/>
      </c>
      <c r="I84" s="7" t="str">
        <f>IF($AK84="","",IF($AK84=0,"",IF(INDEX(LookupData!I:I,$AK84)="","",INDEX(LookupData!I:I,$AK84))))</f>
        <v/>
      </c>
      <c r="J84" s="7" t="str">
        <f>IF($AK84="","",IF($AK84=0,"",IF(INDEX(LookupData!J:J,$AK84)="","",INDEX(LookupData!J:J,$AK84))))</f>
        <v/>
      </c>
      <c r="K84" s="7" t="str">
        <f>IF($AK84="","",IF($AK84=0,"",IF(INDEX(LookupData!K:K,$AK84)="","",INDEX(LookupData!K:K,$AK84))))</f>
        <v/>
      </c>
      <c r="L84" s="7" t="str">
        <f>IF($AK84="","",IF($AK84=0,"",IF(INDEX(LookupData!L:L,$AK84)="","",INDEX(LookupData!L:L,$AK84))))</f>
        <v/>
      </c>
      <c r="M84" s="7" t="str">
        <f>IF($AK84="","",IF($AK84=0,"",IF(INDEX(LookupData!M:M,$AK84)="","",INDEX(LookupData!M:M,$AK84))))</f>
        <v/>
      </c>
      <c r="N84" s="7" t="str">
        <f>IF($AK84="","",IF($AK84=0,"",IF(INDEX(LookupData!N:N,$AK84)="","",INDEX(LookupData!N:N,$AK84))))</f>
        <v/>
      </c>
      <c r="O84" s="7" t="str">
        <f>IF($AK84="","",IF($AK84=0,"",IF(INDEX(LookupData!O:O,$AK84)="","",INDEX(LookupData!O:O,$AK84))))</f>
        <v/>
      </c>
      <c r="P84" s="7" t="str">
        <f>IF($AK84="","",IF($AK84=0,"",IF(INDEX(LookupData!P:P,$AK84)="","",INDEX(LookupData!P:P,$AK84))))</f>
        <v/>
      </c>
      <c r="Q84" s="7" t="str">
        <f>IF($AK84="","",IF($AK84=0,"",IF(INDEX(LookupData!Q:Q,$AK84)="","",INDEX(LookupData!Q:Q,$AK84))))</f>
        <v/>
      </c>
      <c r="R84" s="7" t="str">
        <f>IF($AK84="","",IF($AK84=0,"",IF(INDEX(LookupData!R:R,$AK84)="","",INDEX(LookupData!R:R,$AK84))))</f>
        <v/>
      </c>
      <c r="S84" s="7" t="str">
        <f>IF($AK84="","",IF($AK84=0,"",IF(INDEX(LookupData!S:S,$AK84)="","",INDEX(LookupData!S:S,$AK84))))</f>
        <v/>
      </c>
      <c r="T84" s="7" t="str">
        <f>IF($AK84="","",IF($AK84=0,"",IF(INDEX(LookupData!T:T,$AK84)="","",INDEX(LookupData!T:T,$AK84))))</f>
        <v/>
      </c>
      <c r="U84" s="7" t="str">
        <f>IF($AK84="","",IF($AK84=0,"",IF(INDEX(LookupData!U:U,$AK84)="","",INDEX(LookupData!U:U,$AK84))))</f>
        <v/>
      </c>
      <c r="V84" s="7" t="str">
        <f>IF($AK84="","",IF($AK84=0,"",IF(INDEX(LookupData!V:V,$AK84)="","",INDEX(LookupData!V:V,$AK84))))</f>
        <v/>
      </c>
      <c r="W84" t="str">
        <f>IF($AK84="","",IF($AK84=0,"",IF(INDEX(LookupData!W:W,$AK84)="","",INDEX(LookupData!W:W,$AK84))))</f>
        <v/>
      </c>
      <c r="X84" s="7" t="str">
        <f>IF($AK84="","",IF($AK84=0,"",IF(INDEX(LookupData!X:X,$AK84)="","",INDEX(LookupData!X:X,$AK84))))</f>
        <v/>
      </c>
      <c r="Y84" s="7" t="str">
        <f>IF($AK84="","",IF($AK84=0,"",IF(INDEX(LookupData!Y:Y,$AK84)="","",INDEX(LookupData!Y:Y,$AK84))))</f>
        <v/>
      </c>
      <c r="Z84" s="7" t="str">
        <f>IF($AK84="","",IF($AK84=0,"",IF(INDEX(LookupData!Z:Z,$AK84)="","",INDEX(LookupData!Z:Z,$AK84))))</f>
        <v/>
      </c>
      <c r="AA84" s="7" t="str">
        <f>IF($AK84="","",IF($AK84=0,"",IF(INDEX(LookupData!AA:AA,$AK84)="","",INDEX(LookupData!AA:AA,$AK84))))</f>
        <v/>
      </c>
      <c r="AB84" s="7" t="str">
        <f>IF($AK84="","",IF($AK84=0,"",IF(INDEX(LookupData!AB:AB,$AK84)="","",INDEX(LookupData!AB:AB,$AK84))))</f>
        <v/>
      </c>
      <c r="AC84" s="7" t="str">
        <f>IF($AK84="","",IF($AK84=0,"",IF(INDEX(LookupData!AC:AC,$AK84)="","",INDEX(LookupData!AC:AC,$AK84))))</f>
        <v/>
      </c>
      <c r="AD84" s="7" t="str">
        <f>IF($AK84="","",IF($AK84=0,"",IF(INDEX(LookupData!AD:AD,$AK84)="","",INDEX(LookupData!AD:AD,$AK84))))</f>
        <v/>
      </c>
      <c r="AE84" s="7" t="str">
        <f>IF($AK84="","",IF($AK84=0,"",IF(INDEX(LookupData!AE:AE,$AK84)="","",INDEX(LookupData!AE:AE,$AK84))))</f>
        <v/>
      </c>
      <c r="AF84" t="str">
        <f>IF($AK84="","",IF($AK84=0,"",IF(INDEX(LookupData!AF:AF,$AK84)="","",INDEX(LookupData!AF:AF,$AK84))))</f>
        <v/>
      </c>
      <c r="AG84" t="str">
        <f>IF($AK84="","",IF($AK84=0,"",IF(INDEX(LookupData!AG:AG,$AK84)="","",INDEX(LookupData!AG:AG,$AK84))))</f>
        <v/>
      </c>
      <c r="AH84" s="11" t="str">
        <f>IF($AK84="","",IF($AK84=0,"",IF(INDEX(LookupData!AH:AH,$AK84)="","",INDEX(LookupData!AH:AH,$AK84))))</f>
        <v/>
      </c>
      <c r="AI84" s="12" t="str">
        <f>IF($AK84="","",IF($AK84=0,"",IF(INDEX(LookupData!AI:AI,$AK84)="","",HYPERLINK(INDEX(LookupData!AI:AI,$AK84),"Open"))))</f>
        <v/>
      </c>
      <c r="AK84" t="str">
        <f>IF(AL84="","",IFERROR(MATCH(AL84,LookupData!$A:$A,0),0))</f>
        <v/>
      </c>
      <c r="AL84" t="str">
        <f t="shared" si="4"/>
        <v/>
      </c>
      <c r="AM84" t="str">
        <f t="shared" si="5"/>
        <v/>
      </c>
    </row>
    <row r="85" spans="1:39" x14ac:dyDescent="0.2">
      <c r="A85" s="9"/>
      <c r="B85" s="10" t="str">
        <f>IF($AK85="","",IF($AK85=0,"not in the database",IF(INDEX(LookupData!B:B,$AK85)="","",INDEX(LookupData!B:B,$AK85))))</f>
        <v/>
      </c>
      <c r="C85" t="str">
        <f>IF($AK85="","",IF($AK85=0,"",IF(INDEX(LookupData!C:C,$AK85)="","",INDEX(LookupData!C:C,$AK85))))</f>
        <v/>
      </c>
      <c r="D85" t="str">
        <f>IF($AK85="","",IF($AK85=0,"",IF(INDEX(LookupData!D:D,$AK85)="","",INDEX(LookupData!D:D,$AK85))))</f>
        <v/>
      </c>
      <c r="E85" t="str">
        <f>IF($AK85="","",IF($AK85=0,"",IF(INDEX(LookupData!E:E,$AK85)="","",INDEX(LookupData!E:E,$AK85))))</f>
        <v/>
      </c>
      <c r="F85" t="str">
        <f>IF($AK85="","",IF($AK85=0,"",IF(INDEX(LookupData!F:F,$AK85)="","",INDEX(LookupData!F:F,$AK85))))</f>
        <v/>
      </c>
      <c r="G85" t="str">
        <f>IF($AK85="","",IF($AK85=0,"",IF(INDEX(LookupData!G:G,$AK85)="","",INDEX(LookupData!G:G,$AK85))))</f>
        <v/>
      </c>
      <c r="H85" t="str">
        <f>IF($AK85="","",IF($AK85=0,"",IF(INDEX(LookupData!H:H,$AK85)="","",INDEX(LookupData!H:H,$AK85))))</f>
        <v/>
      </c>
      <c r="I85" s="7" t="str">
        <f>IF($AK85="","",IF($AK85=0,"",IF(INDEX(LookupData!I:I,$AK85)="","",INDEX(LookupData!I:I,$AK85))))</f>
        <v/>
      </c>
      <c r="J85" s="7" t="str">
        <f>IF($AK85="","",IF($AK85=0,"",IF(INDEX(LookupData!J:J,$AK85)="","",INDEX(LookupData!J:J,$AK85))))</f>
        <v/>
      </c>
      <c r="K85" s="7" t="str">
        <f>IF($AK85="","",IF($AK85=0,"",IF(INDEX(LookupData!K:K,$AK85)="","",INDEX(LookupData!K:K,$AK85))))</f>
        <v/>
      </c>
      <c r="L85" s="7" t="str">
        <f>IF($AK85="","",IF($AK85=0,"",IF(INDEX(LookupData!L:L,$AK85)="","",INDEX(LookupData!L:L,$AK85))))</f>
        <v/>
      </c>
      <c r="M85" s="7" t="str">
        <f>IF($AK85="","",IF($AK85=0,"",IF(INDEX(LookupData!M:M,$AK85)="","",INDEX(LookupData!M:M,$AK85))))</f>
        <v/>
      </c>
      <c r="N85" s="7" t="str">
        <f>IF($AK85="","",IF($AK85=0,"",IF(INDEX(LookupData!N:N,$AK85)="","",INDEX(LookupData!N:N,$AK85))))</f>
        <v/>
      </c>
      <c r="O85" s="7" t="str">
        <f>IF($AK85="","",IF($AK85=0,"",IF(INDEX(LookupData!O:O,$AK85)="","",INDEX(LookupData!O:O,$AK85))))</f>
        <v/>
      </c>
      <c r="P85" s="7" t="str">
        <f>IF($AK85="","",IF($AK85=0,"",IF(INDEX(LookupData!P:P,$AK85)="","",INDEX(LookupData!P:P,$AK85))))</f>
        <v/>
      </c>
      <c r="Q85" s="7" t="str">
        <f>IF($AK85="","",IF($AK85=0,"",IF(INDEX(LookupData!Q:Q,$AK85)="","",INDEX(LookupData!Q:Q,$AK85))))</f>
        <v/>
      </c>
      <c r="R85" s="7" t="str">
        <f>IF($AK85="","",IF($AK85=0,"",IF(INDEX(LookupData!R:R,$AK85)="","",INDEX(LookupData!R:R,$AK85))))</f>
        <v/>
      </c>
      <c r="S85" s="7" t="str">
        <f>IF($AK85="","",IF($AK85=0,"",IF(INDEX(LookupData!S:S,$AK85)="","",INDEX(LookupData!S:S,$AK85))))</f>
        <v/>
      </c>
      <c r="T85" s="7" t="str">
        <f>IF($AK85="","",IF($AK85=0,"",IF(INDEX(LookupData!T:T,$AK85)="","",INDEX(LookupData!T:T,$AK85))))</f>
        <v/>
      </c>
      <c r="U85" s="7" t="str">
        <f>IF($AK85="","",IF($AK85=0,"",IF(INDEX(LookupData!U:U,$AK85)="","",INDEX(LookupData!U:U,$AK85))))</f>
        <v/>
      </c>
      <c r="V85" s="7" t="str">
        <f>IF($AK85="","",IF($AK85=0,"",IF(INDEX(LookupData!V:V,$AK85)="","",INDEX(LookupData!V:V,$AK85))))</f>
        <v/>
      </c>
      <c r="W85" t="str">
        <f>IF($AK85="","",IF($AK85=0,"",IF(INDEX(LookupData!W:W,$AK85)="","",INDEX(LookupData!W:W,$AK85))))</f>
        <v/>
      </c>
      <c r="X85" s="7" t="str">
        <f>IF($AK85="","",IF($AK85=0,"",IF(INDEX(LookupData!X:X,$AK85)="","",INDEX(LookupData!X:X,$AK85))))</f>
        <v/>
      </c>
      <c r="Y85" s="7" t="str">
        <f>IF($AK85="","",IF($AK85=0,"",IF(INDEX(LookupData!Y:Y,$AK85)="","",INDEX(LookupData!Y:Y,$AK85))))</f>
        <v/>
      </c>
      <c r="Z85" s="7" t="str">
        <f>IF($AK85="","",IF($AK85=0,"",IF(INDEX(LookupData!Z:Z,$AK85)="","",INDEX(LookupData!Z:Z,$AK85))))</f>
        <v/>
      </c>
      <c r="AA85" s="7" t="str">
        <f>IF($AK85="","",IF($AK85=0,"",IF(INDEX(LookupData!AA:AA,$AK85)="","",INDEX(LookupData!AA:AA,$AK85))))</f>
        <v/>
      </c>
      <c r="AB85" s="7" t="str">
        <f>IF($AK85="","",IF($AK85=0,"",IF(INDEX(LookupData!AB:AB,$AK85)="","",INDEX(LookupData!AB:AB,$AK85))))</f>
        <v/>
      </c>
      <c r="AC85" s="7" t="str">
        <f>IF($AK85="","",IF($AK85=0,"",IF(INDEX(LookupData!AC:AC,$AK85)="","",INDEX(LookupData!AC:AC,$AK85))))</f>
        <v/>
      </c>
      <c r="AD85" s="7" t="str">
        <f>IF($AK85="","",IF($AK85=0,"",IF(INDEX(LookupData!AD:AD,$AK85)="","",INDEX(LookupData!AD:AD,$AK85))))</f>
        <v/>
      </c>
      <c r="AE85" s="7" t="str">
        <f>IF($AK85="","",IF($AK85=0,"",IF(INDEX(LookupData!AE:AE,$AK85)="","",INDEX(LookupData!AE:AE,$AK85))))</f>
        <v/>
      </c>
      <c r="AF85" t="str">
        <f>IF($AK85="","",IF($AK85=0,"",IF(INDEX(LookupData!AF:AF,$AK85)="","",INDEX(LookupData!AF:AF,$AK85))))</f>
        <v/>
      </c>
      <c r="AG85" t="str">
        <f>IF($AK85="","",IF($AK85=0,"",IF(INDEX(LookupData!AG:AG,$AK85)="","",INDEX(LookupData!AG:AG,$AK85))))</f>
        <v/>
      </c>
      <c r="AH85" s="11" t="str">
        <f>IF($AK85="","",IF($AK85=0,"",IF(INDEX(LookupData!AH:AH,$AK85)="","",INDEX(LookupData!AH:AH,$AK85))))</f>
        <v/>
      </c>
      <c r="AI85" s="12" t="str">
        <f>IF($AK85="","",IF($AK85=0,"",IF(INDEX(LookupData!AI:AI,$AK85)="","",HYPERLINK(INDEX(LookupData!AI:AI,$AK85),"Open"))))</f>
        <v/>
      </c>
      <c r="AK85" t="str">
        <f>IF(AL85="","",IFERROR(MATCH(AL85,LookupData!$A:$A,0),0))</f>
        <v/>
      </c>
      <c r="AL85" t="str">
        <f t="shared" si="4"/>
        <v/>
      </c>
      <c r="AM85" t="str">
        <f t="shared" si="5"/>
        <v/>
      </c>
    </row>
    <row r="86" spans="1:39" x14ac:dyDescent="0.2">
      <c r="A86" s="9"/>
      <c r="B86" s="10" t="str">
        <f>IF($AK86="","",IF($AK86=0,"not in the database",IF(INDEX(LookupData!B:B,$AK86)="","",INDEX(LookupData!B:B,$AK86))))</f>
        <v/>
      </c>
      <c r="C86" t="str">
        <f>IF($AK86="","",IF($AK86=0,"",IF(INDEX(LookupData!C:C,$AK86)="","",INDEX(LookupData!C:C,$AK86))))</f>
        <v/>
      </c>
      <c r="D86" t="str">
        <f>IF($AK86="","",IF($AK86=0,"",IF(INDEX(LookupData!D:D,$AK86)="","",INDEX(LookupData!D:D,$AK86))))</f>
        <v/>
      </c>
      <c r="E86" t="str">
        <f>IF($AK86="","",IF($AK86=0,"",IF(INDEX(LookupData!E:E,$AK86)="","",INDEX(LookupData!E:E,$AK86))))</f>
        <v/>
      </c>
      <c r="F86" t="str">
        <f>IF($AK86="","",IF($AK86=0,"",IF(INDEX(LookupData!F:F,$AK86)="","",INDEX(LookupData!F:F,$AK86))))</f>
        <v/>
      </c>
      <c r="G86" t="str">
        <f>IF($AK86="","",IF($AK86=0,"",IF(INDEX(LookupData!G:G,$AK86)="","",INDEX(LookupData!G:G,$AK86))))</f>
        <v/>
      </c>
      <c r="H86" t="str">
        <f>IF($AK86="","",IF($AK86=0,"",IF(INDEX(LookupData!H:H,$AK86)="","",INDEX(LookupData!H:H,$AK86))))</f>
        <v/>
      </c>
      <c r="I86" s="7" t="str">
        <f>IF($AK86="","",IF($AK86=0,"",IF(INDEX(LookupData!I:I,$AK86)="","",INDEX(LookupData!I:I,$AK86))))</f>
        <v/>
      </c>
      <c r="J86" s="7" t="str">
        <f>IF($AK86="","",IF($AK86=0,"",IF(INDEX(LookupData!J:J,$AK86)="","",INDEX(LookupData!J:J,$AK86))))</f>
        <v/>
      </c>
      <c r="K86" s="7" t="str">
        <f>IF($AK86="","",IF($AK86=0,"",IF(INDEX(LookupData!K:K,$AK86)="","",INDEX(LookupData!K:K,$AK86))))</f>
        <v/>
      </c>
      <c r="L86" s="7" t="str">
        <f>IF($AK86="","",IF($AK86=0,"",IF(INDEX(LookupData!L:L,$AK86)="","",INDEX(LookupData!L:L,$AK86))))</f>
        <v/>
      </c>
      <c r="M86" s="7" t="str">
        <f>IF($AK86="","",IF($AK86=0,"",IF(INDEX(LookupData!M:M,$AK86)="","",INDEX(LookupData!M:M,$AK86))))</f>
        <v/>
      </c>
      <c r="N86" s="7" t="str">
        <f>IF($AK86="","",IF($AK86=0,"",IF(INDEX(LookupData!N:N,$AK86)="","",INDEX(LookupData!N:N,$AK86))))</f>
        <v/>
      </c>
      <c r="O86" s="7" t="str">
        <f>IF($AK86="","",IF($AK86=0,"",IF(INDEX(LookupData!O:O,$AK86)="","",INDEX(LookupData!O:O,$AK86))))</f>
        <v/>
      </c>
      <c r="P86" s="7" t="str">
        <f>IF($AK86="","",IF($AK86=0,"",IF(INDEX(LookupData!P:P,$AK86)="","",INDEX(LookupData!P:P,$AK86))))</f>
        <v/>
      </c>
      <c r="Q86" s="7" t="str">
        <f>IF($AK86="","",IF($AK86=0,"",IF(INDEX(LookupData!Q:Q,$AK86)="","",INDEX(LookupData!Q:Q,$AK86))))</f>
        <v/>
      </c>
      <c r="R86" s="7" t="str">
        <f>IF($AK86="","",IF($AK86=0,"",IF(INDEX(LookupData!R:R,$AK86)="","",INDEX(LookupData!R:R,$AK86))))</f>
        <v/>
      </c>
      <c r="S86" s="7" t="str">
        <f>IF($AK86="","",IF($AK86=0,"",IF(INDEX(LookupData!S:S,$AK86)="","",INDEX(LookupData!S:S,$AK86))))</f>
        <v/>
      </c>
      <c r="T86" s="7" t="str">
        <f>IF($AK86="","",IF($AK86=0,"",IF(INDEX(LookupData!T:T,$AK86)="","",INDEX(LookupData!T:T,$AK86))))</f>
        <v/>
      </c>
      <c r="U86" s="7" t="str">
        <f>IF($AK86="","",IF($AK86=0,"",IF(INDEX(LookupData!U:U,$AK86)="","",INDEX(LookupData!U:U,$AK86))))</f>
        <v/>
      </c>
      <c r="V86" s="7" t="str">
        <f>IF($AK86="","",IF($AK86=0,"",IF(INDEX(LookupData!V:V,$AK86)="","",INDEX(LookupData!V:V,$AK86))))</f>
        <v/>
      </c>
      <c r="W86" t="str">
        <f>IF($AK86="","",IF($AK86=0,"",IF(INDEX(LookupData!W:W,$AK86)="","",INDEX(LookupData!W:W,$AK86))))</f>
        <v/>
      </c>
      <c r="X86" s="7" t="str">
        <f>IF($AK86="","",IF($AK86=0,"",IF(INDEX(LookupData!X:X,$AK86)="","",INDEX(LookupData!X:X,$AK86))))</f>
        <v/>
      </c>
      <c r="Y86" s="7" t="str">
        <f>IF($AK86="","",IF($AK86=0,"",IF(INDEX(LookupData!Y:Y,$AK86)="","",INDEX(LookupData!Y:Y,$AK86))))</f>
        <v/>
      </c>
      <c r="Z86" s="7" t="str">
        <f>IF($AK86="","",IF($AK86=0,"",IF(INDEX(LookupData!Z:Z,$AK86)="","",INDEX(LookupData!Z:Z,$AK86))))</f>
        <v/>
      </c>
      <c r="AA86" s="7" t="str">
        <f>IF($AK86="","",IF($AK86=0,"",IF(INDEX(LookupData!AA:AA,$AK86)="","",INDEX(LookupData!AA:AA,$AK86))))</f>
        <v/>
      </c>
      <c r="AB86" s="7" t="str">
        <f>IF($AK86="","",IF($AK86=0,"",IF(INDEX(LookupData!AB:AB,$AK86)="","",INDEX(LookupData!AB:AB,$AK86))))</f>
        <v/>
      </c>
      <c r="AC86" s="7" t="str">
        <f>IF($AK86="","",IF($AK86=0,"",IF(INDEX(LookupData!AC:AC,$AK86)="","",INDEX(LookupData!AC:AC,$AK86))))</f>
        <v/>
      </c>
      <c r="AD86" s="7" t="str">
        <f>IF($AK86="","",IF($AK86=0,"",IF(INDEX(LookupData!AD:AD,$AK86)="","",INDEX(LookupData!AD:AD,$AK86))))</f>
        <v/>
      </c>
      <c r="AE86" s="7" t="str">
        <f>IF($AK86="","",IF($AK86=0,"",IF(INDEX(LookupData!AE:AE,$AK86)="","",INDEX(LookupData!AE:AE,$AK86))))</f>
        <v/>
      </c>
      <c r="AF86" t="str">
        <f>IF($AK86="","",IF($AK86=0,"",IF(INDEX(LookupData!AF:AF,$AK86)="","",INDEX(LookupData!AF:AF,$AK86))))</f>
        <v/>
      </c>
      <c r="AG86" t="str">
        <f>IF($AK86="","",IF($AK86=0,"",IF(INDEX(LookupData!AG:AG,$AK86)="","",INDEX(LookupData!AG:AG,$AK86))))</f>
        <v/>
      </c>
      <c r="AH86" s="11" t="str">
        <f>IF($AK86="","",IF($AK86=0,"",IF(INDEX(LookupData!AH:AH,$AK86)="","",INDEX(LookupData!AH:AH,$AK86))))</f>
        <v/>
      </c>
      <c r="AI86" s="12" t="str">
        <f>IF($AK86="","",IF($AK86=0,"",IF(INDEX(LookupData!AI:AI,$AK86)="","",HYPERLINK(INDEX(LookupData!AI:AI,$AK86),"Open"))))</f>
        <v/>
      </c>
      <c r="AK86" t="str">
        <f>IF(AL86="","",IFERROR(MATCH(AL86,LookupData!$A:$A,0),0))</f>
        <v/>
      </c>
      <c r="AL86" t="str">
        <f t="shared" si="4"/>
        <v/>
      </c>
      <c r="AM86" t="str">
        <f t="shared" si="5"/>
        <v/>
      </c>
    </row>
    <row r="87" spans="1:39" x14ac:dyDescent="0.2">
      <c r="A87" s="9"/>
      <c r="B87" s="10" t="str">
        <f>IF($AK87="","",IF($AK87=0,"not in the database",IF(INDEX(LookupData!B:B,$AK87)="","",INDEX(LookupData!B:B,$AK87))))</f>
        <v/>
      </c>
      <c r="C87" t="str">
        <f>IF($AK87="","",IF($AK87=0,"",IF(INDEX(LookupData!C:C,$AK87)="","",INDEX(LookupData!C:C,$AK87))))</f>
        <v/>
      </c>
      <c r="D87" t="str">
        <f>IF($AK87="","",IF($AK87=0,"",IF(INDEX(LookupData!D:D,$AK87)="","",INDEX(LookupData!D:D,$AK87))))</f>
        <v/>
      </c>
      <c r="E87" t="str">
        <f>IF($AK87="","",IF($AK87=0,"",IF(INDEX(LookupData!E:E,$AK87)="","",INDEX(LookupData!E:E,$AK87))))</f>
        <v/>
      </c>
      <c r="F87" t="str">
        <f>IF($AK87="","",IF($AK87=0,"",IF(INDEX(LookupData!F:F,$AK87)="","",INDEX(LookupData!F:F,$AK87))))</f>
        <v/>
      </c>
      <c r="G87" t="str">
        <f>IF($AK87="","",IF($AK87=0,"",IF(INDEX(LookupData!G:G,$AK87)="","",INDEX(LookupData!G:G,$AK87))))</f>
        <v/>
      </c>
      <c r="H87" t="str">
        <f>IF($AK87="","",IF($AK87=0,"",IF(INDEX(LookupData!H:H,$AK87)="","",INDEX(LookupData!H:H,$AK87))))</f>
        <v/>
      </c>
      <c r="I87" s="7" t="str">
        <f>IF($AK87="","",IF($AK87=0,"",IF(INDEX(LookupData!I:I,$AK87)="","",INDEX(LookupData!I:I,$AK87))))</f>
        <v/>
      </c>
      <c r="J87" s="7" t="str">
        <f>IF($AK87="","",IF($AK87=0,"",IF(INDEX(LookupData!J:J,$AK87)="","",INDEX(LookupData!J:J,$AK87))))</f>
        <v/>
      </c>
      <c r="K87" s="7" t="str">
        <f>IF($AK87="","",IF($AK87=0,"",IF(INDEX(LookupData!K:K,$AK87)="","",INDEX(LookupData!K:K,$AK87))))</f>
        <v/>
      </c>
      <c r="L87" s="7" t="str">
        <f>IF($AK87="","",IF($AK87=0,"",IF(INDEX(LookupData!L:L,$AK87)="","",INDEX(LookupData!L:L,$AK87))))</f>
        <v/>
      </c>
      <c r="M87" s="7" t="str">
        <f>IF($AK87="","",IF($AK87=0,"",IF(INDEX(LookupData!M:M,$AK87)="","",INDEX(LookupData!M:M,$AK87))))</f>
        <v/>
      </c>
      <c r="N87" s="7" t="str">
        <f>IF($AK87="","",IF($AK87=0,"",IF(INDEX(LookupData!N:N,$AK87)="","",INDEX(LookupData!N:N,$AK87))))</f>
        <v/>
      </c>
      <c r="O87" s="7" t="str">
        <f>IF($AK87="","",IF($AK87=0,"",IF(INDEX(LookupData!O:O,$AK87)="","",INDEX(LookupData!O:O,$AK87))))</f>
        <v/>
      </c>
      <c r="P87" s="7" t="str">
        <f>IF($AK87="","",IF($AK87=0,"",IF(INDEX(LookupData!P:P,$AK87)="","",INDEX(LookupData!P:P,$AK87))))</f>
        <v/>
      </c>
      <c r="Q87" s="7" t="str">
        <f>IF($AK87="","",IF($AK87=0,"",IF(INDEX(LookupData!Q:Q,$AK87)="","",INDEX(LookupData!Q:Q,$AK87))))</f>
        <v/>
      </c>
      <c r="R87" s="7" t="str">
        <f>IF($AK87="","",IF($AK87=0,"",IF(INDEX(LookupData!R:R,$AK87)="","",INDEX(LookupData!R:R,$AK87))))</f>
        <v/>
      </c>
      <c r="S87" s="7" t="str">
        <f>IF($AK87="","",IF($AK87=0,"",IF(INDEX(LookupData!S:S,$AK87)="","",INDEX(LookupData!S:S,$AK87))))</f>
        <v/>
      </c>
      <c r="T87" s="7" t="str">
        <f>IF($AK87="","",IF($AK87=0,"",IF(INDEX(LookupData!T:T,$AK87)="","",INDEX(LookupData!T:T,$AK87))))</f>
        <v/>
      </c>
      <c r="U87" s="7" t="str">
        <f>IF($AK87="","",IF($AK87=0,"",IF(INDEX(LookupData!U:U,$AK87)="","",INDEX(LookupData!U:U,$AK87))))</f>
        <v/>
      </c>
      <c r="V87" s="7" t="str">
        <f>IF($AK87="","",IF($AK87=0,"",IF(INDEX(LookupData!V:V,$AK87)="","",INDEX(LookupData!V:V,$AK87))))</f>
        <v/>
      </c>
      <c r="W87" t="str">
        <f>IF($AK87="","",IF($AK87=0,"",IF(INDEX(LookupData!W:W,$AK87)="","",INDEX(LookupData!W:W,$AK87))))</f>
        <v/>
      </c>
      <c r="X87" s="7" t="str">
        <f>IF($AK87="","",IF($AK87=0,"",IF(INDEX(LookupData!X:X,$AK87)="","",INDEX(LookupData!X:X,$AK87))))</f>
        <v/>
      </c>
      <c r="Y87" s="7" t="str">
        <f>IF($AK87="","",IF($AK87=0,"",IF(INDEX(LookupData!Y:Y,$AK87)="","",INDEX(LookupData!Y:Y,$AK87))))</f>
        <v/>
      </c>
      <c r="Z87" s="7" t="str">
        <f>IF($AK87="","",IF($AK87=0,"",IF(INDEX(LookupData!Z:Z,$AK87)="","",INDEX(LookupData!Z:Z,$AK87))))</f>
        <v/>
      </c>
      <c r="AA87" s="7" t="str">
        <f>IF($AK87="","",IF($AK87=0,"",IF(INDEX(LookupData!AA:AA,$AK87)="","",INDEX(LookupData!AA:AA,$AK87))))</f>
        <v/>
      </c>
      <c r="AB87" s="7" t="str">
        <f>IF($AK87="","",IF($AK87=0,"",IF(INDEX(LookupData!AB:AB,$AK87)="","",INDEX(LookupData!AB:AB,$AK87))))</f>
        <v/>
      </c>
      <c r="AC87" s="7" t="str">
        <f>IF($AK87="","",IF($AK87=0,"",IF(INDEX(LookupData!AC:AC,$AK87)="","",INDEX(LookupData!AC:AC,$AK87))))</f>
        <v/>
      </c>
      <c r="AD87" s="7" t="str">
        <f>IF($AK87="","",IF($AK87=0,"",IF(INDEX(LookupData!AD:AD,$AK87)="","",INDEX(LookupData!AD:AD,$AK87))))</f>
        <v/>
      </c>
      <c r="AE87" s="7" t="str">
        <f>IF($AK87="","",IF($AK87=0,"",IF(INDEX(LookupData!AE:AE,$AK87)="","",INDEX(LookupData!AE:AE,$AK87))))</f>
        <v/>
      </c>
      <c r="AF87" t="str">
        <f>IF($AK87="","",IF($AK87=0,"",IF(INDEX(LookupData!AF:AF,$AK87)="","",INDEX(LookupData!AF:AF,$AK87))))</f>
        <v/>
      </c>
      <c r="AG87" t="str">
        <f>IF($AK87="","",IF($AK87=0,"",IF(INDEX(LookupData!AG:AG,$AK87)="","",INDEX(LookupData!AG:AG,$AK87))))</f>
        <v/>
      </c>
      <c r="AH87" s="11" t="str">
        <f>IF($AK87="","",IF($AK87=0,"",IF(INDEX(LookupData!AH:AH,$AK87)="","",INDEX(LookupData!AH:AH,$AK87))))</f>
        <v/>
      </c>
      <c r="AI87" s="12" t="str">
        <f>IF($AK87="","",IF($AK87=0,"",IF(INDEX(LookupData!AI:AI,$AK87)="","",HYPERLINK(INDEX(LookupData!AI:AI,$AK87),"Open"))))</f>
        <v/>
      </c>
      <c r="AK87" t="str">
        <f>IF(AL87="","",IFERROR(MATCH(AL87,LookupData!$A:$A,0),0))</f>
        <v/>
      </c>
      <c r="AL87" t="str">
        <f t="shared" si="4"/>
        <v/>
      </c>
      <c r="AM87" t="str">
        <f t="shared" si="5"/>
        <v/>
      </c>
    </row>
    <row r="88" spans="1:39" x14ac:dyDescent="0.2">
      <c r="A88" s="9"/>
      <c r="B88" s="10" t="str">
        <f>IF($AK88="","",IF($AK88=0,"not in the database",IF(INDEX(LookupData!B:B,$AK88)="","",INDEX(LookupData!B:B,$AK88))))</f>
        <v/>
      </c>
      <c r="C88" t="str">
        <f>IF($AK88="","",IF($AK88=0,"",IF(INDEX(LookupData!C:C,$AK88)="","",INDEX(LookupData!C:C,$AK88))))</f>
        <v/>
      </c>
      <c r="D88" t="str">
        <f>IF($AK88="","",IF($AK88=0,"",IF(INDEX(LookupData!D:D,$AK88)="","",INDEX(LookupData!D:D,$AK88))))</f>
        <v/>
      </c>
      <c r="E88" t="str">
        <f>IF($AK88="","",IF($AK88=0,"",IF(INDEX(LookupData!E:E,$AK88)="","",INDEX(LookupData!E:E,$AK88))))</f>
        <v/>
      </c>
      <c r="F88" t="str">
        <f>IF($AK88="","",IF($AK88=0,"",IF(INDEX(LookupData!F:F,$AK88)="","",INDEX(LookupData!F:F,$AK88))))</f>
        <v/>
      </c>
      <c r="G88" t="str">
        <f>IF($AK88="","",IF($AK88=0,"",IF(INDEX(LookupData!G:G,$AK88)="","",INDEX(LookupData!G:G,$AK88))))</f>
        <v/>
      </c>
      <c r="H88" t="str">
        <f>IF($AK88="","",IF($AK88=0,"",IF(INDEX(LookupData!H:H,$AK88)="","",INDEX(LookupData!H:H,$AK88))))</f>
        <v/>
      </c>
      <c r="I88" s="7" t="str">
        <f>IF($AK88="","",IF($AK88=0,"",IF(INDEX(LookupData!I:I,$AK88)="","",INDEX(LookupData!I:I,$AK88))))</f>
        <v/>
      </c>
      <c r="J88" s="7" t="str">
        <f>IF($AK88="","",IF($AK88=0,"",IF(INDEX(LookupData!J:J,$AK88)="","",INDEX(LookupData!J:J,$AK88))))</f>
        <v/>
      </c>
      <c r="K88" s="7" t="str">
        <f>IF($AK88="","",IF($AK88=0,"",IF(INDEX(LookupData!K:K,$AK88)="","",INDEX(LookupData!K:K,$AK88))))</f>
        <v/>
      </c>
      <c r="L88" s="7" t="str">
        <f>IF($AK88="","",IF($AK88=0,"",IF(INDEX(LookupData!L:L,$AK88)="","",INDEX(LookupData!L:L,$AK88))))</f>
        <v/>
      </c>
      <c r="M88" s="7" t="str">
        <f>IF($AK88="","",IF($AK88=0,"",IF(INDEX(LookupData!M:M,$AK88)="","",INDEX(LookupData!M:M,$AK88))))</f>
        <v/>
      </c>
      <c r="N88" s="7" t="str">
        <f>IF($AK88="","",IF($AK88=0,"",IF(INDEX(LookupData!N:N,$AK88)="","",INDEX(LookupData!N:N,$AK88))))</f>
        <v/>
      </c>
      <c r="O88" s="7" t="str">
        <f>IF($AK88="","",IF($AK88=0,"",IF(INDEX(LookupData!O:O,$AK88)="","",INDEX(LookupData!O:O,$AK88))))</f>
        <v/>
      </c>
      <c r="P88" s="7" t="str">
        <f>IF($AK88="","",IF($AK88=0,"",IF(INDEX(LookupData!P:P,$AK88)="","",INDEX(LookupData!P:P,$AK88))))</f>
        <v/>
      </c>
      <c r="Q88" s="7" t="str">
        <f>IF($AK88="","",IF($AK88=0,"",IF(INDEX(LookupData!Q:Q,$AK88)="","",INDEX(LookupData!Q:Q,$AK88))))</f>
        <v/>
      </c>
      <c r="R88" s="7" t="str">
        <f>IF($AK88="","",IF($AK88=0,"",IF(INDEX(LookupData!R:R,$AK88)="","",INDEX(LookupData!R:R,$AK88))))</f>
        <v/>
      </c>
      <c r="S88" s="7" t="str">
        <f>IF($AK88="","",IF($AK88=0,"",IF(INDEX(LookupData!S:S,$AK88)="","",INDEX(LookupData!S:S,$AK88))))</f>
        <v/>
      </c>
      <c r="T88" s="7" t="str">
        <f>IF($AK88="","",IF($AK88=0,"",IF(INDEX(LookupData!T:T,$AK88)="","",INDEX(LookupData!T:T,$AK88))))</f>
        <v/>
      </c>
      <c r="U88" s="7" t="str">
        <f>IF($AK88="","",IF($AK88=0,"",IF(INDEX(LookupData!U:U,$AK88)="","",INDEX(LookupData!U:U,$AK88))))</f>
        <v/>
      </c>
      <c r="V88" s="7" t="str">
        <f>IF($AK88="","",IF($AK88=0,"",IF(INDEX(LookupData!V:V,$AK88)="","",INDEX(LookupData!V:V,$AK88))))</f>
        <v/>
      </c>
      <c r="W88" t="str">
        <f>IF($AK88="","",IF($AK88=0,"",IF(INDEX(LookupData!W:W,$AK88)="","",INDEX(LookupData!W:W,$AK88))))</f>
        <v/>
      </c>
      <c r="X88" s="7" t="str">
        <f>IF($AK88="","",IF($AK88=0,"",IF(INDEX(LookupData!X:X,$AK88)="","",INDEX(LookupData!X:X,$AK88))))</f>
        <v/>
      </c>
      <c r="Y88" s="7" t="str">
        <f>IF($AK88="","",IF($AK88=0,"",IF(INDEX(LookupData!Y:Y,$AK88)="","",INDEX(LookupData!Y:Y,$AK88))))</f>
        <v/>
      </c>
      <c r="Z88" s="7" t="str">
        <f>IF($AK88="","",IF($AK88=0,"",IF(INDEX(LookupData!Z:Z,$AK88)="","",INDEX(LookupData!Z:Z,$AK88))))</f>
        <v/>
      </c>
      <c r="AA88" s="7" t="str">
        <f>IF($AK88="","",IF($AK88=0,"",IF(INDEX(LookupData!AA:AA,$AK88)="","",INDEX(LookupData!AA:AA,$AK88))))</f>
        <v/>
      </c>
      <c r="AB88" s="7" t="str">
        <f>IF($AK88="","",IF($AK88=0,"",IF(INDEX(LookupData!AB:AB,$AK88)="","",INDEX(LookupData!AB:AB,$AK88))))</f>
        <v/>
      </c>
      <c r="AC88" s="7" t="str">
        <f>IF($AK88="","",IF($AK88=0,"",IF(INDEX(LookupData!AC:AC,$AK88)="","",INDEX(LookupData!AC:AC,$AK88))))</f>
        <v/>
      </c>
      <c r="AD88" s="7" t="str">
        <f>IF($AK88="","",IF($AK88=0,"",IF(INDEX(LookupData!AD:AD,$AK88)="","",INDEX(LookupData!AD:AD,$AK88))))</f>
        <v/>
      </c>
      <c r="AE88" s="7" t="str">
        <f>IF($AK88="","",IF($AK88=0,"",IF(INDEX(LookupData!AE:AE,$AK88)="","",INDEX(LookupData!AE:AE,$AK88))))</f>
        <v/>
      </c>
      <c r="AF88" t="str">
        <f>IF($AK88="","",IF($AK88=0,"",IF(INDEX(LookupData!AF:AF,$AK88)="","",INDEX(LookupData!AF:AF,$AK88))))</f>
        <v/>
      </c>
      <c r="AG88" t="str">
        <f>IF($AK88="","",IF($AK88=0,"",IF(INDEX(LookupData!AG:AG,$AK88)="","",INDEX(LookupData!AG:AG,$AK88))))</f>
        <v/>
      </c>
      <c r="AH88" s="11" t="str">
        <f>IF($AK88="","",IF($AK88=0,"",IF(INDEX(LookupData!AH:AH,$AK88)="","",INDEX(LookupData!AH:AH,$AK88))))</f>
        <v/>
      </c>
      <c r="AI88" s="12" t="str">
        <f>IF($AK88="","",IF($AK88=0,"",IF(INDEX(LookupData!AI:AI,$AK88)="","",HYPERLINK(INDEX(LookupData!AI:AI,$AK88),"Open"))))</f>
        <v/>
      </c>
      <c r="AK88" t="str">
        <f>IF(AL88="","",IFERROR(MATCH(AL88,LookupData!$A:$A,0),0))</f>
        <v/>
      </c>
      <c r="AL88" t="str">
        <f t="shared" si="4"/>
        <v/>
      </c>
      <c r="AM88" t="str">
        <f t="shared" si="5"/>
        <v/>
      </c>
    </row>
    <row r="89" spans="1:39" x14ac:dyDescent="0.2">
      <c r="A89" s="9"/>
      <c r="B89" s="10" t="str">
        <f>IF($AK89="","",IF($AK89=0,"not in the database",IF(INDEX(LookupData!B:B,$AK89)="","",INDEX(LookupData!B:B,$AK89))))</f>
        <v/>
      </c>
      <c r="C89" t="str">
        <f>IF($AK89="","",IF($AK89=0,"",IF(INDEX(LookupData!C:C,$AK89)="","",INDEX(LookupData!C:C,$AK89))))</f>
        <v/>
      </c>
      <c r="D89" t="str">
        <f>IF($AK89="","",IF($AK89=0,"",IF(INDEX(LookupData!D:D,$AK89)="","",INDEX(LookupData!D:D,$AK89))))</f>
        <v/>
      </c>
      <c r="E89" t="str">
        <f>IF($AK89="","",IF($AK89=0,"",IF(INDEX(LookupData!E:E,$AK89)="","",INDEX(LookupData!E:E,$AK89))))</f>
        <v/>
      </c>
      <c r="F89" t="str">
        <f>IF($AK89="","",IF($AK89=0,"",IF(INDEX(LookupData!F:F,$AK89)="","",INDEX(LookupData!F:F,$AK89))))</f>
        <v/>
      </c>
      <c r="G89" t="str">
        <f>IF($AK89="","",IF($AK89=0,"",IF(INDEX(LookupData!G:G,$AK89)="","",INDEX(LookupData!G:G,$AK89))))</f>
        <v/>
      </c>
      <c r="H89" t="str">
        <f>IF($AK89="","",IF($AK89=0,"",IF(INDEX(LookupData!H:H,$AK89)="","",INDEX(LookupData!H:H,$AK89))))</f>
        <v/>
      </c>
      <c r="I89" s="7" t="str">
        <f>IF($AK89="","",IF($AK89=0,"",IF(INDEX(LookupData!I:I,$AK89)="","",INDEX(LookupData!I:I,$AK89))))</f>
        <v/>
      </c>
      <c r="J89" s="7" t="str">
        <f>IF($AK89="","",IF($AK89=0,"",IF(INDEX(LookupData!J:J,$AK89)="","",INDEX(LookupData!J:J,$AK89))))</f>
        <v/>
      </c>
      <c r="K89" s="7" t="str">
        <f>IF($AK89="","",IF($AK89=0,"",IF(INDEX(LookupData!K:K,$AK89)="","",INDEX(LookupData!K:K,$AK89))))</f>
        <v/>
      </c>
      <c r="L89" s="7" t="str">
        <f>IF($AK89="","",IF($AK89=0,"",IF(INDEX(LookupData!L:L,$AK89)="","",INDEX(LookupData!L:L,$AK89))))</f>
        <v/>
      </c>
      <c r="M89" s="7" t="str">
        <f>IF($AK89="","",IF($AK89=0,"",IF(INDEX(LookupData!M:M,$AK89)="","",INDEX(LookupData!M:M,$AK89))))</f>
        <v/>
      </c>
      <c r="N89" s="7" t="str">
        <f>IF($AK89="","",IF($AK89=0,"",IF(INDEX(LookupData!N:N,$AK89)="","",INDEX(LookupData!N:N,$AK89))))</f>
        <v/>
      </c>
      <c r="O89" s="7" t="str">
        <f>IF($AK89="","",IF($AK89=0,"",IF(INDEX(LookupData!O:O,$AK89)="","",INDEX(LookupData!O:O,$AK89))))</f>
        <v/>
      </c>
      <c r="P89" s="7" t="str">
        <f>IF($AK89="","",IF($AK89=0,"",IF(INDEX(LookupData!P:P,$AK89)="","",INDEX(LookupData!P:P,$AK89))))</f>
        <v/>
      </c>
      <c r="Q89" s="7" t="str">
        <f>IF($AK89="","",IF($AK89=0,"",IF(INDEX(LookupData!Q:Q,$AK89)="","",INDEX(LookupData!Q:Q,$AK89))))</f>
        <v/>
      </c>
      <c r="R89" s="7" t="str">
        <f>IF($AK89="","",IF($AK89=0,"",IF(INDEX(LookupData!R:R,$AK89)="","",INDEX(LookupData!R:R,$AK89))))</f>
        <v/>
      </c>
      <c r="S89" s="7" t="str">
        <f>IF($AK89="","",IF($AK89=0,"",IF(INDEX(LookupData!S:S,$AK89)="","",INDEX(LookupData!S:S,$AK89))))</f>
        <v/>
      </c>
      <c r="T89" s="7" t="str">
        <f>IF($AK89="","",IF($AK89=0,"",IF(INDEX(LookupData!T:T,$AK89)="","",INDEX(LookupData!T:T,$AK89))))</f>
        <v/>
      </c>
      <c r="U89" s="7" t="str">
        <f>IF($AK89="","",IF($AK89=0,"",IF(INDEX(LookupData!U:U,$AK89)="","",INDEX(LookupData!U:U,$AK89))))</f>
        <v/>
      </c>
      <c r="V89" s="7" t="str">
        <f>IF($AK89="","",IF($AK89=0,"",IF(INDEX(LookupData!V:V,$AK89)="","",INDEX(LookupData!V:V,$AK89))))</f>
        <v/>
      </c>
      <c r="W89" t="str">
        <f>IF($AK89="","",IF($AK89=0,"",IF(INDEX(LookupData!W:W,$AK89)="","",INDEX(LookupData!W:W,$AK89))))</f>
        <v/>
      </c>
      <c r="X89" s="7" t="str">
        <f>IF($AK89="","",IF($AK89=0,"",IF(INDEX(LookupData!X:X,$AK89)="","",INDEX(LookupData!X:X,$AK89))))</f>
        <v/>
      </c>
      <c r="Y89" s="7" t="str">
        <f>IF($AK89="","",IF($AK89=0,"",IF(INDEX(LookupData!Y:Y,$AK89)="","",INDEX(LookupData!Y:Y,$AK89))))</f>
        <v/>
      </c>
      <c r="Z89" s="7" t="str">
        <f>IF($AK89="","",IF($AK89=0,"",IF(INDEX(LookupData!Z:Z,$AK89)="","",INDEX(LookupData!Z:Z,$AK89))))</f>
        <v/>
      </c>
      <c r="AA89" s="7" t="str">
        <f>IF($AK89="","",IF($AK89=0,"",IF(INDEX(LookupData!AA:AA,$AK89)="","",INDEX(LookupData!AA:AA,$AK89))))</f>
        <v/>
      </c>
      <c r="AB89" s="7" t="str">
        <f>IF($AK89="","",IF($AK89=0,"",IF(INDEX(LookupData!AB:AB,$AK89)="","",INDEX(LookupData!AB:AB,$AK89))))</f>
        <v/>
      </c>
      <c r="AC89" s="7" t="str">
        <f>IF($AK89="","",IF($AK89=0,"",IF(INDEX(LookupData!AC:AC,$AK89)="","",INDEX(LookupData!AC:AC,$AK89))))</f>
        <v/>
      </c>
      <c r="AD89" s="7" t="str">
        <f>IF($AK89="","",IF($AK89=0,"",IF(INDEX(LookupData!AD:AD,$AK89)="","",INDEX(LookupData!AD:AD,$AK89))))</f>
        <v/>
      </c>
      <c r="AE89" s="7" t="str">
        <f>IF($AK89="","",IF($AK89=0,"",IF(INDEX(LookupData!AE:AE,$AK89)="","",INDEX(LookupData!AE:AE,$AK89))))</f>
        <v/>
      </c>
      <c r="AF89" t="str">
        <f>IF($AK89="","",IF($AK89=0,"",IF(INDEX(LookupData!AF:AF,$AK89)="","",INDEX(LookupData!AF:AF,$AK89))))</f>
        <v/>
      </c>
      <c r="AG89" t="str">
        <f>IF($AK89="","",IF($AK89=0,"",IF(INDEX(LookupData!AG:AG,$AK89)="","",INDEX(LookupData!AG:AG,$AK89))))</f>
        <v/>
      </c>
      <c r="AH89" s="11" t="str">
        <f>IF($AK89="","",IF($AK89=0,"",IF(INDEX(LookupData!AH:AH,$AK89)="","",INDEX(LookupData!AH:AH,$AK89))))</f>
        <v/>
      </c>
      <c r="AI89" s="12" t="str">
        <f>IF($AK89="","",IF($AK89=0,"",IF(INDEX(LookupData!AI:AI,$AK89)="","",HYPERLINK(INDEX(LookupData!AI:AI,$AK89),"Open"))))</f>
        <v/>
      </c>
      <c r="AK89" t="str">
        <f>IF(AL89="","",IFERROR(MATCH(AL89,LookupData!$A:$A,0),0))</f>
        <v/>
      </c>
      <c r="AL89" t="str">
        <f t="shared" si="4"/>
        <v/>
      </c>
      <c r="AM89" t="str">
        <f t="shared" si="5"/>
        <v/>
      </c>
    </row>
    <row r="90" spans="1:39" x14ac:dyDescent="0.2">
      <c r="A90" s="9"/>
      <c r="B90" s="10" t="str">
        <f>IF($AK90="","",IF($AK90=0,"not in the database",IF(INDEX(LookupData!B:B,$AK90)="","",INDEX(LookupData!B:B,$AK90))))</f>
        <v/>
      </c>
      <c r="C90" t="str">
        <f>IF($AK90="","",IF($AK90=0,"",IF(INDEX(LookupData!C:C,$AK90)="","",INDEX(LookupData!C:C,$AK90))))</f>
        <v/>
      </c>
      <c r="D90" t="str">
        <f>IF($AK90="","",IF($AK90=0,"",IF(INDEX(LookupData!D:D,$AK90)="","",INDEX(LookupData!D:D,$AK90))))</f>
        <v/>
      </c>
      <c r="E90" t="str">
        <f>IF($AK90="","",IF($AK90=0,"",IF(INDEX(LookupData!E:E,$AK90)="","",INDEX(LookupData!E:E,$AK90))))</f>
        <v/>
      </c>
      <c r="F90" t="str">
        <f>IF($AK90="","",IF($AK90=0,"",IF(INDEX(LookupData!F:F,$AK90)="","",INDEX(LookupData!F:F,$AK90))))</f>
        <v/>
      </c>
      <c r="G90" t="str">
        <f>IF($AK90="","",IF($AK90=0,"",IF(INDEX(LookupData!G:G,$AK90)="","",INDEX(LookupData!G:G,$AK90))))</f>
        <v/>
      </c>
      <c r="H90" t="str">
        <f>IF($AK90="","",IF($AK90=0,"",IF(INDEX(LookupData!H:H,$AK90)="","",INDEX(LookupData!H:H,$AK90))))</f>
        <v/>
      </c>
      <c r="I90" s="7" t="str">
        <f>IF($AK90="","",IF($AK90=0,"",IF(INDEX(LookupData!I:I,$AK90)="","",INDEX(LookupData!I:I,$AK90))))</f>
        <v/>
      </c>
      <c r="J90" s="7" t="str">
        <f>IF($AK90="","",IF($AK90=0,"",IF(INDEX(LookupData!J:J,$AK90)="","",INDEX(LookupData!J:J,$AK90))))</f>
        <v/>
      </c>
      <c r="K90" s="7" t="str">
        <f>IF($AK90="","",IF($AK90=0,"",IF(INDEX(LookupData!K:K,$AK90)="","",INDEX(LookupData!K:K,$AK90))))</f>
        <v/>
      </c>
      <c r="L90" s="7" t="str">
        <f>IF($AK90="","",IF($AK90=0,"",IF(INDEX(LookupData!L:L,$AK90)="","",INDEX(LookupData!L:L,$AK90))))</f>
        <v/>
      </c>
      <c r="M90" s="7" t="str">
        <f>IF($AK90="","",IF($AK90=0,"",IF(INDEX(LookupData!M:M,$AK90)="","",INDEX(LookupData!M:M,$AK90))))</f>
        <v/>
      </c>
      <c r="N90" s="7" t="str">
        <f>IF($AK90="","",IF($AK90=0,"",IF(INDEX(LookupData!N:N,$AK90)="","",INDEX(LookupData!N:N,$AK90))))</f>
        <v/>
      </c>
      <c r="O90" s="7" t="str">
        <f>IF($AK90="","",IF($AK90=0,"",IF(INDEX(LookupData!O:O,$AK90)="","",INDEX(LookupData!O:O,$AK90))))</f>
        <v/>
      </c>
      <c r="P90" s="7" t="str">
        <f>IF($AK90="","",IF($AK90=0,"",IF(INDEX(LookupData!P:P,$AK90)="","",INDEX(LookupData!P:P,$AK90))))</f>
        <v/>
      </c>
      <c r="Q90" s="7" t="str">
        <f>IF($AK90="","",IF($AK90=0,"",IF(INDEX(LookupData!Q:Q,$AK90)="","",INDEX(LookupData!Q:Q,$AK90))))</f>
        <v/>
      </c>
      <c r="R90" s="7" t="str">
        <f>IF($AK90="","",IF($AK90=0,"",IF(INDEX(LookupData!R:R,$AK90)="","",INDEX(LookupData!R:R,$AK90))))</f>
        <v/>
      </c>
      <c r="S90" s="7" t="str">
        <f>IF($AK90="","",IF($AK90=0,"",IF(INDEX(LookupData!S:S,$AK90)="","",INDEX(LookupData!S:S,$AK90))))</f>
        <v/>
      </c>
      <c r="T90" s="7" t="str">
        <f>IF($AK90="","",IF($AK90=0,"",IF(INDEX(LookupData!T:T,$AK90)="","",INDEX(LookupData!T:T,$AK90))))</f>
        <v/>
      </c>
      <c r="U90" s="7" t="str">
        <f>IF($AK90="","",IF($AK90=0,"",IF(INDEX(LookupData!U:U,$AK90)="","",INDEX(LookupData!U:U,$AK90))))</f>
        <v/>
      </c>
      <c r="V90" s="7" t="str">
        <f>IF($AK90="","",IF($AK90=0,"",IF(INDEX(LookupData!V:V,$AK90)="","",INDEX(LookupData!V:V,$AK90))))</f>
        <v/>
      </c>
      <c r="W90" t="str">
        <f>IF($AK90="","",IF($AK90=0,"",IF(INDEX(LookupData!W:W,$AK90)="","",INDEX(LookupData!W:W,$AK90))))</f>
        <v/>
      </c>
      <c r="X90" s="7" t="str">
        <f>IF($AK90="","",IF($AK90=0,"",IF(INDEX(LookupData!X:X,$AK90)="","",INDEX(LookupData!X:X,$AK90))))</f>
        <v/>
      </c>
      <c r="Y90" s="7" t="str">
        <f>IF($AK90="","",IF($AK90=0,"",IF(INDEX(LookupData!Y:Y,$AK90)="","",INDEX(LookupData!Y:Y,$AK90))))</f>
        <v/>
      </c>
      <c r="Z90" s="7" t="str">
        <f>IF($AK90="","",IF($AK90=0,"",IF(INDEX(LookupData!Z:Z,$AK90)="","",INDEX(LookupData!Z:Z,$AK90))))</f>
        <v/>
      </c>
      <c r="AA90" s="7" t="str">
        <f>IF($AK90="","",IF($AK90=0,"",IF(INDEX(LookupData!AA:AA,$AK90)="","",INDEX(LookupData!AA:AA,$AK90))))</f>
        <v/>
      </c>
      <c r="AB90" s="7" t="str">
        <f>IF($AK90="","",IF($AK90=0,"",IF(INDEX(LookupData!AB:AB,$AK90)="","",INDEX(LookupData!AB:AB,$AK90))))</f>
        <v/>
      </c>
      <c r="AC90" s="7" t="str">
        <f>IF($AK90="","",IF($AK90=0,"",IF(INDEX(LookupData!AC:AC,$AK90)="","",INDEX(LookupData!AC:AC,$AK90))))</f>
        <v/>
      </c>
      <c r="AD90" s="7" t="str">
        <f>IF($AK90="","",IF($AK90=0,"",IF(INDEX(LookupData!AD:AD,$AK90)="","",INDEX(LookupData!AD:AD,$AK90))))</f>
        <v/>
      </c>
      <c r="AE90" s="7" t="str">
        <f>IF($AK90="","",IF($AK90=0,"",IF(INDEX(LookupData!AE:AE,$AK90)="","",INDEX(LookupData!AE:AE,$AK90))))</f>
        <v/>
      </c>
      <c r="AF90" t="str">
        <f>IF($AK90="","",IF($AK90=0,"",IF(INDEX(LookupData!AF:AF,$AK90)="","",INDEX(LookupData!AF:AF,$AK90))))</f>
        <v/>
      </c>
      <c r="AG90" t="str">
        <f>IF($AK90="","",IF($AK90=0,"",IF(INDEX(LookupData!AG:AG,$AK90)="","",INDEX(LookupData!AG:AG,$AK90))))</f>
        <v/>
      </c>
      <c r="AH90" s="11" t="str">
        <f>IF($AK90="","",IF($AK90=0,"",IF(INDEX(LookupData!AH:AH,$AK90)="","",INDEX(LookupData!AH:AH,$AK90))))</f>
        <v/>
      </c>
      <c r="AI90" s="12" t="str">
        <f>IF($AK90="","",IF($AK90=0,"",IF(INDEX(LookupData!AI:AI,$AK90)="","",HYPERLINK(INDEX(LookupData!AI:AI,$AK90),"Open"))))</f>
        <v/>
      </c>
      <c r="AK90" t="str">
        <f>IF(AL90="","",IFERROR(MATCH(AL90,LookupData!$A:$A,0),0))</f>
        <v/>
      </c>
      <c r="AL90" t="str">
        <f t="shared" si="4"/>
        <v/>
      </c>
      <c r="AM90" t="str">
        <f t="shared" si="5"/>
        <v/>
      </c>
    </row>
    <row r="91" spans="1:39" x14ac:dyDescent="0.2">
      <c r="A91" s="9"/>
      <c r="B91" s="10" t="str">
        <f>IF($AK91="","",IF($AK91=0,"not in the database",IF(INDEX(LookupData!B:B,$AK91)="","",INDEX(LookupData!B:B,$AK91))))</f>
        <v/>
      </c>
      <c r="C91" t="str">
        <f>IF($AK91="","",IF($AK91=0,"",IF(INDEX(LookupData!C:C,$AK91)="","",INDEX(LookupData!C:C,$AK91))))</f>
        <v/>
      </c>
      <c r="D91" t="str">
        <f>IF($AK91="","",IF($AK91=0,"",IF(INDEX(LookupData!D:D,$AK91)="","",INDEX(LookupData!D:D,$AK91))))</f>
        <v/>
      </c>
      <c r="E91" t="str">
        <f>IF($AK91="","",IF($AK91=0,"",IF(INDEX(LookupData!E:E,$AK91)="","",INDEX(LookupData!E:E,$AK91))))</f>
        <v/>
      </c>
      <c r="F91" t="str">
        <f>IF($AK91="","",IF($AK91=0,"",IF(INDEX(LookupData!F:F,$AK91)="","",INDEX(LookupData!F:F,$AK91))))</f>
        <v/>
      </c>
      <c r="G91" t="str">
        <f>IF($AK91="","",IF($AK91=0,"",IF(INDEX(LookupData!G:G,$AK91)="","",INDEX(LookupData!G:G,$AK91))))</f>
        <v/>
      </c>
      <c r="H91" t="str">
        <f>IF($AK91="","",IF($AK91=0,"",IF(INDEX(LookupData!H:H,$AK91)="","",INDEX(LookupData!H:H,$AK91))))</f>
        <v/>
      </c>
      <c r="I91" s="7" t="str">
        <f>IF($AK91="","",IF($AK91=0,"",IF(INDEX(LookupData!I:I,$AK91)="","",INDEX(LookupData!I:I,$AK91))))</f>
        <v/>
      </c>
      <c r="J91" s="7" t="str">
        <f>IF($AK91="","",IF($AK91=0,"",IF(INDEX(LookupData!J:J,$AK91)="","",INDEX(LookupData!J:J,$AK91))))</f>
        <v/>
      </c>
      <c r="K91" s="7" t="str">
        <f>IF($AK91="","",IF($AK91=0,"",IF(INDEX(LookupData!K:K,$AK91)="","",INDEX(LookupData!K:K,$AK91))))</f>
        <v/>
      </c>
      <c r="L91" s="7" t="str">
        <f>IF($AK91="","",IF($AK91=0,"",IF(INDEX(LookupData!L:L,$AK91)="","",INDEX(LookupData!L:L,$AK91))))</f>
        <v/>
      </c>
      <c r="M91" s="7" t="str">
        <f>IF($AK91="","",IF($AK91=0,"",IF(INDEX(LookupData!M:M,$AK91)="","",INDEX(LookupData!M:M,$AK91))))</f>
        <v/>
      </c>
      <c r="N91" s="7" t="str">
        <f>IF($AK91="","",IF($AK91=0,"",IF(INDEX(LookupData!N:N,$AK91)="","",INDEX(LookupData!N:N,$AK91))))</f>
        <v/>
      </c>
      <c r="O91" s="7" t="str">
        <f>IF($AK91="","",IF($AK91=0,"",IF(INDEX(LookupData!O:O,$AK91)="","",INDEX(LookupData!O:O,$AK91))))</f>
        <v/>
      </c>
      <c r="P91" s="7" t="str">
        <f>IF($AK91="","",IF($AK91=0,"",IF(INDEX(LookupData!P:P,$AK91)="","",INDEX(LookupData!P:P,$AK91))))</f>
        <v/>
      </c>
      <c r="Q91" s="7" t="str">
        <f>IF($AK91="","",IF($AK91=0,"",IF(INDEX(LookupData!Q:Q,$AK91)="","",INDEX(LookupData!Q:Q,$AK91))))</f>
        <v/>
      </c>
      <c r="R91" s="7" t="str">
        <f>IF($AK91="","",IF($AK91=0,"",IF(INDEX(LookupData!R:R,$AK91)="","",INDEX(LookupData!R:R,$AK91))))</f>
        <v/>
      </c>
      <c r="S91" s="7" t="str">
        <f>IF($AK91="","",IF($AK91=0,"",IF(INDEX(LookupData!S:S,$AK91)="","",INDEX(LookupData!S:S,$AK91))))</f>
        <v/>
      </c>
      <c r="T91" s="7" t="str">
        <f>IF($AK91="","",IF($AK91=0,"",IF(INDEX(LookupData!T:T,$AK91)="","",INDEX(LookupData!T:T,$AK91))))</f>
        <v/>
      </c>
      <c r="U91" s="7" t="str">
        <f>IF($AK91="","",IF($AK91=0,"",IF(INDEX(LookupData!U:U,$AK91)="","",INDEX(LookupData!U:U,$AK91))))</f>
        <v/>
      </c>
      <c r="V91" s="7" t="str">
        <f>IF($AK91="","",IF($AK91=0,"",IF(INDEX(LookupData!V:V,$AK91)="","",INDEX(LookupData!V:V,$AK91))))</f>
        <v/>
      </c>
      <c r="W91" t="str">
        <f>IF($AK91="","",IF($AK91=0,"",IF(INDEX(LookupData!W:W,$AK91)="","",INDEX(LookupData!W:W,$AK91))))</f>
        <v/>
      </c>
      <c r="X91" s="7" t="str">
        <f>IF($AK91="","",IF($AK91=0,"",IF(INDEX(LookupData!X:X,$AK91)="","",INDEX(LookupData!X:X,$AK91))))</f>
        <v/>
      </c>
      <c r="Y91" s="7" t="str">
        <f>IF($AK91="","",IF($AK91=0,"",IF(INDEX(LookupData!Y:Y,$AK91)="","",INDEX(LookupData!Y:Y,$AK91))))</f>
        <v/>
      </c>
      <c r="Z91" s="7" t="str">
        <f>IF($AK91="","",IF($AK91=0,"",IF(INDEX(LookupData!Z:Z,$AK91)="","",INDEX(LookupData!Z:Z,$AK91))))</f>
        <v/>
      </c>
      <c r="AA91" s="7" t="str">
        <f>IF($AK91="","",IF($AK91=0,"",IF(INDEX(LookupData!AA:AA,$AK91)="","",INDEX(LookupData!AA:AA,$AK91))))</f>
        <v/>
      </c>
      <c r="AB91" s="7" t="str">
        <f>IF($AK91="","",IF($AK91=0,"",IF(INDEX(LookupData!AB:AB,$AK91)="","",INDEX(LookupData!AB:AB,$AK91))))</f>
        <v/>
      </c>
      <c r="AC91" s="7" t="str">
        <f>IF($AK91="","",IF($AK91=0,"",IF(INDEX(LookupData!AC:AC,$AK91)="","",INDEX(LookupData!AC:AC,$AK91))))</f>
        <v/>
      </c>
      <c r="AD91" s="7" t="str">
        <f>IF($AK91="","",IF($AK91=0,"",IF(INDEX(LookupData!AD:AD,$AK91)="","",INDEX(LookupData!AD:AD,$AK91))))</f>
        <v/>
      </c>
      <c r="AE91" s="7" t="str">
        <f>IF($AK91="","",IF($AK91=0,"",IF(INDEX(LookupData!AE:AE,$AK91)="","",INDEX(LookupData!AE:AE,$AK91))))</f>
        <v/>
      </c>
      <c r="AF91" t="str">
        <f>IF($AK91="","",IF($AK91=0,"",IF(INDEX(LookupData!AF:AF,$AK91)="","",INDEX(LookupData!AF:AF,$AK91))))</f>
        <v/>
      </c>
      <c r="AG91" t="str">
        <f>IF($AK91="","",IF($AK91=0,"",IF(INDEX(LookupData!AG:AG,$AK91)="","",INDEX(LookupData!AG:AG,$AK91))))</f>
        <v/>
      </c>
      <c r="AH91" s="11" t="str">
        <f>IF($AK91="","",IF($AK91=0,"",IF(INDEX(LookupData!AH:AH,$AK91)="","",INDEX(LookupData!AH:AH,$AK91))))</f>
        <v/>
      </c>
      <c r="AI91" s="12" t="str">
        <f>IF($AK91="","",IF($AK91=0,"",IF(INDEX(LookupData!AI:AI,$AK91)="","",HYPERLINK(INDEX(LookupData!AI:AI,$AK91),"Open"))))</f>
        <v/>
      </c>
      <c r="AK91" t="str">
        <f>IF(AL91="","",IFERROR(MATCH(AL91,LookupData!$A:$A,0),0))</f>
        <v/>
      </c>
      <c r="AL91" t="str">
        <f t="shared" si="4"/>
        <v/>
      </c>
      <c r="AM91" t="str">
        <f t="shared" si="5"/>
        <v/>
      </c>
    </row>
    <row r="92" spans="1:39" x14ac:dyDescent="0.2">
      <c r="A92" s="9"/>
      <c r="B92" s="10" t="str">
        <f>IF($AK92="","",IF($AK92=0,"not in the database",IF(INDEX(LookupData!B:B,$AK92)="","",INDEX(LookupData!B:B,$AK92))))</f>
        <v/>
      </c>
      <c r="C92" t="str">
        <f>IF($AK92="","",IF($AK92=0,"",IF(INDEX(LookupData!C:C,$AK92)="","",INDEX(LookupData!C:C,$AK92))))</f>
        <v/>
      </c>
      <c r="D92" t="str">
        <f>IF($AK92="","",IF($AK92=0,"",IF(INDEX(LookupData!D:D,$AK92)="","",INDEX(LookupData!D:D,$AK92))))</f>
        <v/>
      </c>
      <c r="E92" t="str">
        <f>IF($AK92="","",IF($AK92=0,"",IF(INDEX(LookupData!E:E,$AK92)="","",INDEX(LookupData!E:E,$AK92))))</f>
        <v/>
      </c>
      <c r="F92" t="str">
        <f>IF($AK92="","",IF($AK92=0,"",IF(INDEX(LookupData!F:F,$AK92)="","",INDEX(LookupData!F:F,$AK92))))</f>
        <v/>
      </c>
      <c r="G92" t="str">
        <f>IF($AK92="","",IF($AK92=0,"",IF(INDEX(LookupData!G:G,$AK92)="","",INDEX(LookupData!G:G,$AK92))))</f>
        <v/>
      </c>
      <c r="H92" t="str">
        <f>IF($AK92="","",IF($AK92=0,"",IF(INDEX(LookupData!H:H,$AK92)="","",INDEX(LookupData!H:H,$AK92))))</f>
        <v/>
      </c>
      <c r="I92" s="7" t="str">
        <f>IF($AK92="","",IF($AK92=0,"",IF(INDEX(LookupData!I:I,$AK92)="","",INDEX(LookupData!I:I,$AK92))))</f>
        <v/>
      </c>
      <c r="J92" s="7" t="str">
        <f>IF($AK92="","",IF($AK92=0,"",IF(INDEX(LookupData!J:J,$AK92)="","",INDEX(LookupData!J:J,$AK92))))</f>
        <v/>
      </c>
      <c r="K92" s="7" t="str">
        <f>IF($AK92="","",IF($AK92=0,"",IF(INDEX(LookupData!K:K,$AK92)="","",INDEX(LookupData!K:K,$AK92))))</f>
        <v/>
      </c>
      <c r="L92" s="7" t="str">
        <f>IF($AK92="","",IF($AK92=0,"",IF(INDEX(LookupData!L:L,$AK92)="","",INDEX(LookupData!L:L,$AK92))))</f>
        <v/>
      </c>
      <c r="M92" s="7" t="str">
        <f>IF($AK92="","",IF($AK92=0,"",IF(INDEX(LookupData!M:M,$AK92)="","",INDEX(LookupData!M:M,$AK92))))</f>
        <v/>
      </c>
      <c r="N92" s="7" t="str">
        <f>IF($AK92="","",IF($AK92=0,"",IF(INDEX(LookupData!N:N,$AK92)="","",INDEX(LookupData!N:N,$AK92))))</f>
        <v/>
      </c>
      <c r="O92" s="7" t="str">
        <f>IF($AK92="","",IF($AK92=0,"",IF(INDEX(LookupData!O:O,$AK92)="","",INDEX(LookupData!O:O,$AK92))))</f>
        <v/>
      </c>
      <c r="P92" s="7" t="str">
        <f>IF($AK92="","",IF($AK92=0,"",IF(INDEX(LookupData!P:P,$AK92)="","",INDEX(LookupData!P:P,$AK92))))</f>
        <v/>
      </c>
      <c r="Q92" s="7" t="str">
        <f>IF($AK92="","",IF($AK92=0,"",IF(INDEX(LookupData!Q:Q,$AK92)="","",INDEX(LookupData!Q:Q,$AK92))))</f>
        <v/>
      </c>
      <c r="R92" s="7" t="str">
        <f>IF($AK92="","",IF($AK92=0,"",IF(INDEX(LookupData!R:R,$AK92)="","",INDEX(LookupData!R:R,$AK92))))</f>
        <v/>
      </c>
      <c r="S92" s="7" t="str">
        <f>IF($AK92="","",IF($AK92=0,"",IF(INDEX(LookupData!S:S,$AK92)="","",INDEX(LookupData!S:S,$AK92))))</f>
        <v/>
      </c>
      <c r="T92" s="7" t="str">
        <f>IF($AK92="","",IF($AK92=0,"",IF(INDEX(LookupData!T:T,$AK92)="","",INDEX(LookupData!T:T,$AK92))))</f>
        <v/>
      </c>
      <c r="U92" s="7" t="str">
        <f>IF($AK92="","",IF($AK92=0,"",IF(INDEX(LookupData!U:U,$AK92)="","",INDEX(LookupData!U:U,$AK92))))</f>
        <v/>
      </c>
      <c r="V92" s="7" t="str">
        <f>IF($AK92="","",IF($AK92=0,"",IF(INDEX(LookupData!V:V,$AK92)="","",INDEX(LookupData!V:V,$AK92))))</f>
        <v/>
      </c>
      <c r="W92" t="str">
        <f>IF($AK92="","",IF($AK92=0,"",IF(INDEX(LookupData!W:W,$AK92)="","",INDEX(LookupData!W:W,$AK92))))</f>
        <v/>
      </c>
      <c r="X92" s="7" t="str">
        <f>IF($AK92="","",IF($AK92=0,"",IF(INDEX(LookupData!X:X,$AK92)="","",INDEX(LookupData!X:X,$AK92))))</f>
        <v/>
      </c>
      <c r="Y92" s="7" t="str">
        <f>IF($AK92="","",IF($AK92=0,"",IF(INDEX(LookupData!Y:Y,$AK92)="","",INDEX(LookupData!Y:Y,$AK92))))</f>
        <v/>
      </c>
      <c r="Z92" s="7" t="str">
        <f>IF($AK92="","",IF($AK92=0,"",IF(INDEX(LookupData!Z:Z,$AK92)="","",INDEX(LookupData!Z:Z,$AK92))))</f>
        <v/>
      </c>
      <c r="AA92" s="7" t="str">
        <f>IF($AK92="","",IF($AK92=0,"",IF(INDEX(LookupData!AA:AA,$AK92)="","",INDEX(LookupData!AA:AA,$AK92))))</f>
        <v/>
      </c>
      <c r="AB92" s="7" t="str">
        <f>IF($AK92="","",IF($AK92=0,"",IF(INDEX(LookupData!AB:AB,$AK92)="","",INDEX(LookupData!AB:AB,$AK92))))</f>
        <v/>
      </c>
      <c r="AC92" s="7" t="str">
        <f>IF($AK92="","",IF($AK92=0,"",IF(INDEX(LookupData!AC:AC,$AK92)="","",INDEX(LookupData!AC:AC,$AK92))))</f>
        <v/>
      </c>
      <c r="AD92" s="7" t="str">
        <f>IF($AK92="","",IF($AK92=0,"",IF(INDEX(LookupData!AD:AD,$AK92)="","",INDEX(LookupData!AD:AD,$AK92))))</f>
        <v/>
      </c>
      <c r="AE92" s="7" t="str">
        <f>IF($AK92="","",IF($AK92=0,"",IF(INDEX(LookupData!AE:AE,$AK92)="","",INDEX(LookupData!AE:AE,$AK92))))</f>
        <v/>
      </c>
      <c r="AF92" t="str">
        <f>IF($AK92="","",IF($AK92=0,"",IF(INDEX(LookupData!AF:AF,$AK92)="","",INDEX(LookupData!AF:AF,$AK92))))</f>
        <v/>
      </c>
      <c r="AG92" t="str">
        <f>IF($AK92="","",IF($AK92=0,"",IF(INDEX(LookupData!AG:AG,$AK92)="","",INDEX(LookupData!AG:AG,$AK92))))</f>
        <v/>
      </c>
      <c r="AH92" s="11" t="str">
        <f>IF($AK92="","",IF($AK92=0,"",IF(INDEX(LookupData!AH:AH,$AK92)="","",INDEX(LookupData!AH:AH,$AK92))))</f>
        <v/>
      </c>
      <c r="AI92" s="12" t="str">
        <f>IF($AK92="","",IF($AK92=0,"",IF(INDEX(LookupData!AI:AI,$AK92)="","",HYPERLINK(INDEX(LookupData!AI:AI,$AK92),"Open"))))</f>
        <v/>
      </c>
      <c r="AK92" t="str">
        <f>IF(AL92="","",IFERROR(MATCH(AL92,LookupData!$A:$A,0),0))</f>
        <v/>
      </c>
      <c r="AL92" t="str">
        <f t="shared" si="4"/>
        <v/>
      </c>
      <c r="AM92" t="str">
        <f t="shared" si="5"/>
        <v/>
      </c>
    </row>
    <row r="93" spans="1:39" x14ac:dyDescent="0.2">
      <c r="A93" s="9"/>
      <c r="B93" s="10" t="str">
        <f>IF($AK93="","",IF($AK93=0,"not in the database",IF(INDEX(LookupData!B:B,$AK93)="","",INDEX(LookupData!B:B,$AK93))))</f>
        <v/>
      </c>
      <c r="C93" t="str">
        <f>IF($AK93="","",IF($AK93=0,"",IF(INDEX(LookupData!C:C,$AK93)="","",INDEX(LookupData!C:C,$AK93))))</f>
        <v/>
      </c>
      <c r="D93" t="str">
        <f>IF($AK93="","",IF($AK93=0,"",IF(INDEX(LookupData!D:D,$AK93)="","",INDEX(LookupData!D:D,$AK93))))</f>
        <v/>
      </c>
      <c r="E93" t="str">
        <f>IF($AK93="","",IF($AK93=0,"",IF(INDEX(LookupData!E:E,$AK93)="","",INDEX(LookupData!E:E,$AK93))))</f>
        <v/>
      </c>
      <c r="F93" t="str">
        <f>IF($AK93="","",IF($AK93=0,"",IF(INDEX(LookupData!F:F,$AK93)="","",INDEX(LookupData!F:F,$AK93))))</f>
        <v/>
      </c>
      <c r="G93" t="str">
        <f>IF($AK93="","",IF($AK93=0,"",IF(INDEX(LookupData!G:G,$AK93)="","",INDEX(LookupData!G:G,$AK93))))</f>
        <v/>
      </c>
      <c r="H93" t="str">
        <f>IF($AK93="","",IF($AK93=0,"",IF(INDEX(LookupData!H:H,$AK93)="","",INDEX(LookupData!H:H,$AK93))))</f>
        <v/>
      </c>
      <c r="I93" s="7" t="str">
        <f>IF($AK93="","",IF($AK93=0,"",IF(INDEX(LookupData!I:I,$AK93)="","",INDEX(LookupData!I:I,$AK93))))</f>
        <v/>
      </c>
      <c r="J93" s="7" t="str">
        <f>IF($AK93="","",IF($AK93=0,"",IF(INDEX(LookupData!J:J,$AK93)="","",INDEX(LookupData!J:J,$AK93))))</f>
        <v/>
      </c>
      <c r="K93" s="7" t="str">
        <f>IF($AK93="","",IF($AK93=0,"",IF(INDEX(LookupData!K:K,$AK93)="","",INDEX(LookupData!K:K,$AK93))))</f>
        <v/>
      </c>
      <c r="L93" s="7" t="str">
        <f>IF($AK93="","",IF($AK93=0,"",IF(INDEX(LookupData!L:L,$AK93)="","",INDEX(LookupData!L:L,$AK93))))</f>
        <v/>
      </c>
      <c r="M93" s="7" t="str">
        <f>IF($AK93="","",IF($AK93=0,"",IF(INDEX(LookupData!M:M,$AK93)="","",INDEX(LookupData!M:M,$AK93))))</f>
        <v/>
      </c>
      <c r="N93" s="7" t="str">
        <f>IF($AK93="","",IF($AK93=0,"",IF(INDEX(LookupData!N:N,$AK93)="","",INDEX(LookupData!N:N,$AK93))))</f>
        <v/>
      </c>
      <c r="O93" s="7" t="str">
        <f>IF($AK93="","",IF($AK93=0,"",IF(INDEX(LookupData!O:O,$AK93)="","",INDEX(LookupData!O:O,$AK93))))</f>
        <v/>
      </c>
      <c r="P93" s="7" t="str">
        <f>IF($AK93="","",IF($AK93=0,"",IF(INDEX(LookupData!P:P,$AK93)="","",INDEX(LookupData!P:P,$AK93))))</f>
        <v/>
      </c>
      <c r="Q93" s="7" t="str">
        <f>IF($AK93="","",IF($AK93=0,"",IF(INDEX(LookupData!Q:Q,$AK93)="","",INDEX(LookupData!Q:Q,$AK93))))</f>
        <v/>
      </c>
      <c r="R93" s="7" t="str">
        <f>IF($AK93="","",IF($AK93=0,"",IF(INDEX(LookupData!R:R,$AK93)="","",INDEX(LookupData!R:R,$AK93))))</f>
        <v/>
      </c>
      <c r="S93" s="7" t="str">
        <f>IF($AK93="","",IF($AK93=0,"",IF(INDEX(LookupData!S:S,$AK93)="","",INDEX(LookupData!S:S,$AK93))))</f>
        <v/>
      </c>
      <c r="T93" s="7" t="str">
        <f>IF($AK93="","",IF($AK93=0,"",IF(INDEX(LookupData!T:T,$AK93)="","",INDEX(LookupData!T:T,$AK93))))</f>
        <v/>
      </c>
      <c r="U93" s="7" t="str">
        <f>IF($AK93="","",IF($AK93=0,"",IF(INDEX(LookupData!U:U,$AK93)="","",INDEX(LookupData!U:U,$AK93))))</f>
        <v/>
      </c>
      <c r="V93" s="7" t="str">
        <f>IF($AK93="","",IF($AK93=0,"",IF(INDEX(LookupData!V:V,$AK93)="","",INDEX(LookupData!V:V,$AK93))))</f>
        <v/>
      </c>
      <c r="W93" t="str">
        <f>IF($AK93="","",IF($AK93=0,"",IF(INDEX(LookupData!W:W,$AK93)="","",INDEX(LookupData!W:W,$AK93))))</f>
        <v/>
      </c>
      <c r="X93" s="7" t="str">
        <f>IF($AK93="","",IF($AK93=0,"",IF(INDEX(LookupData!X:X,$AK93)="","",INDEX(LookupData!X:X,$AK93))))</f>
        <v/>
      </c>
      <c r="Y93" s="7" t="str">
        <f>IF($AK93="","",IF($AK93=0,"",IF(INDEX(LookupData!Y:Y,$AK93)="","",INDEX(LookupData!Y:Y,$AK93))))</f>
        <v/>
      </c>
      <c r="Z93" s="7" t="str">
        <f>IF($AK93="","",IF($AK93=0,"",IF(INDEX(LookupData!Z:Z,$AK93)="","",INDEX(LookupData!Z:Z,$AK93))))</f>
        <v/>
      </c>
      <c r="AA93" s="7" t="str">
        <f>IF($AK93="","",IF($AK93=0,"",IF(INDEX(LookupData!AA:AA,$AK93)="","",INDEX(LookupData!AA:AA,$AK93))))</f>
        <v/>
      </c>
      <c r="AB93" s="7" t="str">
        <f>IF($AK93="","",IF($AK93=0,"",IF(INDEX(LookupData!AB:AB,$AK93)="","",INDEX(LookupData!AB:AB,$AK93))))</f>
        <v/>
      </c>
      <c r="AC93" s="7" t="str">
        <f>IF($AK93="","",IF($AK93=0,"",IF(INDEX(LookupData!AC:AC,$AK93)="","",INDEX(LookupData!AC:AC,$AK93))))</f>
        <v/>
      </c>
      <c r="AD93" s="7" t="str">
        <f>IF($AK93="","",IF($AK93=0,"",IF(INDEX(LookupData!AD:AD,$AK93)="","",INDEX(LookupData!AD:AD,$AK93))))</f>
        <v/>
      </c>
      <c r="AE93" s="7" t="str">
        <f>IF($AK93="","",IF($AK93=0,"",IF(INDEX(LookupData!AE:AE,$AK93)="","",INDEX(LookupData!AE:AE,$AK93))))</f>
        <v/>
      </c>
      <c r="AF93" t="str">
        <f>IF($AK93="","",IF($AK93=0,"",IF(INDEX(LookupData!AF:AF,$AK93)="","",INDEX(LookupData!AF:AF,$AK93))))</f>
        <v/>
      </c>
      <c r="AG93" t="str">
        <f>IF($AK93="","",IF($AK93=0,"",IF(INDEX(LookupData!AG:AG,$AK93)="","",INDEX(LookupData!AG:AG,$AK93))))</f>
        <v/>
      </c>
      <c r="AH93" s="11" t="str">
        <f>IF($AK93="","",IF($AK93=0,"",IF(INDEX(LookupData!AH:AH,$AK93)="","",INDEX(LookupData!AH:AH,$AK93))))</f>
        <v/>
      </c>
      <c r="AI93" s="12" t="str">
        <f>IF($AK93="","",IF($AK93=0,"",IF(INDEX(LookupData!AI:AI,$AK93)="","",HYPERLINK(INDEX(LookupData!AI:AI,$AK93),"Open"))))</f>
        <v/>
      </c>
      <c r="AK93" t="str">
        <f>IF(AL93="","",IFERROR(MATCH(AL93,LookupData!$A:$A,0),0))</f>
        <v/>
      </c>
      <c r="AL93" t="str">
        <f t="shared" si="4"/>
        <v/>
      </c>
      <c r="AM93" t="str">
        <f t="shared" si="5"/>
        <v/>
      </c>
    </row>
    <row r="94" spans="1:39" x14ac:dyDescent="0.2">
      <c r="A94" s="9"/>
      <c r="B94" s="10" t="str">
        <f>IF($AK94="","",IF($AK94=0,"not in the database",IF(INDEX(LookupData!B:B,$AK94)="","",INDEX(LookupData!B:B,$AK94))))</f>
        <v/>
      </c>
      <c r="C94" t="str">
        <f>IF($AK94="","",IF($AK94=0,"",IF(INDEX(LookupData!C:C,$AK94)="","",INDEX(LookupData!C:C,$AK94))))</f>
        <v/>
      </c>
      <c r="D94" t="str">
        <f>IF($AK94="","",IF($AK94=0,"",IF(INDEX(LookupData!D:D,$AK94)="","",INDEX(LookupData!D:D,$AK94))))</f>
        <v/>
      </c>
      <c r="E94" t="str">
        <f>IF($AK94="","",IF($AK94=0,"",IF(INDEX(LookupData!E:E,$AK94)="","",INDEX(LookupData!E:E,$AK94))))</f>
        <v/>
      </c>
      <c r="F94" t="str">
        <f>IF($AK94="","",IF($AK94=0,"",IF(INDEX(LookupData!F:F,$AK94)="","",INDEX(LookupData!F:F,$AK94))))</f>
        <v/>
      </c>
      <c r="G94" t="str">
        <f>IF($AK94="","",IF($AK94=0,"",IF(INDEX(LookupData!G:G,$AK94)="","",INDEX(LookupData!G:G,$AK94))))</f>
        <v/>
      </c>
      <c r="H94" t="str">
        <f>IF($AK94="","",IF($AK94=0,"",IF(INDEX(LookupData!H:H,$AK94)="","",INDEX(LookupData!H:H,$AK94))))</f>
        <v/>
      </c>
      <c r="I94" s="7" t="str">
        <f>IF($AK94="","",IF($AK94=0,"",IF(INDEX(LookupData!I:I,$AK94)="","",INDEX(LookupData!I:I,$AK94))))</f>
        <v/>
      </c>
      <c r="J94" s="7" t="str">
        <f>IF($AK94="","",IF($AK94=0,"",IF(INDEX(LookupData!J:J,$AK94)="","",INDEX(LookupData!J:J,$AK94))))</f>
        <v/>
      </c>
      <c r="K94" s="7" t="str">
        <f>IF($AK94="","",IF($AK94=0,"",IF(INDEX(LookupData!K:K,$AK94)="","",INDEX(LookupData!K:K,$AK94))))</f>
        <v/>
      </c>
      <c r="L94" s="7" t="str">
        <f>IF($AK94="","",IF($AK94=0,"",IF(INDEX(LookupData!L:L,$AK94)="","",INDEX(LookupData!L:L,$AK94))))</f>
        <v/>
      </c>
      <c r="M94" s="7" t="str">
        <f>IF($AK94="","",IF($AK94=0,"",IF(INDEX(LookupData!M:M,$AK94)="","",INDEX(LookupData!M:M,$AK94))))</f>
        <v/>
      </c>
      <c r="N94" s="7" t="str">
        <f>IF($AK94="","",IF($AK94=0,"",IF(INDEX(LookupData!N:N,$AK94)="","",INDEX(LookupData!N:N,$AK94))))</f>
        <v/>
      </c>
      <c r="O94" s="7" t="str">
        <f>IF($AK94="","",IF($AK94=0,"",IF(INDEX(LookupData!O:O,$AK94)="","",INDEX(LookupData!O:O,$AK94))))</f>
        <v/>
      </c>
      <c r="P94" s="7" t="str">
        <f>IF($AK94="","",IF($AK94=0,"",IF(INDEX(LookupData!P:P,$AK94)="","",INDEX(LookupData!P:P,$AK94))))</f>
        <v/>
      </c>
      <c r="Q94" s="7" t="str">
        <f>IF($AK94="","",IF($AK94=0,"",IF(INDEX(LookupData!Q:Q,$AK94)="","",INDEX(LookupData!Q:Q,$AK94))))</f>
        <v/>
      </c>
      <c r="R94" s="7" t="str">
        <f>IF($AK94="","",IF($AK94=0,"",IF(INDEX(LookupData!R:R,$AK94)="","",INDEX(LookupData!R:R,$AK94))))</f>
        <v/>
      </c>
      <c r="S94" s="7" t="str">
        <f>IF($AK94="","",IF($AK94=0,"",IF(INDEX(LookupData!S:S,$AK94)="","",INDEX(LookupData!S:S,$AK94))))</f>
        <v/>
      </c>
      <c r="T94" s="7" t="str">
        <f>IF($AK94="","",IF($AK94=0,"",IF(INDEX(LookupData!T:T,$AK94)="","",INDEX(LookupData!T:T,$AK94))))</f>
        <v/>
      </c>
      <c r="U94" s="7" t="str">
        <f>IF($AK94="","",IF($AK94=0,"",IF(INDEX(LookupData!U:U,$AK94)="","",INDEX(LookupData!U:U,$AK94))))</f>
        <v/>
      </c>
      <c r="V94" s="7" t="str">
        <f>IF($AK94="","",IF($AK94=0,"",IF(INDEX(LookupData!V:V,$AK94)="","",INDEX(LookupData!V:V,$AK94))))</f>
        <v/>
      </c>
      <c r="W94" t="str">
        <f>IF($AK94="","",IF($AK94=0,"",IF(INDEX(LookupData!W:W,$AK94)="","",INDEX(LookupData!W:W,$AK94))))</f>
        <v/>
      </c>
      <c r="X94" s="7" t="str">
        <f>IF($AK94="","",IF($AK94=0,"",IF(INDEX(LookupData!X:X,$AK94)="","",INDEX(LookupData!X:X,$AK94))))</f>
        <v/>
      </c>
      <c r="Y94" s="7" t="str">
        <f>IF($AK94="","",IF($AK94=0,"",IF(INDEX(LookupData!Y:Y,$AK94)="","",INDEX(LookupData!Y:Y,$AK94))))</f>
        <v/>
      </c>
      <c r="Z94" s="7" t="str">
        <f>IF($AK94="","",IF($AK94=0,"",IF(INDEX(LookupData!Z:Z,$AK94)="","",INDEX(LookupData!Z:Z,$AK94))))</f>
        <v/>
      </c>
      <c r="AA94" s="7" t="str">
        <f>IF($AK94="","",IF($AK94=0,"",IF(INDEX(LookupData!AA:AA,$AK94)="","",INDEX(LookupData!AA:AA,$AK94))))</f>
        <v/>
      </c>
      <c r="AB94" s="7" t="str">
        <f>IF($AK94="","",IF($AK94=0,"",IF(INDEX(LookupData!AB:AB,$AK94)="","",INDEX(LookupData!AB:AB,$AK94))))</f>
        <v/>
      </c>
      <c r="AC94" s="7" t="str">
        <f>IF($AK94="","",IF($AK94=0,"",IF(INDEX(LookupData!AC:AC,$AK94)="","",INDEX(LookupData!AC:AC,$AK94))))</f>
        <v/>
      </c>
      <c r="AD94" s="7" t="str">
        <f>IF($AK94="","",IF($AK94=0,"",IF(INDEX(LookupData!AD:AD,$AK94)="","",INDEX(LookupData!AD:AD,$AK94))))</f>
        <v/>
      </c>
      <c r="AE94" s="7" t="str">
        <f>IF($AK94="","",IF($AK94=0,"",IF(INDEX(LookupData!AE:AE,$AK94)="","",INDEX(LookupData!AE:AE,$AK94))))</f>
        <v/>
      </c>
      <c r="AF94" t="str">
        <f>IF($AK94="","",IF($AK94=0,"",IF(INDEX(LookupData!AF:AF,$AK94)="","",INDEX(LookupData!AF:AF,$AK94))))</f>
        <v/>
      </c>
      <c r="AG94" t="str">
        <f>IF($AK94="","",IF($AK94=0,"",IF(INDEX(LookupData!AG:AG,$AK94)="","",INDEX(LookupData!AG:AG,$AK94))))</f>
        <v/>
      </c>
      <c r="AH94" s="11" t="str">
        <f>IF($AK94="","",IF($AK94=0,"",IF(INDEX(LookupData!AH:AH,$AK94)="","",INDEX(LookupData!AH:AH,$AK94))))</f>
        <v/>
      </c>
      <c r="AI94" s="12" t="str">
        <f>IF($AK94="","",IF($AK94=0,"",IF(INDEX(LookupData!AI:AI,$AK94)="","",HYPERLINK(INDEX(LookupData!AI:AI,$AK94),"Open"))))</f>
        <v/>
      </c>
      <c r="AK94" t="str">
        <f>IF(AL94="","",IFERROR(MATCH(AL94,LookupData!$A:$A,0),0))</f>
        <v/>
      </c>
      <c r="AL94" t="str">
        <f t="shared" si="4"/>
        <v/>
      </c>
      <c r="AM94" t="str">
        <f t="shared" si="5"/>
        <v/>
      </c>
    </row>
    <row r="95" spans="1:39" x14ac:dyDescent="0.2">
      <c r="A95" s="9"/>
      <c r="B95" s="10" t="str">
        <f>IF($AK95="","",IF($AK95=0,"not in the database",IF(INDEX(LookupData!B:B,$AK95)="","",INDEX(LookupData!B:B,$AK95))))</f>
        <v/>
      </c>
      <c r="C95" t="str">
        <f>IF($AK95="","",IF($AK95=0,"",IF(INDEX(LookupData!C:C,$AK95)="","",INDEX(LookupData!C:C,$AK95))))</f>
        <v/>
      </c>
      <c r="D95" t="str">
        <f>IF($AK95="","",IF($AK95=0,"",IF(INDEX(LookupData!D:D,$AK95)="","",INDEX(LookupData!D:D,$AK95))))</f>
        <v/>
      </c>
      <c r="E95" t="str">
        <f>IF($AK95="","",IF($AK95=0,"",IF(INDEX(LookupData!E:E,$AK95)="","",INDEX(LookupData!E:E,$AK95))))</f>
        <v/>
      </c>
      <c r="F95" t="str">
        <f>IF($AK95="","",IF($AK95=0,"",IF(INDEX(LookupData!F:F,$AK95)="","",INDEX(LookupData!F:F,$AK95))))</f>
        <v/>
      </c>
      <c r="G95" t="str">
        <f>IF($AK95="","",IF($AK95=0,"",IF(INDEX(LookupData!G:G,$AK95)="","",INDEX(LookupData!G:G,$AK95))))</f>
        <v/>
      </c>
      <c r="H95" t="str">
        <f>IF($AK95="","",IF($AK95=0,"",IF(INDEX(LookupData!H:H,$AK95)="","",INDEX(LookupData!H:H,$AK95))))</f>
        <v/>
      </c>
      <c r="I95" s="7" t="str">
        <f>IF($AK95="","",IF($AK95=0,"",IF(INDEX(LookupData!I:I,$AK95)="","",INDEX(LookupData!I:I,$AK95))))</f>
        <v/>
      </c>
      <c r="J95" s="7" t="str">
        <f>IF($AK95="","",IF($AK95=0,"",IF(INDEX(LookupData!J:J,$AK95)="","",INDEX(LookupData!J:J,$AK95))))</f>
        <v/>
      </c>
      <c r="K95" s="7" t="str">
        <f>IF($AK95="","",IF($AK95=0,"",IF(INDEX(LookupData!K:K,$AK95)="","",INDEX(LookupData!K:K,$AK95))))</f>
        <v/>
      </c>
      <c r="L95" s="7" t="str">
        <f>IF($AK95="","",IF($AK95=0,"",IF(INDEX(LookupData!L:L,$AK95)="","",INDEX(LookupData!L:L,$AK95))))</f>
        <v/>
      </c>
      <c r="M95" s="7" t="str">
        <f>IF($AK95="","",IF($AK95=0,"",IF(INDEX(LookupData!M:M,$AK95)="","",INDEX(LookupData!M:M,$AK95))))</f>
        <v/>
      </c>
      <c r="N95" s="7" t="str">
        <f>IF($AK95="","",IF($AK95=0,"",IF(INDEX(LookupData!N:N,$AK95)="","",INDEX(LookupData!N:N,$AK95))))</f>
        <v/>
      </c>
      <c r="O95" s="7" t="str">
        <f>IF($AK95="","",IF($AK95=0,"",IF(INDEX(LookupData!O:O,$AK95)="","",INDEX(LookupData!O:O,$AK95))))</f>
        <v/>
      </c>
      <c r="P95" s="7" t="str">
        <f>IF($AK95="","",IF($AK95=0,"",IF(INDEX(LookupData!P:P,$AK95)="","",INDEX(LookupData!P:P,$AK95))))</f>
        <v/>
      </c>
      <c r="Q95" s="7" t="str">
        <f>IF($AK95="","",IF($AK95=0,"",IF(INDEX(LookupData!Q:Q,$AK95)="","",INDEX(LookupData!Q:Q,$AK95))))</f>
        <v/>
      </c>
      <c r="R95" s="7" t="str">
        <f>IF($AK95="","",IF($AK95=0,"",IF(INDEX(LookupData!R:R,$AK95)="","",INDEX(LookupData!R:R,$AK95))))</f>
        <v/>
      </c>
      <c r="S95" s="7" t="str">
        <f>IF($AK95="","",IF($AK95=0,"",IF(INDEX(LookupData!S:S,$AK95)="","",INDEX(LookupData!S:S,$AK95))))</f>
        <v/>
      </c>
      <c r="T95" s="7" t="str">
        <f>IF($AK95="","",IF($AK95=0,"",IF(INDEX(LookupData!T:T,$AK95)="","",INDEX(LookupData!T:T,$AK95))))</f>
        <v/>
      </c>
      <c r="U95" s="7" t="str">
        <f>IF($AK95="","",IF($AK95=0,"",IF(INDEX(LookupData!U:U,$AK95)="","",INDEX(LookupData!U:U,$AK95))))</f>
        <v/>
      </c>
      <c r="V95" s="7" t="str">
        <f>IF($AK95="","",IF($AK95=0,"",IF(INDEX(LookupData!V:V,$AK95)="","",INDEX(LookupData!V:V,$AK95))))</f>
        <v/>
      </c>
      <c r="W95" t="str">
        <f>IF($AK95="","",IF($AK95=0,"",IF(INDEX(LookupData!W:W,$AK95)="","",INDEX(LookupData!W:W,$AK95))))</f>
        <v/>
      </c>
      <c r="X95" s="7" t="str">
        <f>IF($AK95="","",IF($AK95=0,"",IF(INDEX(LookupData!X:X,$AK95)="","",INDEX(LookupData!X:X,$AK95))))</f>
        <v/>
      </c>
      <c r="Y95" s="7" t="str">
        <f>IF($AK95="","",IF($AK95=0,"",IF(INDEX(LookupData!Y:Y,$AK95)="","",INDEX(LookupData!Y:Y,$AK95))))</f>
        <v/>
      </c>
      <c r="Z95" s="7" t="str">
        <f>IF($AK95="","",IF($AK95=0,"",IF(INDEX(LookupData!Z:Z,$AK95)="","",INDEX(LookupData!Z:Z,$AK95))))</f>
        <v/>
      </c>
      <c r="AA95" s="7" t="str">
        <f>IF($AK95="","",IF($AK95=0,"",IF(INDEX(LookupData!AA:AA,$AK95)="","",INDEX(LookupData!AA:AA,$AK95))))</f>
        <v/>
      </c>
      <c r="AB95" s="7" t="str">
        <f>IF($AK95="","",IF($AK95=0,"",IF(INDEX(LookupData!AB:AB,$AK95)="","",INDEX(LookupData!AB:AB,$AK95))))</f>
        <v/>
      </c>
      <c r="AC95" s="7" t="str">
        <f>IF($AK95="","",IF($AK95=0,"",IF(INDEX(LookupData!AC:AC,$AK95)="","",INDEX(LookupData!AC:AC,$AK95))))</f>
        <v/>
      </c>
      <c r="AD95" s="7" t="str">
        <f>IF($AK95="","",IF($AK95=0,"",IF(INDEX(LookupData!AD:AD,$AK95)="","",INDEX(LookupData!AD:AD,$AK95))))</f>
        <v/>
      </c>
      <c r="AE95" s="7" t="str">
        <f>IF($AK95="","",IF($AK95=0,"",IF(INDEX(LookupData!AE:AE,$AK95)="","",INDEX(LookupData!AE:AE,$AK95))))</f>
        <v/>
      </c>
      <c r="AF95" t="str">
        <f>IF($AK95="","",IF($AK95=0,"",IF(INDEX(LookupData!AF:AF,$AK95)="","",INDEX(LookupData!AF:AF,$AK95))))</f>
        <v/>
      </c>
      <c r="AG95" t="str">
        <f>IF($AK95="","",IF($AK95=0,"",IF(INDEX(LookupData!AG:AG,$AK95)="","",INDEX(LookupData!AG:AG,$AK95))))</f>
        <v/>
      </c>
      <c r="AH95" s="11" t="str">
        <f>IF($AK95="","",IF($AK95=0,"",IF(INDEX(LookupData!AH:AH,$AK95)="","",INDEX(LookupData!AH:AH,$AK95))))</f>
        <v/>
      </c>
      <c r="AI95" s="12" t="str">
        <f>IF($AK95="","",IF($AK95=0,"",IF(INDEX(LookupData!AI:AI,$AK95)="","",HYPERLINK(INDEX(LookupData!AI:AI,$AK95),"Open"))))</f>
        <v/>
      </c>
      <c r="AK95" t="str">
        <f>IF(AL95="","",IFERROR(MATCH(AL95,LookupData!$A:$A,0),0))</f>
        <v/>
      </c>
      <c r="AL95" t="str">
        <f t="shared" si="4"/>
        <v/>
      </c>
      <c r="AM95" t="str">
        <f t="shared" si="5"/>
        <v/>
      </c>
    </row>
    <row r="96" spans="1:39" x14ac:dyDescent="0.2">
      <c r="A96" s="9"/>
      <c r="B96" s="10" t="str">
        <f>IF($AK96="","",IF($AK96=0,"not in the database",IF(INDEX(LookupData!B:B,$AK96)="","",INDEX(LookupData!B:B,$AK96))))</f>
        <v/>
      </c>
      <c r="C96" t="str">
        <f>IF($AK96="","",IF($AK96=0,"",IF(INDEX(LookupData!C:C,$AK96)="","",INDEX(LookupData!C:C,$AK96))))</f>
        <v/>
      </c>
      <c r="D96" t="str">
        <f>IF($AK96="","",IF($AK96=0,"",IF(INDEX(LookupData!D:D,$AK96)="","",INDEX(LookupData!D:D,$AK96))))</f>
        <v/>
      </c>
      <c r="E96" t="str">
        <f>IF($AK96="","",IF($AK96=0,"",IF(INDEX(LookupData!E:E,$AK96)="","",INDEX(LookupData!E:E,$AK96))))</f>
        <v/>
      </c>
      <c r="F96" t="str">
        <f>IF($AK96="","",IF($AK96=0,"",IF(INDEX(LookupData!F:F,$AK96)="","",INDEX(LookupData!F:F,$AK96))))</f>
        <v/>
      </c>
      <c r="G96" t="str">
        <f>IF($AK96="","",IF($AK96=0,"",IF(INDEX(LookupData!G:G,$AK96)="","",INDEX(LookupData!G:G,$AK96))))</f>
        <v/>
      </c>
      <c r="H96" t="str">
        <f>IF($AK96="","",IF($AK96=0,"",IF(INDEX(LookupData!H:H,$AK96)="","",INDEX(LookupData!H:H,$AK96))))</f>
        <v/>
      </c>
      <c r="I96" s="7" t="str">
        <f>IF($AK96="","",IF($AK96=0,"",IF(INDEX(LookupData!I:I,$AK96)="","",INDEX(LookupData!I:I,$AK96))))</f>
        <v/>
      </c>
      <c r="J96" s="7" t="str">
        <f>IF($AK96="","",IF($AK96=0,"",IF(INDEX(LookupData!J:J,$AK96)="","",INDEX(LookupData!J:J,$AK96))))</f>
        <v/>
      </c>
      <c r="K96" s="7" t="str">
        <f>IF($AK96="","",IF($AK96=0,"",IF(INDEX(LookupData!K:K,$AK96)="","",INDEX(LookupData!K:K,$AK96))))</f>
        <v/>
      </c>
      <c r="L96" s="7" t="str">
        <f>IF($AK96="","",IF($AK96=0,"",IF(INDEX(LookupData!L:L,$AK96)="","",INDEX(LookupData!L:L,$AK96))))</f>
        <v/>
      </c>
      <c r="M96" s="7" t="str">
        <f>IF($AK96="","",IF($AK96=0,"",IF(INDEX(LookupData!M:M,$AK96)="","",INDEX(LookupData!M:M,$AK96))))</f>
        <v/>
      </c>
      <c r="N96" s="7" t="str">
        <f>IF($AK96="","",IF($AK96=0,"",IF(INDEX(LookupData!N:N,$AK96)="","",INDEX(LookupData!N:N,$AK96))))</f>
        <v/>
      </c>
      <c r="O96" s="7" t="str">
        <f>IF($AK96="","",IF($AK96=0,"",IF(INDEX(LookupData!O:O,$AK96)="","",INDEX(LookupData!O:O,$AK96))))</f>
        <v/>
      </c>
      <c r="P96" s="7" t="str">
        <f>IF($AK96="","",IF($AK96=0,"",IF(INDEX(LookupData!P:P,$AK96)="","",INDEX(LookupData!P:P,$AK96))))</f>
        <v/>
      </c>
      <c r="Q96" s="7" t="str">
        <f>IF($AK96="","",IF($AK96=0,"",IF(INDEX(LookupData!Q:Q,$AK96)="","",INDEX(LookupData!Q:Q,$AK96))))</f>
        <v/>
      </c>
      <c r="R96" s="7" t="str">
        <f>IF($AK96="","",IF($AK96=0,"",IF(INDEX(LookupData!R:R,$AK96)="","",INDEX(LookupData!R:R,$AK96))))</f>
        <v/>
      </c>
      <c r="S96" s="7" t="str">
        <f>IF($AK96="","",IF($AK96=0,"",IF(INDEX(LookupData!S:S,$AK96)="","",INDEX(LookupData!S:S,$AK96))))</f>
        <v/>
      </c>
      <c r="T96" s="7" t="str">
        <f>IF($AK96="","",IF($AK96=0,"",IF(INDEX(LookupData!T:T,$AK96)="","",INDEX(LookupData!T:T,$AK96))))</f>
        <v/>
      </c>
      <c r="U96" s="7" t="str">
        <f>IF($AK96="","",IF($AK96=0,"",IF(INDEX(LookupData!U:U,$AK96)="","",INDEX(LookupData!U:U,$AK96))))</f>
        <v/>
      </c>
      <c r="V96" s="7" t="str">
        <f>IF($AK96="","",IF($AK96=0,"",IF(INDEX(LookupData!V:V,$AK96)="","",INDEX(LookupData!V:V,$AK96))))</f>
        <v/>
      </c>
      <c r="W96" t="str">
        <f>IF($AK96="","",IF($AK96=0,"",IF(INDEX(LookupData!W:W,$AK96)="","",INDEX(LookupData!W:W,$AK96))))</f>
        <v/>
      </c>
      <c r="X96" s="7" t="str">
        <f>IF($AK96="","",IF($AK96=0,"",IF(INDEX(LookupData!X:X,$AK96)="","",INDEX(LookupData!X:X,$AK96))))</f>
        <v/>
      </c>
      <c r="Y96" s="7" t="str">
        <f>IF($AK96="","",IF($AK96=0,"",IF(INDEX(LookupData!Y:Y,$AK96)="","",INDEX(LookupData!Y:Y,$AK96))))</f>
        <v/>
      </c>
      <c r="Z96" s="7" t="str">
        <f>IF($AK96="","",IF($AK96=0,"",IF(INDEX(LookupData!Z:Z,$AK96)="","",INDEX(LookupData!Z:Z,$AK96))))</f>
        <v/>
      </c>
      <c r="AA96" s="7" t="str">
        <f>IF($AK96="","",IF($AK96=0,"",IF(INDEX(LookupData!AA:AA,$AK96)="","",INDEX(LookupData!AA:AA,$AK96))))</f>
        <v/>
      </c>
      <c r="AB96" s="7" t="str">
        <f>IF($AK96="","",IF($AK96=0,"",IF(INDEX(LookupData!AB:AB,$AK96)="","",INDEX(LookupData!AB:AB,$AK96))))</f>
        <v/>
      </c>
      <c r="AC96" s="7" t="str">
        <f>IF($AK96="","",IF($AK96=0,"",IF(INDEX(LookupData!AC:AC,$AK96)="","",INDEX(LookupData!AC:AC,$AK96))))</f>
        <v/>
      </c>
      <c r="AD96" s="7" t="str">
        <f>IF($AK96="","",IF($AK96=0,"",IF(INDEX(LookupData!AD:AD,$AK96)="","",INDEX(LookupData!AD:AD,$AK96))))</f>
        <v/>
      </c>
      <c r="AE96" s="7" t="str">
        <f>IF($AK96="","",IF($AK96=0,"",IF(INDEX(LookupData!AE:AE,$AK96)="","",INDEX(LookupData!AE:AE,$AK96))))</f>
        <v/>
      </c>
      <c r="AF96" t="str">
        <f>IF($AK96="","",IF($AK96=0,"",IF(INDEX(LookupData!AF:AF,$AK96)="","",INDEX(LookupData!AF:AF,$AK96))))</f>
        <v/>
      </c>
      <c r="AG96" t="str">
        <f>IF($AK96="","",IF($AK96=0,"",IF(INDEX(LookupData!AG:AG,$AK96)="","",INDEX(LookupData!AG:AG,$AK96))))</f>
        <v/>
      </c>
      <c r="AH96" s="11" t="str">
        <f>IF($AK96="","",IF($AK96=0,"",IF(INDEX(LookupData!AH:AH,$AK96)="","",INDEX(LookupData!AH:AH,$AK96))))</f>
        <v/>
      </c>
      <c r="AI96" s="12" t="str">
        <f>IF($AK96="","",IF($AK96=0,"",IF(INDEX(LookupData!AI:AI,$AK96)="","",HYPERLINK(INDEX(LookupData!AI:AI,$AK96),"Open"))))</f>
        <v/>
      </c>
      <c r="AK96" t="str">
        <f>IF(AL96="","",IFERROR(MATCH(AL96,LookupData!$A:$A,0),0))</f>
        <v/>
      </c>
      <c r="AL96" t="str">
        <f t="shared" si="4"/>
        <v/>
      </c>
      <c r="AM96" t="str">
        <f t="shared" si="5"/>
        <v/>
      </c>
    </row>
    <row r="97" spans="1:39" x14ac:dyDescent="0.2">
      <c r="A97" s="9"/>
      <c r="B97" s="10" t="str">
        <f>IF($AK97="","",IF($AK97=0,"not in the database",IF(INDEX(LookupData!B:B,$AK97)="","",INDEX(LookupData!B:B,$AK97))))</f>
        <v/>
      </c>
      <c r="C97" t="str">
        <f>IF($AK97="","",IF($AK97=0,"",IF(INDEX(LookupData!C:C,$AK97)="","",INDEX(LookupData!C:C,$AK97))))</f>
        <v/>
      </c>
      <c r="D97" t="str">
        <f>IF($AK97="","",IF($AK97=0,"",IF(INDEX(LookupData!D:D,$AK97)="","",INDEX(LookupData!D:D,$AK97))))</f>
        <v/>
      </c>
      <c r="E97" t="str">
        <f>IF($AK97="","",IF($AK97=0,"",IF(INDEX(LookupData!E:E,$AK97)="","",INDEX(LookupData!E:E,$AK97))))</f>
        <v/>
      </c>
      <c r="F97" t="str">
        <f>IF($AK97="","",IF($AK97=0,"",IF(INDEX(LookupData!F:F,$AK97)="","",INDEX(LookupData!F:F,$AK97))))</f>
        <v/>
      </c>
      <c r="G97" t="str">
        <f>IF($AK97="","",IF($AK97=0,"",IF(INDEX(LookupData!G:G,$AK97)="","",INDEX(LookupData!G:G,$AK97))))</f>
        <v/>
      </c>
      <c r="H97" t="str">
        <f>IF($AK97="","",IF($AK97=0,"",IF(INDEX(LookupData!H:H,$AK97)="","",INDEX(LookupData!H:H,$AK97))))</f>
        <v/>
      </c>
      <c r="I97" s="7" t="str">
        <f>IF($AK97="","",IF($AK97=0,"",IF(INDEX(LookupData!I:I,$AK97)="","",INDEX(LookupData!I:I,$AK97))))</f>
        <v/>
      </c>
      <c r="J97" s="7" t="str">
        <f>IF($AK97="","",IF($AK97=0,"",IF(INDEX(LookupData!J:J,$AK97)="","",INDEX(LookupData!J:J,$AK97))))</f>
        <v/>
      </c>
      <c r="K97" s="7" t="str">
        <f>IF($AK97="","",IF($AK97=0,"",IF(INDEX(LookupData!K:K,$AK97)="","",INDEX(LookupData!K:K,$AK97))))</f>
        <v/>
      </c>
      <c r="L97" s="7" t="str">
        <f>IF($AK97="","",IF($AK97=0,"",IF(INDEX(LookupData!L:L,$AK97)="","",INDEX(LookupData!L:L,$AK97))))</f>
        <v/>
      </c>
      <c r="M97" s="7" t="str">
        <f>IF($AK97="","",IF($AK97=0,"",IF(INDEX(LookupData!M:M,$AK97)="","",INDEX(LookupData!M:M,$AK97))))</f>
        <v/>
      </c>
      <c r="N97" s="7" t="str">
        <f>IF($AK97="","",IF($AK97=0,"",IF(INDEX(LookupData!N:N,$AK97)="","",INDEX(LookupData!N:N,$AK97))))</f>
        <v/>
      </c>
      <c r="O97" s="7" t="str">
        <f>IF($AK97="","",IF($AK97=0,"",IF(INDEX(LookupData!O:O,$AK97)="","",INDEX(LookupData!O:O,$AK97))))</f>
        <v/>
      </c>
      <c r="P97" s="7" t="str">
        <f>IF($AK97="","",IF($AK97=0,"",IF(INDEX(LookupData!P:P,$AK97)="","",INDEX(LookupData!P:P,$AK97))))</f>
        <v/>
      </c>
      <c r="Q97" s="7" t="str">
        <f>IF($AK97="","",IF($AK97=0,"",IF(INDEX(LookupData!Q:Q,$AK97)="","",INDEX(LookupData!Q:Q,$AK97))))</f>
        <v/>
      </c>
      <c r="R97" s="7" t="str">
        <f>IF($AK97="","",IF($AK97=0,"",IF(INDEX(LookupData!R:R,$AK97)="","",INDEX(LookupData!R:R,$AK97))))</f>
        <v/>
      </c>
      <c r="S97" s="7" t="str">
        <f>IF($AK97="","",IF($AK97=0,"",IF(INDEX(LookupData!S:S,$AK97)="","",INDEX(LookupData!S:S,$AK97))))</f>
        <v/>
      </c>
      <c r="T97" s="7" t="str">
        <f>IF($AK97="","",IF($AK97=0,"",IF(INDEX(LookupData!T:T,$AK97)="","",INDEX(LookupData!T:T,$AK97))))</f>
        <v/>
      </c>
      <c r="U97" s="7" t="str">
        <f>IF($AK97="","",IF($AK97=0,"",IF(INDEX(LookupData!U:U,$AK97)="","",INDEX(LookupData!U:U,$AK97))))</f>
        <v/>
      </c>
      <c r="V97" s="7" t="str">
        <f>IF($AK97="","",IF($AK97=0,"",IF(INDEX(LookupData!V:V,$AK97)="","",INDEX(LookupData!V:V,$AK97))))</f>
        <v/>
      </c>
      <c r="W97" t="str">
        <f>IF($AK97="","",IF($AK97=0,"",IF(INDEX(LookupData!W:W,$AK97)="","",INDEX(LookupData!W:W,$AK97))))</f>
        <v/>
      </c>
      <c r="X97" s="7" t="str">
        <f>IF($AK97="","",IF($AK97=0,"",IF(INDEX(LookupData!X:X,$AK97)="","",INDEX(LookupData!X:X,$AK97))))</f>
        <v/>
      </c>
      <c r="Y97" s="7" t="str">
        <f>IF($AK97="","",IF($AK97=0,"",IF(INDEX(LookupData!Y:Y,$AK97)="","",INDEX(LookupData!Y:Y,$AK97))))</f>
        <v/>
      </c>
      <c r="Z97" s="7" t="str">
        <f>IF($AK97="","",IF($AK97=0,"",IF(INDEX(LookupData!Z:Z,$AK97)="","",INDEX(LookupData!Z:Z,$AK97))))</f>
        <v/>
      </c>
      <c r="AA97" s="7" t="str">
        <f>IF($AK97="","",IF($AK97=0,"",IF(INDEX(LookupData!AA:AA,$AK97)="","",INDEX(LookupData!AA:AA,$AK97))))</f>
        <v/>
      </c>
      <c r="AB97" s="7" t="str">
        <f>IF($AK97="","",IF($AK97=0,"",IF(INDEX(LookupData!AB:AB,$AK97)="","",INDEX(LookupData!AB:AB,$AK97))))</f>
        <v/>
      </c>
      <c r="AC97" s="7" t="str">
        <f>IF($AK97="","",IF($AK97=0,"",IF(INDEX(LookupData!AC:AC,$AK97)="","",INDEX(LookupData!AC:AC,$AK97))))</f>
        <v/>
      </c>
      <c r="AD97" s="7" t="str">
        <f>IF($AK97="","",IF($AK97=0,"",IF(INDEX(LookupData!AD:AD,$AK97)="","",INDEX(LookupData!AD:AD,$AK97))))</f>
        <v/>
      </c>
      <c r="AE97" s="7" t="str">
        <f>IF($AK97="","",IF($AK97=0,"",IF(INDEX(LookupData!AE:AE,$AK97)="","",INDEX(LookupData!AE:AE,$AK97))))</f>
        <v/>
      </c>
      <c r="AF97" t="str">
        <f>IF($AK97="","",IF($AK97=0,"",IF(INDEX(LookupData!AF:AF,$AK97)="","",INDEX(LookupData!AF:AF,$AK97))))</f>
        <v/>
      </c>
      <c r="AG97" t="str">
        <f>IF($AK97="","",IF($AK97=0,"",IF(INDEX(LookupData!AG:AG,$AK97)="","",INDEX(LookupData!AG:AG,$AK97))))</f>
        <v/>
      </c>
      <c r="AH97" s="11" t="str">
        <f>IF($AK97="","",IF($AK97=0,"",IF(INDEX(LookupData!AH:AH,$AK97)="","",INDEX(LookupData!AH:AH,$AK97))))</f>
        <v/>
      </c>
      <c r="AI97" s="12" t="str">
        <f>IF($AK97="","",IF($AK97=0,"",IF(INDEX(LookupData!AI:AI,$AK97)="","",HYPERLINK(INDEX(LookupData!AI:AI,$AK97),"Open"))))</f>
        <v/>
      </c>
      <c r="AK97" t="str">
        <f>IF(AL97="","",IFERROR(MATCH(AL97,LookupData!$A:$A,0),0))</f>
        <v/>
      </c>
      <c r="AL97" t="str">
        <f t="shared" si="4"/>
        <v/>
      </c>
      <c r="AM97" t="str">
        <f t="shared" si="5"/>
        <v/>
      </c>
    </row>
    <row r="98" spans="1:39" x14ac:dyDescent="0.2">
      <c r="A98" s="9"/>
      <c r="B98" s="10" t="str">
        <f>IF($AK98="","",IF($AK98=0,"not in the database",IF(INDEX(LookupData!B:B,$AK98)="","",INDEX(LookupData!B:B,$AK98))))</f>
        <v/>
      </c>
      <c r="C98" t="str">
        <f>IF($AK98="","",IF($AK98=0,"",IF(INDEX(LookupData!C:C,$AK98)="","",INDEX(LookupData!C:C,$AK98))))</f>
        <v/>
      </c>
      <c r="D98" t="str">
        <f>IF($AK98="","",IF($AK98=0,"",IF(INDEX(LookupData!D:D,$AK98)="","",INDEX(LookupData!D:D,$AK98))))</f>
        <v/>
      </c>
      <c r="E98" t="str">
        <f>IF($AK98="","",IF($AK98=0,"",IF(INDEX(LookupData!E:E,$AK98)="","",INDEX(LookupData!E:E,$AK98))))</f>
        <v/>
      </c>
      <c r="F98" t="str">
        <f>IF($AK98="","",IF($AK98=0,"",IF(INDEX(LookupData!F:F,$AK98)="","",INDEX(LookupData!F:F,$AK98))))</f>
        <v/>
      </c>
      <c r="G98" t="str">
        <f>IF($AK98="","",IF($AK98=0,"",IF(INDEX(LookupData!G:G,$AK98)="","",INDEX(LookupData!G:G,$AK98))))</f>
        <v/>
      </c>
      <c r="H98" t="str">
        <f>IF($AK98="","",IF($AK98=0,"",IF(INDEX(LookupData!H:H,$AK98)="","",INDEX(LookupData!H:H,$AK98))))</f>
        <v/>
      </c>
      <c r="I98" s="7" t="str">
        <f>IF($AK98="","",IF($AK98=0,"",IF(INDEX(LookupData!I:I,$AK98)="","",INDEX(LookupData!I:I,$AK98))))</f>
        <v/>
      </c>
      <c r="J98" s="7" t="str">
        <f>IF($AK98="","",IF($AK98=0,"",IF(INDEX(LookupData!J:J,$AK98)="","",INDEX(LookupData!J:J,$AK98))))</f>
        <v/>
      </c>
      <c r="K98" s="7" t="str">
        <f>IF($AK98="","",IF($AK98=0,"",IF(INDEX(LookupData!K:K,$AK98)="","",INDEX(LookupData!K:K,$AK98))))</f>
        <v/>
      </c>
      <c r="L98" s="7" t="str">
        <f>IF($AK98="","",IF($AK98=0,"",IF(INDEX(LookupData!L:L,$AK98)="","",INDEX(LookupData!L:L,$AK98))))</f>
        <v/>
      </c>
      <c r="M98" s="7" t="str">
        <f>IF($AK98="","",IF($AK98=0,"",IF(INDEX(LookupData!M:M,$AK98)="","",INDEX(LookupData!M:M,$AK98))))</f>
        <v/>
      </c>
      <c r="N98" s="7" t="str">
        <f>IF($AK98="","",IF($AK98=0,"",IF(INDEX(LookupData!N:N,$AK98)="","",INDEX(LookupData!N:N,$AK98))))</f>
        <v/>
      </c>
      <c r="O98" s="7" t="str">
        <f>IF($AK98="","",IF($AK98=0,"",IF(INDEX(LookupData!O:O,$AK98)="","",INDEX(LookupData!O:O,$AK98))))</f>
        <v/>
      </c>
      <c r="P98" s="7" t="str">
        <f>IF($AK98="","",IF($AK98=0,"",IF(INDEX(LookupData!P:P,$AK98)="","",INDEX(LookupData!P:P,$AK98))))</f>
        <v/>
      </c>
      <c r="Q98" s="7" t="str">
        <f>IF($AK98="","",IF($AK98=0,"",IF(INDEX(LookupData!Q:Q,$AK98)="","",INDEX(LookupData!Q:Q,$AK98))))</f>
        <v/>
      </c>
      <c r="R98" s="7" t="str">
        <f>IF($AK98="","",IF($AK98=0,"",IF(INDEX(LookupData!R:R,$AK98)="","",INDEX(LookupData!R:R,$AK98))))</f>
        <v/>
      </c>
      <c r="S98" s="7" t="str">
        <f>IF($AK98="","",IF($AK98=0,"",IF(INDEX(LookupData!S:S,$AK98)="","",INDEX(LookupData!S:S,$AK98))))</f>
        <v/>
      </c>
      <c r="T98" s="7" t="str">
        <f>IF($AK98="","",IF($AK98=0,"",IF(INDEX(LookupData!T:T,$AK98)="","",INDEX(LookupData!T:T,$AK98))))</f>
        <v/>
      </c>
      <c r="U98" s="7" t="str">
        <f>IF($AK98="","",IF($AK98=0,"",IF(INDEX(LookupData!U:U,$AK98)="","",INDEX(LookupData!U:U,$AK98))))</f>
        <v/>
      </c>
      <c r="V98" s="7" t="str">
        <f>IF($AK98="","",IF($AK98=0,"",IF(INDEX(LookupData!V:V,$AK98)="","",INDEX(LookupData!V:V,$AK98))))</f>
        <v/>
      </c>
      <c r="W98" t="str">
        <f>IF($AK98="","",IF($AK98=0,"",IF(INDEX(LookupData!W:W,$AK98)="","",INDEX(LookupData!W:W,$AK98))))</f>
        <v/>
      </c>
      <c r="X98" s="7" t="str">
        <f>IF($AK98="","",IF($AK98=0,"",IF(INDEX(LookupData!X:X,$AK98)="","",INDEX(LookupData!X:X,$AK98))))</f>
        <v/>
      </c>
      <c r="Y98" s="7" t="str">
        <f>IF($AK98="","",IF($AK98=0,"",IF(INDEX(LookupData!Y:Y,$AK98)="","",INDEX(LookupData!Y:Y,$AK98))))</f>
        <v/>
      </c>
      <c r="Z98" s="7" t="str">
        <f>IF($AK98="","",IF($AK98=0,"",IF(INDEX(LookupData!Z:Z,$AK98)="","",INDEX(LookupData!Z:Z,$AK98))))</f>
        <v/>
      </c>
      <c r="AA98" s="7" t="str">
        <f>IF($AK98="","",IF($AK98=0,"",IF(INDEX(LookupData!AA:AA,$AK98)="","",INDEX(LookupData!AA:AA,$AK98))))</f>
        <v/>
      </c>
      <c r="AB98" s="7" t="str">
        <f>IF($AK98="","",IF($AK98=0,"",IF(INDEX(LookupData!AB:AB,$AK98)="","",INDEX(LookupData!AB:AB,$AK98))))</f>
        <v/>
      </c>
      <c r="AC98" s="7" t="str">
        <f>IF($AK98="","",IF($AK98=0,"",IF(INDEX(LookupData!AC:AC,$AK98)="","",INDEX(LookupData!AC:AC,$AK98))))</f>
        <v/>
      </c>
      <c r="AD98" s="7" t="str">
        <f>IF($AK98="","",IF($AK98=0,"",IF(INDEX(LookupData!AD:AD,$AK98)="","",INDEX(LookupData!AD:AD,$AK98))))</f>
        <v/>
      </c>
      <c r="AE98" s="7" t="str">
        <f>IF($AK98="","",IF($AK98=0,"",IF(INDEX(LookupData!AE:AE,$AK98)="","",INDEX(LookupData!AE:AE,$AK98))))</f>
        <v/>
      </c>
      <c r="AF98" t="str">
        <f>IF($AK98="","",IF($AK98=0,"",IF(INDEX(LookupData!AF:AF,$AK98)="","",INDEX(LookupData!AF:AF,$AK98))))</f>
        <v/>
      </c>
      <c r="AG98" t="str">
        <f>IF($AK98="","",IF($AK98=0,"",IF(INDEX(LookupData!AG:AG,$AK98)="","",INDEX(LookupData!AG:AG,$AK98))))</f>
        <v/>
      </c>
      <c r="AH98" s="11" t="str">
        <f>IF($AK98="","",IF($AK98=0,"",IF(INDEX(LookupData!AH:AH,$AK98)="","",INDEX(LookupData!AH:AH,$AK98))))</f>
        <v/>
      </c>
      <c r="AI98" s="12" t="str">
        <f>IF($AK98="","",IF($AK98=0,"",IF(INDEX(LookupData!AI:AI,$AK98)="","",HYPERLINK(INDEX(LookupData!AI:AI,$AK98),"Open"))))</f>
        <v/>
      </c>
      <c r="AK98" t="str">
        <f>IF(AL98="","",IFERROR(MATCH(AL98,LookupData!$A:$A,0),0))</f>
        <v/>
      </c>
      <c r="AL98" t="str">
        <f t="shared" ref="AL98:AL129" si="6">IF(TRIM($A98)="","",UPPER(TRIM($A98)))</f>
        <v/>
      </c>
      <c r="AM98" t="str">
        <f t="shared" si="5"/>
        <v/>
      </c>
    </row>
    <row r="99" spans="1:39" x14ac:dyDescent="0.2">
      <c r="A99" s="9"/>
      <c r="B99" s="10" t="str">
        <f>IF($AK99="","",IF($AK99=0,"not in the database",IF(INDEX(LookupData!B:B,$AK99)="","",INDEX(LookupData!B:B,$AK99))))</f>
        <v/>
      </c>
      <c r="C99" t="str">
        <f>IF($AK99="","",IF($AK99=0,"",IF(INDEX(LookupData!C:C,$AK99)="","",INDEX(LookupData!C:C,$AK99))))</f>
        <v/>
      </c>
      <c r="D99" t="str">
        <f>IF($AK99="","",IF($AK99=0,"",IF(INDEX(LookupData!D:D,$AK99)="","",INDEX(LookupData!D:D,$AK99))))</f>
        <v/>
      </c>
      <c r="E99" t="str">
        <f>IF($AK99="","",IF($AK99=0,"",IF(INDEX(LookupData!E:E,$AK99)="","",INDEX(LookupData!E:E,$AK99))))</f>
        <v/>
      </c>
      <c r="F99" t="str">
        <f>IF($AK99="","",IF($AK99=0,"",IF(INDEX(LookupData!F:F,$AK99)="","",INDEX(LookupData!F:F,$AK99))))</f>
        <v/>
      </c>
      <c r="G99" t="str">
        <f>IF($AK99="","",IF($AK99=0,"",IF(INDEX(LookupData!G:G,$AK99)="","",INDEX(LookupData!G:G,$AK99))))</f>
        <v/>
      </c>
      <c r="H99" t="str">
        <f>IF($AK99="","",IF($AK99=0,"",IF(INDEX(LookupData!H:H,$AK99)="","",INDEX(LookupData!H:H,$AK99))))</f>
        <v/>
      </c>
      <c r="I99" s="7" t="str">
        <f>IF($AK99="","",IF($AK99=0,"",IF(INDEX(LookupData!I:I,$AK99)="","",INDEX(LookupData!I:I,$AK99))))</f>
        <v/>
      </c>
      <c r="J99" s="7" t="str">
        <f>IF($AK99="","",IF($AK99=0,"",IF(INDEX(LookupData!J:J,$AK99)="","",INDEX(LookupData!J:J,$AK99))))</f>
        <v/>
      </c>
      <c r="K99" s="7" t="str">
        <f>IF($AK99="","",IF($AK99=0,"",IF(INDEX(LookupData!K:K,$AK99)="","",INDEX(LookupData!K:K,$AK99))))</f>
        <v/>
      </c>
      <c r="L99" s="7" t="str">
        <f>IF($AK99="","",IF($AK99=0,"",IF(INDEX(LookupData!L:L,$AK99)="","",INDEX(LookupData!L:L,$AK99))))</f>
        <v/>
      </c>
      <c r="M99" s="7" t="str">
        <f>IF($AK99="","",IF($AK99=0,"",IF(INDEX(LookupData!M:M,$AK99)="","",INDEX(LookupData!M:M,$AK99))))</f>
        <v/>
      </c>
      <c r="N99" s="7" t="str">
        <f>IF($AK99="","",IF($AK99=0,"",IF(INDEX(LookupData!N:N,$AK99)="","",INDEX(LookupData!N:N,$AK99))))</f>
        <v/>
      </c>
      <c r="O99" s="7" t="str">
        <f>IF($AK99="","",IF($AK99=0,"",IF(INDEX(LookupData!O:O,$AK99)="","",INDEX(LookupData!O:O,$AK99))))</f>
        <v/>
      </c>
      <c r="P99" s="7" t="str">
        <f>IF($AK99="","",IF($AK99=0,"",IF(INDEX(LookupData!P:P,$AK99)="","",INDEX(LookupData!P:P,$AK99))))</f>
        <v/>
      </c>
      <c r="Q99" s="7" t="str">
        <f>IF($AK99="","",IF($AK99=0,"",IF(INDEX(LookupData!Q:Q,$AK99)="","",INDEX(LookupData!Q:Q,$AK99))))</f>
        <v/>
      </c>
      <c r="R99" s="7" t="str">
        <f>IF($AK99="","",IF($AK99=0,"",IF(INDEX(LookupData!R:R,$AK99)="","",INDEX(LookupData!R:R,$AK99))))</f>
        <v/>
      </c>
      <c r="S99" s="7" t="str">
        <f>IF($AK99="","",IF($AK99=0,"",IF(INDEX(LookupData!S:S,$AK99)="","",INDEX(LookupData!S:S,$AK99))))</f>
        <v/>
      </c>
      <c r="T99" s="7" t="str">
        <f>IF($AK99="","",IF($AK99=0,"",IF(INDEX(LookupData!T:T,$AK99)="","",INDEX(LookupData!T:T,$AK99))))</f>
        <v/>
      </c>
      <c r="U99" s="7" t="str">
        <f>IF($AK99="","",IF($AK99=0,"",IF(INDEX(LookupData!U:U,$AK99)="","",INDEX(LookupData!U:U,$AK99))))</f>
        <v/>
      </c>
      <c r="V99" s="7" t="str">
        <f>IF($AK99="","",IF($AK99=0,"",IF(INDEX(LookupData!V:V,$AK99)="","",INDEX(LookupData!V:V,$AK99))))</f>
        <v/>
      </c>
      <c r="W99" t="str">
        <f>IF($AK99="","",IF($AK99=0,"",IF(INDEX(LookupData!W:W,$AK99)="","",INDEX(LookupData!W:W,$AK99))))</f>
        <v/>
      </c>
      <c r="X99" s="7" t="str">
        <f>IF($AK99="","",IF($AK99=0,"",IF(INDEX(LookupData!X:X,$AK99)="","",INDEX(LookupData!X:X,$AK99))))</f>
        <v/>
      </c>
      <c r="Y99" s="7" t="str">
        <f>IF($AK99="","",IF($AK99=0,"",IF(INDEX(LookupData!Y:Y,$AK99)="","",INDEX(LookupData!Y:Y,$AK99))))</f>
        <v/>
      </c>
      <c r="Z99" s="7" t="str">
        <f>IF($AK99="","",IF($AK99=0,"",IF(INDEX(LookupData!Z:Z,$AK99)="","",INDEX(LookupData!Z:Z,$AK99))))</f>
        <v/>
      </c>
      <c r="AA99" s="7" t="str">
        <f>IF($AK99="","",IF($AK99=0,"",IF(INDEX(LookupData!AA:AA,$AK99)="","",INDEX(LookupData!AA:AA,$AK99))))</f>
        <v/>
      </c>
      <c r="AB99" s="7" t="str">
        <f>IF($AK99="","",IF($AK99=0,"",IF(INDEX(LookupData!AB:AB,$AK99)="","",INDEX(LookupData!AB:AB,$AK99))))</f>
        <v/>
      </c>
      <c r="AC99" s="7" t="str">
        <f>IF($AK99="","",IF($AK99=0,"",IF(INDEX(LookupData!AC:AC,$AK99)="","",INDEX(LookupData!AC:AC,$AK99))))</f>
        <v/>
      </c>
      <c r="AD99" s="7" t="str">
        <f>IF($AK99="","",IF($AK99=0,"",IF(INDEX(LookupData!AD:AD,$AK99)="","",INDEX(LookupData!AD:AD,$AK99))))</f>
        <v/>
      </c>
      <c r="AE99" s="7" t="str">
        <f>IF($AK99="","",IF($AK99=0,"",IF(INDEX(LookupData!AE:AE,$AK99)="","",INDEX(LookupData!AE:AE,$AK99))))</f>
        <v/>
      </c>
      <c r="AF99" t="str">
        <f>IF($AK99="","",IF($AK99=0,"",IF(INDEX(LookupData!AF:AF,$AK99)="","",INDEX(LookupData!AF:AF,$AK99))))</f>
        <v/>
      </c>
      <c r="AG99" t="str">
        <f>IF($AK99="","",IF($AK99=0,"",IF(INDEX(LookupData!AG:AG,$AK99)="","",INDEX(LookupData!AG:AG,$AK99))))</f>
        <v/>
      </c>
      <c r="AH99" s="11" t="str">
        <f>IF($AK99="","",IF($AK99=0,"",IF(INDEX(LookupData!AH:AH,$AK99)="","",INDEX(LookupData!AH:AH,$AK99))))</f>
        <v/>
      </c>
      <c r="AI99" s="12" t="str">
        <f>IF($AK99="","",IF($AK99=0,"",IF(INDEX(LookupData!AI:AI,$AK99)="","",HYPERLINK(INDEX(LookupData!AI:AI,$AK99),"Open"))))</f>
        <v/>
      </c>
      <c r="AK99" t="str">
        <f>IF(AL99="","",IFERROR(MATCH(AL99,LookupData!$A:$A,0),0))</f>
        <v/>
      </c>
      <c r="AL99" t="str">
        <f t="shared" si="6"/>
        <v/>
      </c>
      <c r="AM99" t="str">
        <f t="shared" ref="AM99:AM130" si="7">IF(AL99="",AM98,IF(AM98="",AL99,AM98&amp;"|"&amp;AL99))</f>
        <v/>
      </c>
    </row>
    <row r="100" spans="1:39" x14ac:dyDescent="0.2">
      <c r="A100" s="9"/>
      <c r="B100" s="10" t="str">
        <f>IF($AK100="","",IF($AK100=0,"not in the database",IF(INDEX(LookupData!B:B,$AK100)="","",INDEX(LookupData!B:B,$AK100))))</f>
        <v/>
      </c>
      <c r="C100" t="str">
        <f>IF($AK100="","",IF($AK100=0,"",IF(INDEX(LookupData!C:C,$AK100)="","",INDEX(LookupData!C:C,$AK100))))</f>
        <v/>
      </c>
      <c r="D100" t="str">
        <f>IF($AK100="","",IF($AK100=0,"",IF(INDEX(LookupData!D:D,$AK100)="","",INDEX(LookupData!D:D,$AK100))))</f>
        <v/>
      </c>
      <c r="E100" t="str">
        <f>IF($AK100="","",IF($AK100=0,"",IF(INDEX(LookupData!E:E,$AK100)="","",INDEX(LookupData!E:E,$AK100))))</f>
        <v/>
      </c>
      <c r="F100" t="str">
        <f>IF($AK100="","",IF($AK100=0,"",IF(INDEX(LookupData!F:F,$AK100)="","",INDEX(LookupData!F:F,$AK100))))</f>
        <v/>
      </c>
      <c r="G100" t="str">
        <f>IF($AK100="","",IF($AK100=0,"",IF(INDEX(LookupData!G:G,$AK100)="","",INDEX(LookupData!G:G,$AK100))))</f>
        <v/>
      </c>
      <c r="H100" t="str">
        <f>IF($AK100="","",IF($AK100=0,"",IF(INDEX(LookupData!H:H,$AK100)="","",INDEX(LookupData!H:H,$AK100))))</f>
        <v/>
      </c>
      <c r="I100" s="7" t="str">
        <f>IF($AK100="","",IF($AK100=0,"",IF(INDEX(LookupData!I:I,$AK100)="","",INDEX(LookupData!I:I,$AK100))))</f>
        <v/>
      </c>
      <c r="J100" s="7" t="str">
        <f>IF($AK100="","",IF($AK100=0,"",IF(INDEX(LookupData!J:J,$AK100)="","",INDEX(LookupData!J:J,$AK100))))</f>
        <v/>
      </c>
      <c r="K100" s="7" t="str">
        <f>IF($AK100="","",IF($AK100=0,"",IF(INDEX(LookupData!K:K,$AK100)="","",INDEX(LookupData!K:K,$AK100))))</f>
        <v/>
      </c>
      <c r="L100" s="7" t="str">
        <f>IF($AK100="","",IF($AK100=0,"",IF(INDEX(LookupData!L:L,$AK100)="","",INDEX(LookupData!L:L,$AK100))))</f>
        <v/>
      </c>
      <c r="M100" s="7" t="str">
        <f>IF($AK100="","",IF($AK100=0,"",IF(INDEX(LookupData!M:M,$AK100)="","",INDEX(LookupData!M:M,$AK100))))</f>
        <v/>
      </c>
      <c r="N100" s="7" t="str">
        <f>IF($AK100="","",IF($AK100=0,"",IF(INDEX(LookupData!N:N,$AK100)="","",INDEX(LookupData!N:N,$AK100))))</f>
        <v/>
      </c>
      <c r="O100" s="7" t="str">
        <f>IF($AK100="","",IF($AK100=0,"",IF(INDEX(LookupData!O:O,$AK100)="","",INDEX(LookupData!O:O,$AK100))))</f>
        <v/>
      </c>
      <c r="P100" s="7" t="str">
        <f>IF($AK100="","",IF($AK100=0,"",IF(INDEX(LookupData!P:P,$AK100)="","",INDEX(LookupData!P:P,$AK100))))</f>
        <v/>
      </c>
      <c r="Q100" s="7" t="str">
        <f>IF($AK100="","",IF($AK100=0,"",IF(INDEX(LookupData!Q:Q,$AK100)="","",INDEX(LookupData!Q:Q,$AK100))))</f>
        <v/>
      </c>
      <c r="R100" s="7" t="str">
        <f>IF($AK100="","",IF($AK100=0,"",IF(INDEX(LookupData!R:R,$AK100)="","",INDEX(LookupData!R:R,$AK100))))</f>
        <v/>
      </c>
      <c r="S100" s="7" t="str">
        <f>IF($AK100="","",IF($AK100=0,"",IF(INDEX(LookupData!S:S,$AK100)="","",INDEX(LookupData!S:S,$AK100))))</f>
        <v/>
      </c>
      <c r="T100" s="7" t="str">
        <f>IF($AK100="","",IF($AK100=0,"",IF(INDEX(LookupData!T:T,$AK100)="","",INDEX(LookupData!T:T,$AK100))))</f>
        <v/>
      </c>
      <c r="U100" s="7" t="str">
        <f>IF($AK100="","",IF($AK100=0,"",IF(INDEX(LookupData!U:U,$AK100)="","",INDEX(LookupData!U:U,$AK100))))</f>
        <v/>
      </c>
      <c r="V100" s="7" t="str">
        <f>IF($AK100="","",IF($AK100=0,"",IF(INDEX(LookupData!V:V,$AK100)="","",INDEX(LookupData!V:V,$AK100))))</f>
        <v/>
      </c>
      <c r="W100" t="str">
        <f>IF($AK100="","",IF($AK100=0,"",IF(INDEX(LookupData!W:W,$AK100)="","",INDEX(LookupData!W:W,$AK100))))</f>
        <v/>
      </c>
      <c r="X100" s="7" t="str">
        <f>IF($AK100="","",IF($AK100=0,"",IF(INDEX(LookupData!X:X,$AK100)="","",INDEX(LookupData!X:X,$AK100))))</f>
        <v/>
      </c>
      <c r="Y100" s="7" t="str">
        <f>IF($AK100="","",IF($AK100=0,"",IF(INDEX(LookupData!Y:Y,$AK100)="","",INDEX(LookupData!Y:Y,$AK100))))</f>
        <v/>
      </c>
      <c r="Z100" s="7" t="str">
        <f>IF($AK100="","",IF($AK100=0,"",IF(INDEX(LookupData!Z:Z,$AK100)="","",INDEX(LookupData!Z:Z,$AK100))))</f>
        <v/>
      </c>
      <c r="AA100" s="7" t="str">
        <f>IF($AK100="","",IF($AK100=0,"",IF(INDEX(LookupData!AA:AA,$AK100)="","",INDEX(LookupData!AA:AA,$AK100))))</f>
        <v/>
      </c>
      <c r="AB100" s="7" t="str">
        <f>IF($AK100="","",IF($AK100=0,"",IF(INDEX(LookupData!AB:AB,$AK100)="","",INDEX(LookupData!AB:AB,$AK100))))</f>
        <v/>
      </c>
      <c r="AC100" s="7" t="str">
        <f>IF($AK100="","",IF($AK100=0,"",IF(INDEX(LookupData!AC:AC,$AK100)="","",INDEX(LookupData!AC:AC,$AK100))))</f>
        <v/>
      </c>
      <c r="AD100" s="7" t="str">
        <f>IF($AK100="","",IF($AK100=0,"",IF(INDEX(LookupData!AD:AD,$AK100)="","",INDEX(LookupData!AD:AD,$AK100))))</f>
        <v/>
      </c>
      <c r="AE100" s="7" t="str">
        <f>IF($AK100="","",IF($AK100=0,"",IF(INDEX(LookupData!AE:AE,$AK100)="","",INDEX(LookupData!AE:AE,$AK100))))</f>
        <v/>
      </c>
      <c r="AF100" t="str">
        <f>IF($AK100="","",IF($AK100=0,"",IF(INDEX(LookupData!AF:AF,$AK100)="","",INDEX(LookupData!AF:AF,$AK100))))</f>
        <v/>
      </c>
      <c r="AG100" t="str">
        <f>IF($AK100="","",IF($AK100=0,"",IF(INDEX(LookupData!AG:AG,$AK100)="","",INDEX(LookupData!AG:AG,$AK100))))</f>
        <v/>
      </c>
      <c r="AH100" s="11" t="str">
        <f>IF($AK100="","",IF($AK100=0,"",IF(INDEX(LookupData!AH:AH,$AK100)="","",INDEX(LookupData!AH:AH,$AK100))))</f>
        <v/>
      </c>
      <c r="AI100" s="12" t="str">
        <f>IF($AK100="","",IF($AK100=0,"",IF(INDEX(LookupData!AI:AI,$AK100)="","",HYPERLINK(INDEX(LookupData!AI:AI,$AK100),"Open"))))</f>
        <v/>
      </c>
      <c r="AK100" t="str">
        <f>IF(AL100="","",IFERROR(MATCH(AL100,LookupData!$A:$A,0),0))</f>
        <v/>
      </c>
      <c r="AL100" t="str">
        <f t="shared" si="6"/>
        <v/>
      </c>
      <c r="AM100" t="str">
        <f t="shared" si="7"/>
        <v/>
      </c>
    </row>
    <row r="101" spans="1:39" x14ac:dyDescent="0.2">
      <c r="A101" s="9"/>
      <c r="B101" s="10" t="str">
        <f>IF($AK101="","",IF($AK101=0,"not in the database",IF(INDEX(LookupData!B:B,$AK101)="","",INDEX(LookupData!B:B,$AK101))))</f>
        <v/>
      </c>
      <c r="C101" t="str">
        <f>IF($AK101="","",IF($AK101=0,"",IF(INDEX(LookupData!C:C,$AK101)="","",INDEX(LookupData!C:C,$AK101))))</f>
        <v/>
      </c>
      <c r="D101" t="str">
        <f>IF($AK101="","",IF($AK101=0,"",IF(INDEX(LookupData!D:D,$AK101)="","",INDEX(LookupData!D:D,$AK101))))</f>
        <v/>
      </c>
      <c r="E101" t="str">
        <f>IF($AK101="","",IF($AK101=0,"",IF(INDEX(LookupData!E:E,$AK101)="","",INDEX(LookupData!E:E,$AK101))))</f>
        <v/>
      </c>
      <c r="F101" t="str">
        <f>IF($AK101="","",IF($AK101=0,"",IF(INDEX(LookupData!F:F,$AK101)="","",INDEX(LookupData!F:F,$AK101))))</f>
        <v/>
      </c>
      <c r="G101" t="str">
        <f>IF($AK101="","",IF($AK101=0,"",IF(INDEX(LookupData!G:G,$AK101)="","",INDEX(LookupData!G:G,$AK101))))</f>
        <v/>
      </c>
      <c r="H101" t="str">
        <f>IF($AK101="","",IF($AK101=0,"",IF(INDEX(LookupData!H:H,$AK101)="","",INDEX(LookupData!H:H,$AK101))))</f>
        <v/>
      </c>
      <c r="I101" s="7" t="str">
        <f>IF($AK101="","",IF($AK101=0,"",IF(INDEX(LookupData!I:I,$AK101)="","",INDEX(LookupData!I:I,$AK101))))</f>
        <v/>
      </c>
      <c r="J101" s="7" t="str">
        <f>IF($AK101="","",IF($AK101=0,"",IF(INDEX(LookupData!J:J,$AK101)="","",INDEX(LookupData!J:J,$AK101))))</f>
        <v/>
      </c>
      <c r="K101" s="7" t="str">
        <f>IF($AK101="","",IF($AK101=0,"",IF(INDEX(LookupData!K:K,$AK101)="","",INDEX(LookupData!K:K,$AK101))))</f>
        <v/>
      </c>
      <c r="L101" s="7" t="str">
        <f>IF($AK101="","",IF($AK101=0,"",IF(INDEX(LookupData!L:L,$AK101)="","",INDEX(LookupData!L:L,$AK101))))</f>
        <v/>
      </c>
      <c r="M101" s="7" t="str">
        <f>IF($AK101="","",IF($AK101=0,"",IF(INDEX(LookupData!M:M,$AK101)="","",INDEX(LookupData!M:M,$AK101))))</f>
        <v/>
      </c>
      <c r="N101" s="7" t="str">
        <f>IF($AK101="","",IF($AK101=0,"",IF(INDEX(LookupData!N:N,$AK101)="","",INDEX(LookupData!N:N,$AK101))))</f>
        <v/>
      </c>
      <c r="O101" s="7" t="str">
        <f>IF($AK101="","",IF($AK101=0,"",IF(INDEX(LookupData!O:O,$AK101)="","",INDEX(LookupData!O:O,$AK101))))</f>
        <v/>
      </c>
      <c r="P101" s="7" t="str">
        <f>IF($AK101="","",IF($AK101=0,"",IF(INDEX(LookupData!P:P,$AK101)="","",INDEX(LookupData!P:P,$AK101))))</f>
        <v/>
      </c>
      <c r="Q101" s="7" t="str">
        <f>IF($AK101="","",IF($AK101=0,"",IF(INDEX(LookupData!Q:Q,$AK101)="","",INDEX(LookupData!Q:Q,$AK101))))</f>
        <v/>
      </c>
      <c r="R101" s="7" t="str">
        <f>IF($AK101="","",IF($AK101=0,"",IF(INDEX(LookupData!R:R,$AK101)="","",INDEX(LookupData!R:R,$AK101))))</f>
        <v/>
      </c>
      <c r="S101" s="7" t="str">
        <f>IF($AK101="","",IF($AK101=0,"",IF(INDEX(LookupData!S:S,$AK101)="","",INDEX(LookupData!S:S,$AK101))))</f>
        <v/>
      </c>
      <c r="T101" s="7" t="str">
        <f>IF($AK101="","",IF($AK101=0,"",IF(INDEX(LookupData!T:T,$AK101)="","",INDEX(LookupData!T:T,$AK101))))</f>
        <v/>
      </c>
      <c r="U101" s="7" t="str">
        <f>IF($AK101="","",IF($AK101=0,"",IF(INDEX(LookupData!U:U,$AK101)="","",INDEX(LookupData!U:U,$AK101))))</f>
        <v/>
      </c>
      <c r="V101" s="7" t="str">
        <f>IF($AK101="","",IF($AK101=0,"",IF(INDEX(LookupData!V:V,$AK101)="","",INDEX(LookupData!V:V,$AK101))))</f>
        <v/>
      </c>
      <c r="W101" t="str">
        <f>IF($AK101="","",IF($AK101=0,"",IF(INDEX(LookupData!W:W,$AK101)="","",INDEX(LookupData!W:W,$AK101))))</f>
        <v/>
      </c>
      <c r="X101" s="7" t="str">
        <f>IF($AK101="","",IF($AK101=0,"",IF(INDEX(LookupData!X:X,$AK101)="","",INDEX(LookupData!X:X,$AK101))))</f>
        <v/>
      </c>
      <c r="Y101" s="7" t="str">
        <f>IF($AK101="","",IF($AK101=0,"",IF(INDEX(LookupData!Y:Y,$AK101)="","",INDEX(LookupData!Y:Y,$AK101))))</f>
        <v/>
      </c>
      <c r="Z101" s="7" t="str">
        <f>IF($AK101="","",IF($AK101=0,"",IF(INDEX(LookupData!Z:Z,$AK101)="","",INDEX(LookupData!Z:Z,$AK101))))</f>
        <v/>
      </c>
      <c r="AA101" s="7" t="str">
        <f>IF($AK101="","",IF($AK101=0,"",IF(INDEX(LookupData!AA:AA,$AK101)="","",INDEX(LookupData!AA:AA,$AK101))))</f>
        <v/>
      </c>
      <c r="AB101" s="7" t="str">
        <f>IF($AK101="","",IF($AK101=0,"",IF(INDEX(LookupData!AB:AB,$AK101)="","",INDEX(LookupData!AB:AB,$AK101))))</f>
        <v/>
      </c>
      <c r="AC101" s="7" t="str">
        <f>IF($AK101="","",IF($AK101=0,"",IF(INDEX(LookupData!AC:AC,$AK101)="","",INDEX(LookupData!AC:AC,$AK101))))</f>
        <v/>
      </c>
      <c r="AD101" s="7" t="str">
        <f>IF($AK101="","",IF($AK101=0,"",IF(INDEX(LookupData!AD:AD,$AK101)="","",INDEX(LookupData!AD:AD,$AK101))))</f>
        <v/>
      </c>
      <c r="AE101" s="7" t="str">
        <f>IF($AK101="","",IF($AK101=0,"",IF(INDEX(LookupData!AE:AE,$AK101)="","",INDEX(LookupData!AE:AE,$AK101))))</f>
        <v/>
      </c>
      <c r="AF101" t="str">
        <f>IF($AK101="","",IF($AK101=0,"",IF(INDEX(LookupData!AF:AF,$AK101)="","",INDEX(LookupData!AF:AF,$AK101))))</f>
        <v/>
      </c>
      <c r="AG101" t="str">
        <f>IF($AK101="","",IF($AK101=0,"",IF(INDEX(LookupData!AG:AG,$AK101)="","",INDEX(LookupData!AG:AG,$AK101))))</f>
        <v/>
      </c>
      <c r="AH101" s="11" t="str">
        <f>IF($AK101="","",IF($AK101=0,"",IF(INDEX(LookupData!AH:AH,$AK101)="","",INDEX(LookupData!AH:AH,$AK101))))</f>
        <v/>
      </c>
      <c r="AI101" s="12" t="str">
        <f>IF($AK101="","",IF($AK101=0,"",IF(INDEX(LookupData!AI:AI,$AK101)="","",HYPERLINK(INDEX(LookupData!AI:AI,$AK101),"Open"))))</f>
        <v/>
      </c>
      <c r="AK101" t="str">
        <f>IF(AL101="","",IFERROR(MATCH(AL101,LookupData!$A:$A,0),0))</f>
        <v/>
      </c>
      <c r="AL101" t="str">
        <f t="shared" si="6"/>
        <v/>
      </c>
      <c r="AM101" t="str">
        <f t="shared" si="7"/>
        <v/>
      </c>
    </row>
    <row r="102" spans="1:39" x14ac:dyDescent="0.2">
      <c r="A102" s="9"/>
      <c r="B102" s="10" t="str">
        <f>IF($AK102="","",IF($AK102=0,"not in the database",IF(INDEX(LookupData!B:B,$AK102)="","",INDEX(LookupData!B:B,$AK102))))</f>
        <v/>
      </c>
      <c r="C102" t="str">
        <f>IF($AK102="","",IF($AK102=0,"",IF(INDEX(LookupData!C:C,$AK102)="","",INDEX(LookupData!C:C,$AK102))))</f>
        <v/>
      </c>
      <c r="D102" t="str">
        <f>IF($AK102="","",IF($AK102=0,"",IF(INDEX(LookupData!D:D,$AK102)="","",INDEX(LookupData!D:D,$AK102))))</f>
        <v/>
      </c>
      <c r="E102" t="str">
        <f>IF($AK102="","",IF($AK102=0,"",IF(INDEX(LookupData!E:E,$AK102)="","",INDEX(LookupData!E:E,$AK102))))</f>
        <v/>
      </c>
      <c r="F102" t="str">
        <f>IF($AK102="","",IF($AK102=0,"",IF(INDEX(LookupData!F:F,$AK102)="","",INDEX(LookupData!F:F,$AK102))))</f>
        <v/>
      </c>
      <c r="G102" t="str">
        <f>IF($AK102="","",IF($AK102=0,"",IF(INDEX(LookupData!G:G,$AK102)="","",INDEX(LookupData!G:G,$AK102))))</f>
        <v/>
      </c>
      <c r="H102" t="str">
        <f>IF($AK102="","",IF($AK102=0,"",IF(INDEX(LookupData!H:H,$AK102)="","",INDEX(LookupData!H:H,$AK102))))</f>
        <v/>
      </c>
      <c r="I102" s="7" t="str">
        <f>IF($AK102="","",IF($AK102=0,"",IF(INDEX(LookupData!I:I,$AK102)="","",INDEX(LookupData!I:I,$AK102))))</f>
        <v/>
      </c>
      <c r="J102" s="7" t="str">
        <f>IF($AK102="","",IF($AK102=0,"",IF(INDEX(LookupData!J:J,$AK102)="","",INDEX(LookupData!J:J,$AK102))))</f>
        <v/>
      </c>
      <c r="K102" s="7" t="str">
        <f>IF($AK102="","",IF($AK102=0,"",IF(INDEX(LookupData!K:K,$AK102)="","",INDEX(LookupData!K:K,$AK102))))</f>
        <v/>
      </c>
      <c r="L102" s="7" t="str">
        <f>IF($AK102="","",IF($AK102=0,"",IF(INDEX(LookupData!L:L,$AK102)="","",INDEX(LookupData!L:L,$AK102))))</f>
        <v/>
      </c>
      <c r="M102" s="7" t="str">
        <f>IF($AK102="","",IF($AK102=0,"",IF(INDEX(LookupData!M:M,$AK102)="","",INDEX(LookupData!M:M,$AK102))))</f>
        <v/>
      </c>
      <c r="N102" s="7" t="str">
        <f>IF($AK102="","",IF($AK102=0,"",IF(INDEX(LookupData!N:N,$AK102)="","",INDEX(LookupData!N:N,$AK102))))</f>
        <v/>
      </c>
      <c r="O102" s="7" t="str">
        <f>IF($AK102="","",IF($AK102=0,"",IF(INDEX(LookupData!O:O,$AK102)="","",INDEX(LookupData!O:O,$AK102))))</f>
        <v/>
      </c>
      <c r="P102" s="7" t="str">
        <f>IF($AK102="","",IF($AK102=0,"",IF(INDEX(LookupData!P:P,$AK102)="","",INDEX(LookupData!P:P,$AK102))))</f>
        <v/>
      </c>
      <c r="Q102" s="7" t="str">
        <f>IF($AK102="","",IF($AK102=0,"",IF(INDEX(LookupData!Q:Q,$AK102)="","",INDEX(LookupData!Q:Q,$AK102))))</f>
        <v/>
      </c>
      <c r="R102" s="7" t="str">
        <f>IF($AK102="","",IF($AK102=0,"",IF(INDEX(LookupData!R:R,$AK102)="","",INDEX(LookupData!R:R,$AK102))))</f>
        <v/>
      </c>
      <c r="S102" s="7" t="str">
        <f>IF($AK102="","",IF($AK102=0,"",IF(INDEX(LookupData!S:S,$AK102)="","",INDEX(LookupData!S:S,$AK102))))</f>
        <v/>
      </c>
      <c r="T102" s="7" t="str">
        <f>IF($AK102="","",IF($AK102=0,"",IF(INDEX(LookupData!T:T,$AK102)="","",INDEX(LookupData!T:T,$AK102))))</f>
        <v/>
      </c>
      <c r="U102" s="7" t="str">
        <f>IF($AK102="","",IF($AK102=0,"",IF(INDEX(LookupData!U:U,$AK102)="","",INDEX(LookupData!U:U,$AK102))))</f>
        <v/>
      </c>
      <c r="V102" s="7" t="str">
        <f>IF($AK102="","",IF($AK102=0,"",IF(INDEX(LookupData!V:V,$AK102)="","",INDEX(LookupData!V:V,$AK102))))</f>
        <v/>
      </c>
      <c r="W102" t="str">
        <f>IF($AK102="","",IF($AK102=0,"",IF(INDEX(LookupData!W:W,$AK102)="","",INDEX(LookupData!W:W,$AK102))))</f>
        <v/>
      </c>
      <c r="X102" s="7" t="str">
        <f>IF($AK102="","",IF($AK102=0,"",IF(INDEX(LookupData!X:X,$AK102)="","",INDEX(LookupData!X:X,$AK102))))</f>
        <v/>
      </c>
      <c r="Y102" s="7" t="str">
        <f>IF($AK102="","",IF($AK102=0,"",IF(INDEX(LookupData!Y:Y,$AK102)="","",INDEX(LookupData!Y:Y,$AK102))))</f>
        <v/>
      </c>
      <c r="Z102" s="7" t="str">
        <f>IF($AK102="","",IF($AK102=0,"",IF(INDEX(LookupData!Z:Z,$AK102)="","",INDEX(LookupData!Z:Z,$AK102))))</f>
        <v/>
      </c>
      <c r="AA102" s="7" t="str">
        <f>IF($AK102="","",IF($AK102=0,"",IF(INDEX(LookupData!AA:AA,$AK102)="","",INDEX(LookupData!AA:AA,$AK102))))</f>
        <v/>
      </c>
      <c r="AB102" s="7" t="str">
        <f>IF($AK102="","",IF($AK102=0,"",IF(INDEX(LookupData!AB:AB,$AK102)="","",INDEX(LookupData!AB:AB,$AK102))))</f>
        <v/>
      </c>
      <c r="AC102" s="7" t="str">
        <f>IF($AK102="","",IF($AK102=0,"",IF(INDEX(LookupData!AC:AC,$AK102)="","",INDEX(LookupData!AC:AC,$AK102))))</f>
        <v/>
      </c>
      <c r="AD102" s="7" t="str">
        <f>IF($AK102="","",IF($AK102=0,"",IF(INDEX(LookupData!AD:AD,$AK102)="","",INDEX(LookupData!AD:AD,$AK102))))</f>
        <v/>
      </c>
      <c r="AE102" s="7" t="str">
        <f>IF($AK102="","",IF($AK102=0,"",IF(INDEX(LookupData!AE:AE,$AK102)="","",INDEX(LookupData!AE:AE,$AK102))))</f>
        <v/>
      </c>
      <c r="AF102" t="str">
        <f>IF($AK102="","",IF($AK102=0,"",IF(INDEX(LookupData!AF:AF,$AK102)="","",INDEX(LookupData!AF:AF,$AK102))))</f>
        <v/>
      </c>
      <c r="AG102" t="str">
        <f>IF($AK102="","",IF($AK102=0,"",IF(INDEX(LookupData!AG:AG,$AK102)="","",INDEX(LookupData!AG:AG,$AK102))))</f>
        <v/>
      </c>
      <c r="AH102" s="11" t="str">
        <f>IF($AK102="","",IF($AK102=0,"",IF(INDEX(LookupData!AH:AH,$AK102)="","",INDEX(LookupData!AH:AH,$AK102))))</f>
        <v/>
      </c>
      <c r="AI102" s="12" t="str">
        <f>IF($AK102="","",IF($AK102=0,"",IF(INDEX(LookupData!AI:AI,$AK102)="","",HYPERLINK(INDEX(LookupData!AI:AI,$AK102),"Open"))))</f>
        <v/>
      </c>
      <c r="AK102" t="str">
        <f>IF(AL102="","",IFERROR(MATCH(AL102,LookupData!$A:$A,0),0))</f>
        <v/>
      </c>
      <c r="AL102" t="str">
        <f t="shared" si="6"/>
        <v/>
      </c>
      <c r="AM102" t="str">
        <f t="shared" si="7"/>
        <v/>
      </c>
    </row>
    <row r="103" spans="1:39" x14ac:dyDescent="0.2">
      <c r="A103" s="9"/>
      <c r="B103" s="10" t="str">
        <f>IF($AK103="","",IF($AK103=0,"not in the database",IF(INDEX(LookupData!B:B,$AK103)="","",INDEX(LookupData!B:B,$AK103))))</f>
        <v/>
      </c>
      <c r="C103" t="str">
        <f>IF($AK103="","",IF($AK103=0,"",IF(INDEX(LookupData!C:C,$AK103)="","",INDEX(LookupData!C:C,$AK103))))</f>
        <v/>
      </c>
      <c r="D103" t="str">
        <f>IF($AK103="","",IF($AK103=0,"",IF(INDEX(LookupData!D:D,$AK103)="","",INDEX(LookupData!D:D,$AK103))))</f>
        <v/>
      </c>
      <c r="E103" t="str">
        <f>IF($AK103="","",IF($AK103=0,"",IF(INDEX(LookupData!E:E,$AK103)="","",INDEX(LookupData!E:E,$AK103))))</f>
        <v/>
      </c>
      <c r="F103" t="str">
        <f>IF($AK103="","",IF($AK103=0,"",IF(INDEX(LookupData!F:F,$AK103)="","",INDEX(LookupData!F:F,$AK103))))</f>
        <v/>
      </c>
      <c r="G103" t="str">
        <f>IF($AK103="","",IF($AK103=0,"",IF(INDEX(LookupData!G:G,$AK103)="","",INDEX(LookupData!G:G,$AK103))))</f>
        <v/>
      </c>
      <c r="H103" t="str">
        <f>IF($AK103="","",IF($AK103=0,"",IF(INDEX(LookupData!H:H,$AK103)="","",INDEX(LookupData!H:H,$AK103))))</f>
        <v/>
      </c>
      <c r="I103" s="7" t="str">
        <f>IF($AK103="","",IF($AK103=0,"",IF(INDEX(LookupData!I:I,$AK103)="","",INDEX(LookupData!I:I,$AK103))))</f>
        <v/>
      </c>
      <c r="J103" s="7" t="str">
        <f>IF($AK103="","",IF($AK103=0,"",IF(INDEX(LookupData!J:J,$AK103)="","",INDEX(LookupData!J:J,$AK103))))</f>
        <v/>
      </c>
      <c r="K103" s="7" t="str">
        <f>IF($AK103="","",IF($AK103=0,"",IF(INDEX(LookupData!K:K,$AK103)="","",INDEX(LookupData!K:K,$AK103))))</f>
        <v/>
      </c>
      <c r="L103" s="7" t="str">
        <f>IF($AK103="","",IF($AK103=0,"",IF(INDEX(LookupData!L:L,$AK103)="","",INDEX(LookupData!L:L,$AK103))))</f>
        <v/>
      </c>
      <c r="M103" s="7" t="str">
        <f>IF($AK103="","",IF($AK103=0,"",IF(INDEX(LookupData!M:M,$AK103)="","",INDEX(LookupData!M:M,$AK103))))</f>
        <v/>
      </c>
      <c r="N103" s="7" t="str">
        <f>IF($AK103="","",IF($AK103=0,"",IF(INDEX(LookupData!N:N,$AK103)="","",INDEX(LookupData!N:N,$AK103))))</f>
        <v/>
      </c>
      <c r="O103" s="7" t="str">
        <f>IF($AK103="","",IF($AK103=0,"",IF(INDEX(LookupData!O:O,$AK103)="","",INDEX(LookupData!O:O,$AK103))))</f>
        <v/>
      </c>
      <c r="P103" s="7" t="str">
        <f>IF($AK103="","",IF($AK103=0,"",IF(INDEX(LookupData!P:P,$AK103)="","",INDEX(LookupData!P:P,$AK103))))</f>
        <v/>
      </c>
      <c r="Q103" s="7" t="str">
        <f>IF($AK103="","",IF($AK103=0,"",IF(INDEX(LookupData!Q:Q,$AK103)="","",INDEX(LookupData!Q:Q,$AK103))))</f>
        <v/>
      </c>
      <c r="R103" s="7" t="str">
        <f>IF($AK103="","",IF($AK103=0,"",IF(INDEX(LookupData!R:R,$AK103)="","",INDEX(LookupData!R:R,$AK103))))</f>
        <v/>
      </c>
      <c r="S103" s="7" t="str">
        <f>IF($AK103="","",IF($AK103=0,"",IF(INDEX(LookupData!S:S,$AK103)="","",INDEX(LookupData!S:S,$AK103))))</f>
        <v/>
      </c>
      <c r="T103" s="7" t="str">
        <f>IF($AK103="","",IF($AK103=0,"",IF(INDEX(LookupData!T:T,$AK103)="","",INDEX(LookupData!T:T,$AK103))))</f>
        <v/>
      </c>
      <c r="U103" s="7" t="str">
        <f>IF($AK103="","",IF($AK103=0,"",IF(INDEX(LookupData!U:U,$AK103)="","",INDEX(LookupData!U:U,$AK103))))</f>
        <v/>
      </c>
      <c r="V103" s="7" t="str">
        <f>IF($AK103="","",IF($AK103=0,"",IF(INDEX(LookupData!V:V,$AK103)="","",INDEX(LookupData!V:V,$AK103))))</f>
        <v/>
      </c>
      <c r="W103" t="str">
        <f>IF($AK103="","",IF($AK103=0,"",IF(INDEX(LookupData!W:W,$AK103)="","",INDEX(LookupData!W:W,$AK103))))</f>
        <v/>
      </c>
      <c r="X103" s="7" t="str">
        <f>IF($AK103="","",IF($AK103=0,"",IF(INDEX(LookupData!X:X,$AK103)="","",INDEX(LookupData!X:X,$AK103))))</f>
        <v/>
      </c>
      <c r="Y103" s="7" t="str">
        <f>IF($AK103="","",IF($AK103=0,"",IF(INDEX(LookupData!Y:Y,$AK103)="","",INDEX(LookupData!Y:Y,$AK103))))</f>
        <v/>
      </c>
      <c r="Z103" s="7" t="str">
        <f>IF($AK103="","",IF($AK103=0,"",IF(INDEX(LookupData!Z:Z,$AK103)="","",INDEX(LookupData!Z:Z,$AK103))))</f>
        <v/>
      </c>
      <c r="AA103" s="7" t="str">
        <f>IF($AK103="","",IF($AK103=0,"",IF(INDEX(LookupData!AA:AA,$AK103)="","",INDEX(LookupData!AA:AA,$AK103))))</f>
        <v/>
      </c>
      <c r="AB103" s="7" t="str">
        <f>IF($AK103="","",IF($AK103=0,"",IF(INDEX(LookupData!AB:AB,$AK103)="","",INDEX(LookupData!AB:AB,$AK103))))</f>
        <v/>
      </c>
      <c r="AC103" s="7" t="str">
        <f>IF($AK103="","",IF($AK103=0,"",IF(INDEX(LookupData!AC:AC,$AK103)="","",INDEX(LookupData!AC:AC,$AK103))))</f>
        <v/>
      </c>
      <c r="AD103" s="7" t="str">
        <f>IF($AK103="","",IF($AK103=0,"",IF(INDEX(LookupData!AD:AD,$AK103)="","",INDEX(LookupData!AD:AD,$AK103))))</f>
        <v/>
      </c>
      <c r="AE103" s="7" t="str">
        <f>IF($AK103="","",IF($AK103=0,"",IF(INDEX(LookupData!AE:AE,$AK103)="","",INDEX(LookupData!AE:AE,$AK103))))</f>
        <v/>
      </c>
      <c r="AF103" t="str">
        <f>IF($AK103="","",IF($AK103=0,"",IF(INDEX(LookupData!AF:AF,$AK103)="","",INDEX(LookupData!AF:AF,$AK103))))</f>
        <v/>
      </c>
      <c r="AG103" t="str">
        <f>IF($AK103="","",IF($AK103=0,"",IF(INDEX(LookupData!AG:AG,$AK103)="","",INDEX(LookupData!AG:AG,$AK103))))</f>
        <v/>
      </c>
      <c r="AH103" s="11" t="str">
        <f>IF($AK103="","",IF($AK103=0,"",IF(INDEX(LookupData!AH:AH,$AK103)="","",INDEX(LookupData!AH:AH,$AK103))))</f>
        <v/>
      </c>
      <c r="AI103" s="12" t="str">
        <f>IF($AK103="","",IF($AK103=0,"",IF(INDEX(LookupData!AI:AI,$AK103)="","",HYPERLINK(INDEX(LookupData!AI:AI,$AK103),"Open"))))</f>
        <v/>
      </c>
      <c r="AK103" t="str">
        <f>IF(AL103="","",IFERROR(MATCH(AL103,LookupData!$A:$A,0),0))</f>
        <v/>
      </c>
      <c r="AL103" t="str">
        <f t="shared" si="6"/>
        <v/>
      </c>
      <c r="AM103" t="str">
        <f t="shared" si="7"/>
        <v/>
      </c>
    </row>
    <row r="104" spans="1:39" x14ac:dyDescent="0.2">
      <c r="A104" s="9"/>
      <c r="B104" s="10" t="str">
        <f>IF($AK104="","",IF($AK104=0,"not in the database",IF(INDEX(LookupData!B:B,$AK104)="","",INDEX(LookupData!B:B,$AK104))))</f>
        <v/>
      </c>
      <c r="C104" t="str">
        <f>IF($AK104="","",IF($AK104=0,"",IF(INDEX(LookupData!C:C,$AK104)="","",INDEX(LookupData!C:C,$AK104))))</f>
        <v/>
      </c>
      <c r="D104" t="str">
        <f>IF($AK104="","",IF($AK104=0,"",IF(INDEX(LookupData!D:D,$AK104)="","",INDEX(LookupData!D:D,$AK104))))</f>
        <v/>
      </c>
      <c r="E104" t="str">
        <f>IF($AK104="","",IF($AK104=0,"",IF(INDEX(LookupData!E:E,$AK104)="","",INDEX(LookupData!E:E,$AK104))))</f>
        <v/>
      </c>
      <c r="F104" t="str">
        <f>IF($AK104="","",IF($AK104=0,"",IF(INDEX(LookupData!F:F,$AK104)="","",INDEX(LookupData!F:F,$AK104))))</f>
        <v/>
      </c>
      <c r="G104" t="str">
        <f>IF($AK104="","",IF($AK104=0,"",IF(INDEX(LookupData!G:G,$AK104)="","",INDEX(LookupData!G:G,$AK104))))</f>
        <v/>
      </c>
      <c r="H104" t="str">
        <f>IF($AK104="","",IF($AK104=0,"",IF(INDEX(LookupData!H:H,$AK104)="","",INDEX(LookupData!H:H,$AK104))))</f>
        <v/>
      </c>
      <c r="I104" s="7" t="str">
        <f>IF($AK104="","",IF($AK104=0,"",IF(INDEX(LookupData!I:I,$AK104)="","",INDEX(LookupData!I:I,$AK104))))</f>
        <v/>
      </c>
      <c r="J104" s="7" t="str">
        <f>IF($AK104="","",IF($AK104=0,"",IF(INDEX(LookupData!J:J,$AK104)="","",INDEX(LookupData!J:J,$AK104))))</f>
        <v/>
      </c>
      <c r="K104" s="7" t="str">
        <f>IF($AK104="","",IF($AK104=0,"",IF(INDEX(LookupData!K:K,$AK104)="","",INDEX(LookupData!K:K,$AK104))))</f>
        <v/>
      </c>
      <c r="L104" s="7" t="str">
        <f>IF($AK104="","",IF($AK104=0,"",IF(INDEX(LookupData!L:L,$AK104)="","",INDEX(LookupData!L:L,$AK104))))</f>
        <v/>
      </c>
      <c r="M104" s="7" t="str">
        <f>IF($AK104="","",IF($AK104=0,"",IF(INDEX(LookupData!M:M,$AK104)="","",INDEX(LookupData!M:M,$AK104))))</f>
        <v/>
      </c>
      <c r="N104" s="7" t="str">
        <f>IF($AK104="","",IF($AK104=0,"",IF(INDEX(LookupData!N:N,$AK104)="","",INDEX(LookupData!N:N,$AK104))))</f>
        <v/>
      </c>
      <c r="O104" s="7" t="str">
        <f>IF($AK104="","",IF($AK104=0,"",IF(INDEX(LookupData!O:O,$AK104)="","",INDEX(LookupData!O:O,$AK104))))</f>
        <v/>
      </c>
      <c r="P104" s="7" t="str">
        <f>IF($AK104="","",IF($AK104=0,"",IF(INDEX(LookupData!P:P,$AK104)="","",INDEX(LookupData!P:P,$AK104))))</f>
        <v/>
      </c>
      <c r="Q104" s="7" t="str">
        <f>IF($AK104="","",IF($AK104=0,"",IF(INDEX(LookupData!Q:Q,$AK104)="","",INDEX(LookupData!Q:Q,$AK104))))</f>
        <v/>
      </c>
      <c r="R104" s="7" t="str">
        <f>IF($AK104="","",IF($AK104=0,"",IF(INDEX(LookupData!R:R,$AK104)="","",INDEX(LookupData!R:R,$AK104))))</f>
        <v/>
      </c>
      <c r="S104" s="7" t="str">
        <f>IF($AK104="","",IF($AK104=0,"",IF(INDEX(LookupData!S:S,$AK104)="","",INDEX(LookupData!S:S,$AK104))))</f>
        <v/>
      </c>
      <c r="T104" s="7" t="str">
        <f>IF($AK104="","",IF($AK104=0,"",IF(INDEX(LookupData!T:T,$AK104)="","",INDEX(LookupData!T:T,$AK104))))</f>
        <v/>
      </c>
      <c r="U104" s="7" t="str">
        <f>IF($AK104="","",IF($AK104=0,"",IF(INDEX(LookupData!U:U,$AK104)="","",INDEX(LookupData!U:U,$AK104))))</f>
        <v/>
      </c>
      <c r="V104" s="7" t="str">
        <f>IF($AK104="","",IF($AK104=0,"",IF(INDEX(LookupData!V:V,$AK104)="","",INDEX(LookupData!V:V,$AK104))))</f>
        <v/>
      </c>
      <c r="W104" t="str">
        <f>IF($AK104="","",IF($AK104=0,"",IF(INDEX(LookupData!W:W,$AK104)="","",INDEX(LookupData!W:W,$AK104))))</f>
        <v/>
      </c>
      <c r="X104" s="7" t="str">
        <f>IF($AK104="","",IF($AK104=0,"",IF(INDEX(LookupData!X:X,$AK104)="","",INDEX(LookupData!X:X,$AK104))))</f>
        <v/>
      </c>
      <c r="Y104" s="7" t="str">
        <f>IF($AK104="","",IF($AK104=0,"",IF(INDEX(LookupData!Y:Y,$AK104)="","",INDEX(LookupData!Y:Y,$AK104))))</f>
        <v/>
      </c>
      <c r="Z104" s="7" t="str">
        <f>IF($AK104="","",IF($AK104=0,"",IF(INDEX(LookupData!Z:Z,$AK104)="","",INDEX(LookupData!Z:Z,$AK104))))</f>
        <v/>
      </c>
      <c r="AA104" s="7" t="str">
        <f>IF($AK104="","",IF($AK104=0,"",IF(INDEX(LookupData!AA:AA,$AK104)="","",INDEX(LookupData!AA:AA,$AK104))))</f>
        <v/>
      </c>
      <c r="AB104" s="7" t="str">
        <f>IF($AK104="","",IF($AK104=0,"",IF(INDEX(LookupData!AB:AB,$AK104)="","",INDEX(LookupData!AB:AB,$AK104))))</f>
        <v/>
      </c>
      <c r="AC104" s="7" t="str">
        <f>IF($AK104="","",IF($AK104=0,"",IF(INDEX(LookupData!AC:AC,$AK104)="","",INDEX(LookupData!AC:AC,$AK104))))</f>
        <v/>
      </c>
      <c r="AD104" s="7" t="str">
        <f>IF($AK104="","",IF($AK104=0,"",IF(INDEX(LookupData!AD:AD,$AK104)="","",INDEX(LookupData!AD:AD,$AK104))))</f>
        <v/>
      </c>
      <c r="AE104" s="7" t="str">
        <f>IF($AK104="","",IF($AK104=0,"",IF(INDEX(LookupData!AE:AE,$AK104)="","",INDEX(LookupData!AE:AE,$AK104))))</f>
        <v/>
      </c>
      <c r="AF104" t="str">
        <f>IF($AK104="","",IF($AK104=0,"",IF(INDEX(LookupData!AF:AF,$AK104)="","",INDEX(LookupData!AF:AF,$AK104))))</f>
        <v/>
      </c>
      <c r="AG104" t="str">
        <f>IF($AK104="","",IF($AK104=0,"",IF(INDEX(LookupData!AG:AG,$AK104)="","",INDEX(LookupData!AG:AG,$AK104))))</f>
        <v/>
      </c>
      <c r="AH104" s="11" t="str">
        <f>IF($AK104="","",IF($AK104=0,"",IF(INDEX(LookupData!AH:AH,$AK104)="","",INDEX(LookupData!AH:AH,$AK104))))</f>
        <v/>
      </c>
      <c r="AI104" s="12" t="str">
        <f>IF($AK104="","",IF($AK104=0,"",IF(INDEX(LookupData!AI:AI,$AK104)="","",HYPERLINK(INDEX(LookupData!AI:AI,$AK104),"Open"))))</f>
        <v/>
      </c>
      <c r="AK104" t="str">
        <f>IF(AL104="","",IFERROR(MATCH(AL104,LookupData!$A:$A,0),0))</f>
        <v/>
      </c>
      <c r="AL104" t="str">
        <f t="shared" si="6"/>
        <v/>
      </c>
      <c r="AM104" t="str">
        <f t="shared" si="7"/>
        <v/>
      </c>
    </row>
    <row r="105" spans="1:39" x14ac:dyDescent="0.2">
      <c r="A105" s="9"/>
      <c r="B105" s="10" t="str">
        <f>IF($AK105="","",IF($AK105=0,"not in the database",IF(INDEX(LookupData!B:B,$AK105)="","",INDEX(LookupData!B:B,$AK105))))</f>
        <v/>
      </c>
      <c r="C105" t="str">
        <f>IF($AK105="","",IF($AK105=0,"",IF(INDEX(LookupData!C:C,$AK105)="","",INDEX(LookupData!C:C,$AK105))))</f>
        <v/>
      </c>
      <c r="D105" t="str">
        <f>IF($AK105="","",IF($AK105=0,"",IF(INDEX(LookupData!D:D,$AK105)="","",INDEX(LookupData!D:D,$AK105))))</f>
        <v/>
      </c>
      <c r="E105" t="str">
        <f>IF($AK105="","",IF($AK105=0,"",IF(INDEX(LookupData!E:E,$AK105)="","",INDEX(LookupData!E:E,$AK105))))</f>
        <v/>
      </c>
      <c r="F105" t="str">
        <f>IF($AK105="","",IF($AK105=0,"",IF(INDEX(LookupData!F:F,$AK105)="","",INDEX(LookupData!F:F,$AK105))))</f>
        <v/>
      </c>
      <c r="G105" t="str">
        <f>IF($AK105="","",IF($AK105=0,"",IF(INDEX(LookupData!G:G,$AK105)="","",INDEX(LookupData!G:G,$AK105))))</f>
        <v/>
      </c>
      <c r="H105" t="str">
        <f>IF($AK105="","",IF($AK105=0,"",IF(INDEX(LookupData!H:H,$AK105)="","",INDEX(LookupData!H:H,$AK105))))</f>
        <v/>
      </c>
      <c r="I105" s="7" t="str">
        <f>IF($AK105="","",IF($AK105=0,"",IF(INDEX(LookupData!I:I,$AK105)="","",INDEX(LookupData!I:I,$AK105))))</f>
        <v/>
      </c>
      <c r="J105" s="7" t="str">
        <f>IF($AK105="","",IF($AK105=0,"",IF(INDEX(LookupData!J:J,$AK105)="","",INDEX(LookupData!J:J,$AK105))))</f>
        <v/>
      </c>
      <c r="K105" s="7" t="str">
        <f>IF($AK105="","",IF($AK105=0,"",IF(INDEX(LookupData!K:K,$AK105)="","",INDEX(LookupData!K:K,$AK105))))</f>
        <v/>
      </c>
      <c r="L105" s="7" t="str">
        <f>IF($AK105="","",IF($AK105=0,"",IF(INDEX(LookupData!L:L,$AK105)="","",INDEX(LookupData!L:L,$AK105))))</f>
        <v/>
      </c>
      <c r="M105" s="7" t="str">
        <f>IF($AK105="","",IF($AK105=0,"",IF(INDEX(LookupData!M:M,$AK105)="","",INDEX(LookupData!M:M,$AK105))))</f>
        <v/>
      </c>
      <c r="N105" s="7" t="str">
        <f>IF($AK105="","",IF($AK105=0,"",IF(INDEX(LookupData!N:N,$AK105)="","",INDEX(LookupData!N:N,$AK105))))</f>
        <v/>
      </c>
      <c r="O105" s="7" t="str">
        <f>IF($AK105="","",IF($AK105=0,"",IF(INDEX(LookupData!O:O,$AK105)="","",INDEX(LookupData!O:O,$AK105))))</f>
        <v/>
      </c>
      <c r="P105" s="7" t="str">
        <f>IF($AK105="","",IF($AK105=0,"",IF(INDEX(LookupData!P:P,$AK105)="","",INDEX(LookupData!P:P,$AK105))))</f>
        <v/>
      </c>
      <c r="Q105" s="7" t="str">
        <f>IF($AK105="","",IF($AK105=0,"",IF(INDEX(LookupData!Q:Q,$AK105)="","",INDEX(LookupData!Q:Q,$AK105))))</f>
        <v/>
      </c>
      <c r="R105" s="7" t="str">
        <f>IF($AK105="","",IF($AK105=0,"",IF(INDEX(LookupData!R:R,$AK105)="","",INDEX(LookupData!R:R,$AK105))))</f>
        <v/>
      </c>
      <c r="S105" s="7" t="str">
        <f>IF($AK105="","",IF($AK105=0,"",IF(INDEX(LookupData!S:S,$AK105)="","",INDEX(LookupData!S:S,$AK105))))</f>
        <v/>
      </c>
      <c r="T105" s="7" t="str">
        <f>IF($AK105="","",IF($AK105=0,"",IF(INDEX(LookupData!T:T,$AK105)="","",INDEX(LookupData!T:T,$AK105))))</f>
        <v/>
      </c>
      <c r="U105" s="7" t="str">
        <f>IF($AK105="","",IF($AK105=0,"",IF(INDEX(LookupData!U:U,$AK105)="","",INDEX(LookupData!U:U,$AK105))))</f>
        <v/>
      </c>
      <c r="V105" s="7" t="str">
        <f>IF($AK105="","",IF($AK105=0,"",IF(INDEX(LookupData!V:V,$AK105)="","",INDEX(LookupData!V:V,$AK105))))</f>
        <v/>
      </c>
      <c r="W105" t="str">
        <f>IF($AK105="","",IF($AK105=0,"",IF(INDEX(LookupData!W:W,$AK105)="","",INDEX(LookupData!W:W,$AK105))))</f>
        <v/>
      </c>
      <c r="X105" s="7" t="str">
        <f>IF($AK105="","",IF($AK105=0,"",IF(INDEX(LookupData!X:X,$AK105)="","",INDEX(LookupData!X:X,$AK105))))</f>
        <v/>
      </c>
      <c r="Y105" s="7" t="str">
        <f>IF($AK105="","",IF($AK105=0,"",IF(INDEX(LookupData!Y:Y,$AK105)="","",INDEX(LookupData!Y:Y,$AK105))))</f>
        <v/>
      </c>
      <c r="Z105" s="7" t="str">
        <f>IF($AK105="","",IF($AK105=0,"",IF(INDEX(LookupData!Z:Z,$AK105)="","",INDEX(LookupData!Z:Z,$AK105))))</f>
        <v/>
      </c>
      <c r="AA105" s="7" t="str">
        <f>IF($AK105="","",IF($AK105=0,"",IF(INDEX(LookupData!AA:AA,$AK105)="","",INDEX(LookupData!AA:AA,$AK105))))</f>
        <v/>
      </c>
      <c r="AB105" s="7" t="str">
        <f>IF($AK105="","",IF($AK105=0,"",IF(INDEX(LookupData!AB:AB,$AK105)="","",INDEX(LookupData!AB:AB,$AK105))))</f>
        <v/>
      </c>
      <c r="AC105" s="7" t="str">
        <f>IF($AK105="","",IF($AK105=0,"",IF(INDEX(LookupData!AC:AC,$AK105)="","",INDEX(LookupData!AC:AC,$AK105))))</f>
        <v/>
      </c>
      <c r="AD105" s="7" t="str">
        <f>IF($AK105="","",IF($AK105=0,"",IF(INDEX(LookupData!AD:AD,$AK105)="","",INDEX(LookupData!AD:AD,$AK105))))</f>
        <v/>
      </c>
      <c r="AE105" s="7" t="str">
        <f>IF($AK105="","",IF($AK105=0,"",IF(INDEX(LookupData!AE:AE,$AK105)="","",INDEX(LookupData!AE:AE,$AK105))))</f>
        <v/>
      </c>
      <c r="AF105" t="str">
        <f>IF($AK105="","",IF($AK105=0,"",IF(INDEX(LookupData!AF:AF,$AK105)="","",INDEX(LookupData!AF:AF,$AK105))))</f>
        <v/>
      </c>
      <c r="AG105" t="str">
        <f>IF($AK105="","",IF($AK105=0,"",IF(INDEX(LookupData!AG:AG,$AK105)="","",INDEX(LookupData!AG:AG,$AK105))))</f>
        <v/>
      </c>
      <c r="AH105" s="11" t="str">
        <f>IF($AK105="","",IF($AK105=0,"",IF(INDEX(LookupData!AH:AH,$AK105)="","",INDEX(LookupData!AH:AH,$AK105))))</f>
        <v/>
      </c>
      <c r="AI105" s="12" t="str">
        <f>IF($AK105="","",IF($AK105=0,"",IF(INDEX(LookupData!AI:AI,$AK105)="","",HYPERLINK(INDEX(LookupData!AI:AI,$AK105),"Open"))))</f>
        <v/>
      </c>
      <c r="AK105" t="str">
        <f>IF(AL105="","",IFERROR(MATCH(AL105,LookupData!$A:$A,0),0))</f>
        <v/>
      </c>
      <c r="AL105" t="str">
        <f t="shared" si="6"/>
        <v/>
      </c>
      <c r="AM105" t="str">
        <f t="shared" si="7"/>
        <v/>
      </c>
    </row>
    <row r="106" spans="1:39" x14ac:dyDescent="0.2">
      <c r="A106" s="9"/>
      <c r="B106" s="10" t="str">
        <f>IF($AK106="","",IF($AK106=0,"not in the database",IF(INDEX(LookupData!B:B,$AK106)="","",INDEX(LookupData!B:B,$AK106))))</f>
        <v/>
      </c>
      <c r="C106" t="str">
        <f>IF($AK106="","",IF($AK106=0,"",IF(INDEX(LookupData!C:C,$AK106)="","",INDEX(LookupData!C:C,$AK106))))</f>
        <v/>
      </c>
      <c r="D106" t="str">
        <f>IF($AK106="","",IF($AK106=0,"",IF(INDEX(LookupData!D:D,$AK106)="","",INDEX(LookupData!D:D,$AK106))))</f>
        <v/>
      </c>
      <c r="E106" t="str">
        <f>IF($AK106="","",IF($AK106=0,"",IF(INDEX(LookupData!E:E,$AK106)="","",INDEX(LookupData!E:E,$AK106))))</f>
        <v/>
      </c>
      <c r="F106" t="str">
        <f>IF($AK106="","",IF($AK106=0,"",IF(INDEX(LookupData!F:F,$AK106)="","",INDEX(LookupData!F:F,$AK106))))</f>
        <v/>
      </c>
      <c r="G106" t="str">
        <f>IF($AK106="","",IF($AK106=0,"",IF(INDEX(LookupData!G:G,$AK106)="","",INDEX(LookupData!G:G,$AK106))))</f>
        <v/>
      </c>
      <c r="H106" t="str">
        <f>IF($AK106="","",IF($AK106=0,"",IF(INDEX(LookupData!H:H,$AK106)="","",INDEX(LookupData!H:H,$AK106))))</f>
        <v/>
      </c>
      <c r="I106" s="7" t="str">
        <f>IF($AK106="","",IF($AK106=0,"",IF(INDEX(LookupData!I:I,$AK106)="","",INDEX(LookupData!I:I,$AK106))))</f>
        <v/>
      </c>
      <c r="J106" s="7" t="str">
        <f>IF($AK106="","",IF($AK106=0,"",IF(INDEX(LookupData!J:J,$AK106)="","",INDEX(LookupData!J:J,$AK106))))</f>
        <v/>
      </c>
      <c r="K106" s="7" t="str">
        <f>IF($AK106="","",IF($AK106=0,"",IF(INDEX(LookupData!K:K,$AK106)="","",INDEX(LookupData!K:K,$AK106))))</f>
        <v/>
      </c>
      <c r="L106" s="7" t="str">
        <f>IF($AK106="","",IF($AK106=0,"",IF(INDEX(LookupData!L:L,$AK106)="","",INDEX(LookupData!L:L,$AK106))))</f>
        <v/>
      </c>
      <c r="M106" s="7" t="str">
        <f>IF($AK106="","",IF($AK106=0,"",IF(INDEX(LookupData!M:M,$AK106)="","",INDEX(LookupData!M:M,$AK106))))</f>
        <v/>
      </c>
      <c r="N106" s="7" t="str">
        <f>IF($AK106="","",IF($AK106=0,"",IF(INDEX(LookupData!N:N,$AK106)="","",INDEX(LookupData!N:N,$AK106))))</f>
        <v/>
      </c>
      <c r="O106" s="7" t="str">
        <f>IF($AK106="","",IF($AK106=0,"",IF(INDEX(LookupData!O:O,$AK106)="","",INDEX(LookupData!O:O,$AK106))))</f>
        <v/>
      </c>
      <c r="P106" s="7" t="str">
        <f>IF($AK106="","",IF($AK106=0,"",IF(INDEX(LookupData!P:P,$AK106)="","",INDEX(LookupData!P:P,$AK106))))</f>
        <v/>
      </c>
      <c r="Q106" s="7" t="str">
        <f>IF($AK106="","",IF($AK106=0,"",IF(INDEX(LookupData!Q:Q,$AK106)="","",INDEX(LookupData!Q:Q,$AK106))))</f>
        <v/>
      </c>
      <c r="R106" s="7" t="str">
        <f>IF($AK106="","",IF($AK106=0,"",IF(INDEX(LookupData!R:R,$AK106)="","",INDEX(LookupData!R:R,$AK106))))</f>
        <v/>
      </c>
      <c r="S106" s="7" t="str">
        <f>IF($AK106="","",IF($AK106=0,"",IF(INDEX(LookupData!S:S,$AK106)="","",INDEX(LookupData!S:S,$AK106))))</f>
        <v/>
      </c>
      <c r="T106" s="7" t="str">
        <f>IF($AK106="","",IF($AK106=0,"",IF(INDEX(LookupData!T:T,$AK106)="","",INDEX(LookupData!T:T,$AK106))))</f>
        <v/>
      </c>
      <c r="U106" s="7" t="str">
        <f>IF($AK106="","",IF($AK106=0,"",IF(INDEX(LookupData!U:U,$AK106)="","",INDEX(LookupData!U:U,$AK106))))</f>
        <v/>
      </c>
      <c r="V106" s="7" t="str">
        <f>IF($AK106="","",IF($AK106=0,"",IF(INDEX(LookupData!V:V,$AK106)="","",INDEX(LookupData!V:V,$AK106))))</f>
        <v/>
      </c>
      <c r="W106" t="str">
        <f>IF($AK106="","",IF($AK106=0,"",IF(INDEX(LookupData!W:W,$AK106)="","",INDEX(LookupData!W:W,$AK106))))</f>
        <v/>
      </c>
      <c r="X106" s="7" t="str">
        <f>IF($AK106="","",IF($AK106=0,"",IF(INDEX(LookupData!X:X,$AK106)="","",INDEX(LookupData!X:X,$AK106))))</f>
        <v/>
      </c>
      <c r="Y106" s="7" t="str">
        <f>IF($AK106="","",IF($AK106=0,"",IF(INDEX(LookupData!Y:Y,$AK106)="","",INDEX(LookupData!Y:Y,$AK106))))</f>
        <v/>
      </c>
      <c r="Z106" s="7" t="str">
        <f>IF($AK106="","",IF($AK106=0,"",IF(INDEX(LookupData!Z:Z,$AK106)="","",INDEX(LookupData!Z:Z,$AK106))))</f>
        <v/>
      </c>
      <c r="AA106" s="7" t="str">
        <f>IF($AK106="","",IF($AK106=0,"",IF(INDEX(LookupData!AA:AA,$AK106)="","",INDEX(LookupData!AA:AA,$AK106))))</f>
        <v/>
      </c>
      <c r="AB106" s="7" t="str">
        <f>IF($AK106="","",IF($AK106=0,"",IF(INDEX(LookupData!AB:AB,$AK106)="","",INDEX(LookupData!AB:AB,$AK106))))</f>
        <v/>
      </c>
      <c r="AC106" s="7" t="str">
        <f>IF($AK106="","",IF($AK106=0,"",IF(INDEX(LookupData!AC:AC,$AK106)="","",INDEX(LookupData!AC:AC,$AK106))))</f>
        <v/>
      </c>
      <c r="AD106" s="7" t="str">
        <f>IF($AK106="","",IF($AK106=0,"",IF(INDEX(LookupData!AD:AD,$AK106)="","",INDEX(LookupData!AD:AD,$AK106))))</f>
        <v/>
      </c>
      <c r="AE106" s="7" t="str">
        <f>IF($AK106="","",IF($AK106=0,"",IF(INDEX(LookupData!AE:AE,$AK106)="","",INDEX(LookupData!AE:AE,$AK106))))</f>
        <v/>
      </c>
      <c r="AF106" t="str">
        <f>IF($AK106="","",IF($AK106=0,"",IF(INDEX(LookupData!AF:AF,$AK106)="","",INDEX(LookupData!AF:AF,$AK106))))</f>
        <v/>
      </c>
      <c r="AG106" t="str">
        <f>IF($AK106="","",IF($AK106=0,"",IF(INDEX(LookupData!AG:AG,$AK106)="","",INDEX(LookupData!AG:AG,$AK106))))</f>
        <v/>
      </c>
      <c r="AH106" s="11" t="str">
        <f>IF($AK106="","",IF($AK106=0,"",IF(INDEX(LookupData!AH:AH,$AK106)="","",INDEX(LookupData!AH:AH,$AK106))))</f>
        <v/>
      </c>
      <c r="AI106" s="12" t="str">
        <f>IF($AK106="","",IF($AK106=0,"",IF(INDEX(LookupData!AI:AI,$AK106)="","",HYPERLINK(INDEX(LookupData!AI:AI,$AK106),"Open"))))</f>
        <v/>
      </c>
      <c r="AK106" t="str">
        <f>IF(AL106="","",IFERROR(MATCH(AL106,LookupData!$A:$A,0),0))</f>
        <v/>
      </c>
      <c r="AL106" t="str">
        <f t="shared" si="6"/>
        <v/>
      </c>
      <c r="AM106" t="str">
        <f t="shared" si="7"/>
        <v/>
      </c>
    </row>
    <row r="107" spans="1:39" x14ac:dyDescent="0.2">
      <c r="A107" s="9"/>
      <c r="B107" s="10" t="str">
        <f>IF($AK107="","",IF($AK107=0,"not in the database",IF(INDEX(LookupData!B:B,$AK107)="","",INDEX(LookupData!B:B,$AK107))))</f>
        <v/>
      </c>
      <c r="C107" t="str">
        <f>IF($AK107="","",IF($AK107=0,"",IF(INDEX(LookupData!C:C,$AK107)="","",INDEX(LookupData!C:C,$AK107))))</f>
        <v/>
      </c>
      <c r="D107" t="str">
        <f>IF($AK107="","",IF($AK107=0,"",IF(INDEX(LookupData!D:D,$AK107)="","",INDEX(LookupData!D:D,$AK107))))</f>
        <v/>
      </c>
      <c r="E107" t="str">
        <f>IF($AK107="","",IF($AK107=0,"",IF(INDEX(LookupData!E:E,$AK107)="","",INDEX(LookupData!E:E,$AK107))))</f>
        <v/>
      </c>
      <c r="F107" t="str">
        <f>IF($AK107="","",IF($AK107=0,"",IF(INDEX(LookupData!F:F,$AK107)="","",INDEX(LookupData!F:F,$AK107))))</f>
        <v/>
      </c>
      <c r="G107" t="str">
        <f>IF($AK107="","",IF($AK107=0,"",IF(INDEX(LookupData!G:G,$AK107)="","",INDEX(LookupData!G:G,$AK107))))</f>
        <v/>
      </c>
      <c r="H107" t="str">
        <f>IF($AK107="","",IF($AK107=0,"",IF(INDEX(LookupData!H:H,$AK107)="","",INDEX(LookupData!H:H,$AK107))))</f>
        <v/>
      </c>
      <c r="I107" s="7" t="str">
        <f>IF($AK107="","",IF($AK107=0,"",IF(INDEX(LookupData!I:I,$AK107)="","",INDEX(LookupData!I:I,$AK107))))</f>
        <v/>
      </c>
      <c r="J107" s="7" t="str">
        <f>IF($AK107="","",IF($AK107=0,"",IF(INDEX(LookupData!J:J,$AK107)="","",INDEX(LookupData!J:J,$AK107))))</f>
        <v/>
      </c>
      <c r="K107" s="7" t="str">
        <f>IF($AK107="","",IF($AK107=0,"",IF(INDEX(LookupData!K:K,$AK107)="","",INDEX(LookupData!K:K,$AK107))))</f>
        <v/>
      </c>
      <c r="L107" s="7" t="str">
        <f>IF($AK107="","",IF($AK107=0,"",IF(INDEX(LookupData!L:L,$AK107)="","",INDEX(LookupData!L:L,$AK107))))</f>
        <v/>
      </c>
      <c r="M107" s="7" t="str">
        <f>IF($AK107="","",IF($AK107=0,"",IF(INDEX(LookupData!M:M,$AK107)="","",INDEX(LookupData!M:M,$AK107))))</f>
        <v/>
      </c>
      <c r="N107" s="7" t="str">
        <f>IF($AK107="","",IF($AK107=0,"",IF(INDEX(LookupData!N:N,$AK107)="","",INDEX(LookupData!N:N,$AK107))))</f>
        <v/>
      </c>
      <c r="O107" s="7" t="str">
        <f>IF($AK107="","",IF($AK107=0,"",IF(INDEX(LookupData!O:O,$AK107)="","",INDEX(LookupData!O:O,$AK107))))</f>
        <v/>
      </c>
      <c r="P107" s="7" t="str">
        <f>IF($AK107="","",IF($AK107=0,"",IF(INDEX(LookupData!P:P,$AK107)="","",INDEX(LookupData!P:P,$AK107))))</f>
        <v/>
      </c>
      <c r="Q107" s="7" t="str">
        <f>IF($AK107="","",IF($AK107=0,"",IF(INDEX(LookupData!Q:Q,$AK107)="","",INDEX(LookupData!Q:Q,$AK107))))</f>
        <v/>
      </c>
      <c r="R107" s="7" t="str">
        <f>IF($AK107="","",IF($AK107=0,"",IF(INDEX(LookupData!R:R,$AK107)="","",INDEX(LookupData!R:R,$AK107))))</f>
        <v/>
      </c>
      <c r="S107" s="7" t="str">
        <f>IF($AK107="","",IF($AK107=0,"",IF(INDEX(LookupData!S:S,$AK107)="","",INDEX(LookupData!S:S,$AK107))))</f>
        <v/>
      </c>
      <c r="T107" s="7" t="str">
        <f>IF($AK107="","",IF($AK107=0,"",IF(INDEX(LookupData!T:T,$AK107)="","",INDEX(LookupData!T:T,$AK107))))</f>
        <v/>
      </c>
      <c r="U107" s="7" t="str">
        <f>IF($AK107="","",IF($AK107=0,"",IF(INDEX(LookupData!U:U,$AK107)="","",INDEX(LookupData!U:U,$AK107))))</f>
        <v/>
      </c>
      <c r="V107" s="7" t="str">
        <f>IF($AK107="","",IF($AK107=0,"",IF(INDEX(LookupData!V:V,$AK107)="","",INDEX(LookupData!V:V,$AK107))))</f>
        <v/>
      </c>
      <c r="W107" t="str">
        <f>IF($AK107="","",IF($AK107=0,"",IF(INDEX(LookupData!W:W,$AK107)="","",INDEX(LookupData!W:W,$AK107))))</f>
        <v/>
      </c>
      <c r="X107" s="7" t="str">
        <f>IF($AK107="","",IF($AK107=0,"",IF(INDEX(LookupData!X:X,$AK107)="","",INDEX(LookupData!X:X,$AK107))))</f>
        <v/>
      </c>
      <c r="Y107" s="7" t="str">
        <f>IF($AK107="","",IF($AK107=0,"",IF(INDEX(LookupData!Y:Y,$AK107)="","",INDEX(LookupData!Y:Y,$AK107))))</f>
        <v/>
      </c>
      <c r="Z107" s="7" t="str">
        <f>IF($AK107="","",IF($AK107=0,"",IF(INDEX(LookupData!Z:Z,$AK107)="","",INDEX(LookupData!Z:Z,$AK107))))</f>
        <v/>
      </c>
      <c r="AA107" s="7" t="str">
        <f>IF($AK107="","",IF($AK107=0,"",IF(INDEX(LookupData!AA:AA,$AK107)="","",INDEX(LookupData!AA:AA,$AK107))))</f>
        <v/>
      </c>
      <c r="AB107" s="7" t="str">
        <f>IF($AK107="","",IF($AK107=0,"",IF(INDEX(LookupData!AB:AB,$AK107)="","",INDEX(LookupData!AB:AB,$AK107))))</f>
        <v/>
      </c>
      <c r="AC107" s="7" t="str">
        <f>IF($AK107="","",IF($AK107=0,"",IF(INDEX(LookupData!AC:AC,$AK107)="","",INDEX(LookupData!AC:AC,$AK107))))</f>
        <v/>
      </c>
      <c r="AD107" s="7" t="str">
        <f>IF($AK107="","",IF($AK107=0,"",IF(INDEX(LookupData!AD:AD,$AK107)="","",INDEX(LookupData!AD:AD,$AK107))))</f>
        <v/>
      </c>
      <c r="AE107" s="7" t="str">
        <f>IF($AK107="","",IF($AK107=0,"",IF(INDEX(LookupData!AE:AE,$AK107)="","",INDEX(LookupData!AE:AE,$AK107))))</f>
        <v/>
      </c>
      <c r="AF107" t="str">
        <f>IF($AK107="","",IF($AK107=0,"",IF(INDEX(LookupData!AF:AF,$AK107)="","",INDEX(LookupData!AF:AF,$AK107))))</f>
        <v/>
      </c>
      <c r="AG107" t="str">
        <f>IF($AK107="","",IF($AK107=0,"",IF(INDEX(LookupData!AG:AG,$AK107)="","",INDEX(LookupData!AG:AG,$AK107))))</f>
        <v/>
      </c>
      <c r="AH107" s="11" t="str">
        <f>IF($AK107="","",IF($AK107=0,"",IF(INDEX(LookupData!AH:AH,$AK107)="","",INDEX(LookupData!AH:AH,$AK107))))</f>
        <v/>
      </c>
      <c r="AI107" s="12" t="str">
        <f>IF($AK107="","",IF($AK107=0,"",IF(INDEX(LookupData!AI:AI,$AK107)="","",HYPERLINK(INDEX(LookupData!AI:AI,$AK107),"Open"))))</f>
        <v/>
      </c>
      <c r="AK107" t="str">
        <f>IF(AL107="","",IFERROR(MATCH(AL107,LookupData!$A:$A,0),0))</f>
        <v/>
      </c>
      <c r="AL107" t="str">
        <f t="shared" si="6"/>
        <v/>
      </c>
      <c r="AM107" t="str">
        <f t="shared" si="7"/>
        <v/>
      </c>
    </row>
    <row r="108" spans="1:39" x14ac:dyDescent="0.2">
      <c r="A108" s="9"/>
      <c r="B108" s="10" t="str">
        <f>IF($AK108="","",IF($AK108=0,"not in the database",IF(INDEX(LookupData!B:B,$AK108)="","",INDEX(LookupData!B:B,$AK108))))</f>
        <v/>
      </c>
      <c r="C108" t="str">
        <f>IF($AK108="","",IF($AK108=0,"",IF(INDEX(LookupData!C:C,$AK108)="","",INDEX(LookupData!C:C,$AK108))))</f>
        <v/>
      </c>
      <c r="D108" t="str">
        <f>IF($AK108="","",IF($AK108=0,"",IF(INDEX(LookupData!D:D,$AK108)="","",INDEX(LookupData!D:D,$AK108))))</f>
        <v/>
      </c>
      <c r="E108" t="str">
        <f>IF($AK108="","",IF($AK108=0,"",IF(INDEX(LookupData!E:E,$AK108)="","",INDEX(LookupData!E:E,$AK108))))</f>
        <v/>
      </c>
      <c r="F108" t="str">
        <f>IF($AK108="","",IF($AK108=0,"",IF(INDEX(LookupData!F:F,$AK108)="","",INDEX(LookupData!F:F,$AK108))))</f>
        <v/>
      </c>
      <c r="G108" t="str">
        <f>IF($AK108="","",IF($AK108=0,"",IF(INDEX(LookupData!G:G,$AK108)="","",INDEX(LookupData!G:G,$AK108))))</f>
        <v/>
      </c>
      <c r="H108" t="str">
        <f>IF($AK108="","",IF($AK108=0,"",IF(INDEX(LookupData!H:H,$AK108)="","",INDEX(LookupData!H:H,$AK108))))</f>
        <v/>
      </c>
      <c r="I108" s="7" t="str">
        <f>IF($AK108="","",IF($AK108=0,"",IF(INDEX(LookupData!I:I,$AK108)="","",INDEX(LookupData!I:I,$AK108))))</f>
        <v/>
      </c>
      <c r="J108" s="7" t="str">
        <f>IF($AK108="","",IF($AK108=0,"",IF(INDEX(LookupData!J:J,$AK108)="","",INDEX(LookupData!J:J,$AK108))))</f>
        <v/>
      </c>
      <c r="K108" s="7" t="str">
        <f>IF($AK108="","",IF($AK108=0,"",IF(INDEX(LookupData!K:K,$AK108)="","",INDEX(LookupData!K:K,$AK108))))</f>
        <v/>
      </c>
      <c r="L108" s="7" t="str">
        <f>IF($AK108="","",IF($AK108=0,"",IF(INDEX(LookupData!L:L,$AK108)="","",INDEX(LookupData!L:L,$AK108))))</f>
        <v/>
      </c>
      <c r="M108" s="7" t="str">
        <f>IF($AK108="","",IF($AK108=0,"",IF(INDEX(LookupData!M:M,$AK108)="","",INDEX(LookupData!M:M,$AK108))))</f>
        <v/>
      </c>
      <c r="N108" s="7" t="str">
        <f>IF($AK108="","",IF($AK108=0,"",IF(INDEX(LookupData!N:N,$AK108)="","",INDEX(LookupData!N:N,$AK108))))</f>
        <v/>
      </c>
      <c r="O108" s="7" t="str">
        <f>IF($AK108="","",IF($AK108=0,"",IF(INDEX(LookupData!O:O,$AK108)="","",INDEX(LookupData!O:O,$AK108))))</f>
        <v/>
      </c>
      <c r="P108" s="7" t="str">
        <f>IF($AK108="","",IF($AK108=0,"",IF(INDEX(LookupData!P:P,$AK108)="","",INDEX(LookupData!P:P,$AK108))))</f>
        <v/>
      </c>
      <c r="Q108" s="7" t="str">
        <f>IF($AK108="","",IF($AK108=0,"",IF(INDEX(LookupData!Q:Q,$AK108)="","",INDEX(LookupData!Q:Q,$AK108))))</f>
        <v/>
      </c>
      <c r="R108" s="7" t="str">
        <f>IF($AK108="","",IF($AK108=0,"",IF(INDEX(LookupData!R:R,$AK108)="","",INDEX(LookupData!R:R,$AK108))))</f>
        <v/>
      </c>
      <c r="S108" s="7" t="str">
        <f>IF($AK108="","",IF($AK108=0,"",IF(INDEX(LookupData!S:S,$AK108)="","",INDEX(LookupData!S:S,$AK108))))</f>
        <v/>
      </c>
      <c r="T108" s="7" t="str">
        <f>IF($AK108="","",IF($AK108=0,"",IF(INDEX(LookupData!T:T,$AK108)="","",INDEX(LookupData!T:T,$AK108))))</f>
        <v/>
      </c>
      <c r="U108" s="7" t="str">
        <f>IF($AK108="","",IF($AK108=0,"",IF(INDEX(LookupData!U:U,$AK108)="","",INDEX(LookupData!U:U,$AK108))))</f>
        <v/>
      </c>
      <c r="V108" s="7" t="str">
        <f>IF($AK108="","",IF($AK108=0,"",IF(INDEX(LookupData!V:V,$AK108)="","",INDEX(LookupData!V:V,$AK108))))</f>
        <v/>
      </c>
      <c r="W108" t="str">
        <f>IF($AK108="","",IF($AK108=0,"",IF(INDEX(LookupData!W:W,$AK108)="","",INDEX(LookupData!W:W,$AK108))))</f>
        <v/>
      </c>
      <c r="X108" s="7" t="str">
        <f>IF($AK108="","",IF($AK108=0,"",IF(INDEX(LookupData!X:X,$AK108)="","",INDEX(LookupData!X:X,$AK108))))</f>
        <v/>
      </c>
      <c r="Y108" s="7" t="str">
        <f>IF($AK108="","",IF($AK108=0,"",IF(INDEX(LookupData!Y:Y,$AK108)="","",INDEX(LookupData!Y:Y,$AK108))))</f>
        <v/>
      </c>
      <c r="Z108" s="7" t="str">
        <f>IF($AK108="","",IF($AK108=0,"",IF(INDEX(LookupData!Z:Z,$AK108)="","",INDEX(LookupData!Z:Z,$AK108))))</f>
        <v/>
      </c>
      <c r="AA108" s="7" t="str">
        <f>IF($AK108="","",IF($AK108=0,"",IF(INDEX(LookupData!AA:AA,$AK108)="","",INDEX(LookupData!AA:AA,$AK108))))</f>
        <v/>
      </c>
      <c r="AB108" s="7" t="str">
        <f>IF($AK108="","",IF($AK108=0,"",IF(INDEX(LookupData!AB:AB,$AK108)="","",INDEX(LookupData!AB:AB,$AK108))))</f>
        <v/>
      </c>
      <c r="AC108" s="7" t="str">
        <f>IF($AK108="","",IF($AK108=0,"",IF(INDEX(LookupData!AC:AC,$AK108)="","",INDEX(LookupData!AC:AC,$AK108))))</f>
        <v/>
      </c>
      <c r="AD108" s="7" t="str">
        <f>IF($AK108="","",IF($AK108=0,"",IF(INDEX(LookupData!AD:AD,$AK108)="","",INDEX(LookupData!AD:AD,$AK108))))</f>
        <v/>
      </c>
      <c r="AE108" s="7" t="str">
        <f>IF($AK108="","",IF($AK108=0,"",IF(INDEX(LookupData!AE:AE,$AK108)="","",INDEX(LookupData!AE:AE,$AK108))))</f>
        <v/>
      </c>
      <c r="AF108" t="str">
        <f>IF($AK108="","",IF($AK108=0,"",IF(INDEX(LookupData!AF:AF,$AK108)="","",INDEX(LookupData!AF:AF,$AK108))))</f>
        <v/>
      </c>
      <c r="AG108" t="str">
        <f>IF($AK108="","",IF($AK108=0,"",IF(INDEX(LookupData!AG:AG,$AK108)="","",INDEX(LookupData!AG:AG,$AK108))))</f>
        <v/>
      </c>
      <c r="AH108" s="11" t="str">
        <f>IF($AK108="","",IF($AK108=0,"",IF(INDEX(LookupData!AH:AH,$AK108)="","",INDEX(LookupData!AH:AH,$AK108))))</f>
        <v/>
      </c>
      <c r="AI108" s="12" t="str">
        <f>IF($AK108="","",IF($AK108=0,"",IF(INDEX(LookupData!AI:AI,$AK108)="","",HYPERLINK(INDEX(LookupData!AI:AI,$AK108),"Open"))))</f>
        <v/>
      </c>
      <c r="AK108" t="str">
        <f>IF(AL108="","",IFERROR(MATCH(AL108,LookupData!$A:$A,0),0))</f>
        <v/>
      </c>
      <c r="AL108" t="str">
        <f t="shared" si="6"/>
        <v/>
      </c>
      <c r="AM108" t="str">
        <f t="shared" si="7"/>
        <v/>
      </c>
    </row>
    <row r="109" spans="1:39" x14ac:dyDescent="0.2">
      <c r="A109" s="9"/>
      <c r="B109" s="10" t="str">
        <f>IF($AK109="","",IF($AK109=0,"not in the database",IF(INDEX(LookupData!B:B,$AK109)="","",INDEX(LookupData!B:B,$AK109))))</f>
        <v/>
      </c>
      <c r="C109" t="str">
        <f>IF($AK109="","",IF($AK109=0,"",IF(INDEX(LookupData!C:C,$AK109)="","",INDEX(LookupData!C:C,$AK109))))</f>
        <v/>
      </c>
      <c r="D109" t="str">
        <f>IF($AK109="","",IF($AK109=0,"",IF(INDEX(LookupData!D:D,$AK109)="","",INDEX(LookupData!D:D,$AK109))))</f>
        <v/>
      </c>
      <c r="E109" t="str">
        <f>IF($AK109="","",IF($AK109=0,"",IF(INDEX(LookupData!E:E,$AK109)="","",INDEX(LookupData!E:E,$AK109))))</f>
        <v/>
      </c>
      <c r="F109" t="str">
        <f>IF($AK109="","",IF($AK109=0,"",IF(INDEX(LookupData!F:F,$AK109)="","",INDEX(LookupData!F:F,$AK109))))</f>
        <v/>
      </c>
      <c r="G109" t="str">
        <f>IF($AK109="","",IF($AK109=0,"",IF(INDEX(LookupData!G:G,$AK109)="","",INDEX(LookupData!G:G,$AK109))))</f>
        <v/>
      </c>
      <c r="H109" t="str">
        <f>IF($AK109="","",IF($AK109=0,"",IF(INDEX(LookupData!H:H,$AK109)="","",INDEX(LookupData!H:H,$AK109))))</f>
        <v/>
      </c>
      <c r="I109" s="7" t="str">
        <f>IF($AK109="","",IF($AK109=0,"",IF(INDEX(LookupData!I:I,$AK109)="","",INDEX(LookupData!I:I,$AK109))))</f>
        <v/>
      </c>
      <c r="J109" s="7" t="str">
        <f>IF($AK109="","",IF($AK109=0,"",IF(INDEX(LookupData!J:J,$AK109)="","",INDEX(LookupData!J:J,$AK109))))</f>
        <v/>
      </c>
      <c r="K109" s="7" t="str">
        <f>IF($AK109="","",IF($AK109=0,"",IF(INDEX(LookupData!K:K,$AK109)="","",INDEX(LookupData!K:K,$AK109))))</f>
        <v/>
      </c>
      <c r="L109" s="7" t="str">
        <f>IF($AK109="","",IF($AK109=0,"",IF(INDEX(LookupData!L:L,$AK109)="","",INDEX(LookupData!L:L,$AK109))))</f>
        <v/>
      </c>
      <c r="M109" s="7" t="str">
        <f>IF($AK109="","",IF($AK109=0,"",IF(INDEX(LookupData!M:M,$AK109)="","",INDEX(LookupData!M:M,$AK109))))</f>
        <v/>
      </c>
      <c r="N109" s="7" t="str">
        <f>IF($AK109="","",IF($AK109=0,"",IF(INDEX(LookupData!N:N,$AK109)="","",INDEX(LookupData!N:N,$AK109))))</f>
        <v/>
      </c>
      <c r="O109" s="7" t="str">
        <f>IF($AK109="","",IF($AK109=0,"",IF(INDEX(LookupData!O:O,$AK109)="","",INDEX(LookupData!O:O,$AK109))))</f>
        <v/>
      </c>
      <c r="P109" s="7" t="str">
        <f>IF($AK109="","",IF($AK109=0,"",IF(INDEX(LookupData!P:P,$AK109)="","",INDEX(LookupData!P:P,$AK109))))</f>
        <v/>
      </c>
      <c r="Q109" s="7" t="str">
        <f>IF($AK109="","",IF($AK109=0,"",IF(INDEX(LookupData!Q:Q,$AK109)="","",INDEX(LookupData!Q:Q,$AK109))))</f>
        <v/>
      </c>
      <c r="R109" s="7" t="str">
        <f>IF($AK109="","",IF($AK109=0,"",IF(INDEX(LookupData!R:R,$AK109)="","",INDEX(LookupData!R:R,$AK109))))</f>
        <v/>
      </c>
      <c r="S109" s="7" t="str">
        <f>IF($AK109="","",IF($AK109=0,"",IF(INDEX(LookupData!S:S,$AK109)="","",INDEX(LookupData!S:S,$AK109))))</f>
        <v/>
      </c>
      <c r="T109" s="7" t="str">
        <f>IF($AK109="","",IF($AK109=0,"",IF(INDEX(LookupData!T:T,$AK109)="","",INDEX(LookupData!T:T,$AK109))))</f>
        <v/>
      </c>
      <c r="U109" s="7" t="str">
        <f>IF($AK109="","",IF($AK109=0,"",IF(INDEX(LookupData!U:U,$AK109)="","",INDEX(LookupData!U:U,$AK109))))</f>
        <v/>
      </c>
      <c r="V109" s="7" t="str">
        <f>IF($AK109="","",IF($AK109=0,"",IF(INDEX(LookupData!V:V,$AK109)="","",INDEX(LookupData!V:V,$AK109))))</f>
        <v/>
      </c>
      <c r="W109" t="str">
        <f>IF($AK109="","",IF($AK109=0,"",IF(INDEX(LookupData!W:W,$AK109)="","",INDEX(LookupData!W:W,$AK109))))</f>
        <v/>
      </c>
      <c r="X109" s="7" t="str">
        <f>IF($AK109="","",IF($AK109=0,"",IF(INDEX(LookupData!X:X,$AK109)="","",INDEX(LookupData!X:X,$AK109))))</f>
        <v/>
      </c>
      <c r="Y109" s="7" t="str">
        <f>IF($AK109="","",IF($AK109=0,"",IF(INDEX(LookupData!Y:Y,$AK109)="","",INDEX(LookupData!Y:Y,$AK109))))</f>
        <v/>
      </c>
      <c r="Z109" s="7" t="str">
        <f>IF($AK109="","",IF($AK109=0,"",IF(INDEX(LookupData!Z:Z,$AK109)="","",INDEX(LookupData!Z:Z,$AK109))))</f>
        <v/>
      </c>
      <c r="AA109" s="7" t="str">
        <f>IF($AK109="","",IF($AK109=0,"",IF(INDEX(LookupData!AA:AA,$AK109)="","",INDEX(LookupData!AA:AA,$AK109))))</f>
        <v/>
      </c>
      <c r="AB109" s="7" t="str">
        <f>IF($AK109="","",IF($AK109=0,"",IF(INDEX(LookupData!AB:AB,$AK109)="","",INDEX(LookupData!AB:AB,$AK109))))</f>
        <v/>
      </c>
      <c r="AC109" s="7" t="str">
        <f>IF($AK109="","",IF($AK109=0,"",IF(INDEX(LookupData!AC:AC,$AK109)="","",INDEX(LookupData!AC:AC,$AK109))))</f>
        <v/>
      </c>
      <c r="AD109" s="7" t="str">
        <f>IF($AK109="","",IF($AK109=0,"",IF(INDEX(LookupData!AD:AD,$AK109)="","",INDEX(LookupData!AD:AD,$AK109))))</f>
        <v/>
      </c>
      <c r="AE109" s="7" t="str">
        <f>IF($AK109="","",IF($AK109=0,"",IF(INDEX(LookupData!AE:AE,$AK109)="","",INDEX(LookupData!AE:AE,$AK109))))</f>
        <v/>
      </c>
      <c r="AF109" t="str">
        <f>IF($AK109="","",IF($AK109=0,"",IF(INDEX(LookupData!AF:AF,$AK109)="","",INDEX(LookupData!AF:AF,$AK109))))</f>
        <v/>
      </c>
      <c r="AG109" t="str">
        <f>IF($AK109="","",IF($AK109=0,"",IF(INDEX(LookupData!AG:AG,$AK109)="","",INDEX(LookupData!AG:AG,$AK109))))</f>
        <v/>
      </c>
      <c r="AH109" s="11" t="str">
        <f>IF($AK109="","",IF($AK109=0,"",IF(INDEX(LookupData!AH:AH,$AK109)="","",INDEX(LookupData!AH:AH,$AK109))))</f>
        <v/>
      </c>
      <c r="AI109" s="12" t="str">
        <f>IF($AK109="","",IF($AK109=0,"",IF(INDEX(LookupData!AI:AI,$AK109)="","",HYPERLINK(INDEX(LookupData!AI:AI,$AK109),"Open"))))</f>
        <v/>
      </c>
      <c r="AK109" t="str">
        <f>IF(AL109="","",IFERROR(MATCH(AL109,LookupData!$A:$A,0),0))</f>
        <v/>
      </c>
      <c r="AL109" t="str">
        <f t="shared" si="6"/>
        <v/>
      </c>
      <c r="AM109" t="str">
        <f t="shared" si="7"/>
        <v/>
      </c>
    </row>
    <row r="110" spans="1:39" x14ac:dyDescent="0.2">
      <c r="A110" s="9"/>
      <c r="B110" s="10" t="str">
        <f>IF($AK110="","",IF($AK110=0,"not in the database",IF(INDEX(LookupData!B:B,$AK110)="","",INDEX(LookupData!B:B,$AK110))))</f>
        <v/>
      </c>
      <c r="C110" t="str">
        <f>IF($AK110="","",IF($AK110=0,"",IF(INDEX(LookupData!C:C,$AK110)="","",INDEX(LookupData!C:C,$AK110))))</f>
        <v/>
      </c>
      <c r="D110" t="str">
        <f>IF($AK110="","",IF($AK110=0,"",IF(INDEX(LookupData!D:D,$AK110)="","",INDEX(LookupData!D:D,$AK110))))</f>
        <v/>
      </c>
      <c r="E110" t="str">
        <f>IF($AK110="","",IF($AK110=0,"",IF(INDEX(LookupData!E:E,$AK110)="","",INDEX(LookupData!E:E,$AK110))))</f>
        <v/>
      </c>
      <c r="F110" t="str">
        <f>IF($AK110="","",IF($AK110=0,"",IF(INDEX(LookupData!F:F,$AK110)="","",INDEX(LookupData!F:F,$AK110))))</f>
        <v/>
      </c>
      <c r="G110" t="str">
        <f>IF($AK110="","",IF($AK110=0,"",IF(INDEX(LookupData!G:G,$AK110)="","",INDEX(LookupData!G:G,$AK110))))</f>
        <v/>
      </c>
      <c r="H110" t="str">
        <f>IF($AK110="","",IF($AK110=0,"",IF(INDEX(LookupData!H:H,$AK110)="","",INDEX(LookupData!H:H,$AK110))))</f>
        <v/>
      </c>
      <c r="I110" s="7" t="str">
        <f>IF($AK110="","",IF($AK110=0,"",IF(INDEX(LookupData!I:I,$AK110)="","",INDEX(LookupData!I:I,$AK110))))</f>
        <v/>
      </c>
      <c r="J110" s="7" t="str">
        <f>IF($AK110="","",IF($AK110=0,"",IF(INDEX(LookupData!J:J,$AK110)="","",INDEX(LookupData!J:J,$AK110))))</f>
        <v/>
      </c>
      <c r="K110" s="7" t="str">
        <f>IF($AK110="","",IF($AK110=0,"",IF(INDEX(LookupData!K:K,$AK110)="","",INDEX(LookupData!K:K,$AK110))))</f>
        <v/>
      </c>
      <c r="L110" s="7" t="str">
        <f>IF($AK110="","",IF($AK110=0,"",IF(INDEX(LookupData!L:L,$AK110)="","",INDEX(LookupData!L:L,$AK110))))</f>
        <v/>
      </c>
      <c r="M110" s="7" t="str">
        <f>IF($AK110="","",IF($AK110=0,"",IF(INDEX(LookupData!M:M,$AK110)="","",INDEX(LookupData!M:M,$AK110))))</f>
        <v/>
      </c>
      <c r="N110" s="7" t="str">
        <f>IF($AK110="","",IF($AK110=0,"",IF(INDEX(LookupData!N:N,$AK110)="","",INDEX(LookupData!N:N,$AK110))))</f>
        <v/>
      </c>
      <c r="O110" s="7" t="str">
        <f>IF($AK110="","",IF($AK110=0,"",IF(INDEX(LookupData!O:O,$AK110)="","",INDEX(LookupData!O:O,$AK110))))</f>
        <v/>
      </c>
      <c r="P110" s="7" t="str">
        <f>IF($AK110="","",IF($AK110=0,"",IF(INDEX(LookupData!P:P,$AK110)="","",INDEX(LookupData!P:P,$AK110))))</f>
        <v/>
      </c>
      <c r="Q110" s="7" t="str">
        <f>IF($AK110="","",IF($AK110=0,"",IF(INDEX(LookupData!Q:Q,$AK110)="","",INDEX(LookupData!Q:Q,$AK110))))</f>
        <v/>
      </c>
      <c r="R110" s="7" t="str">
        <f>IF($AK110="","",IF($AK110=0,"",IF(INDEX(LookupData!R:R,$AK110)="","",INDEX(LookupData!R:R,$AK110))))</f>
        <v/>
      </c>
      <c r="S110" s="7" t="str">
        <f>IF($AK110="","",IF($AK110=0,"",IF(INDEX(LookupData!S:S,$AK110)="","",INDEX(LookupData!S:S,$AK110))))</f>
        <v/>
      </c>
      <c r="T110" s="7" t="str">
        <f>IF($AK110="","",IF($AK110=0,"",IF(INDEX(LookupData!T:T,$AK110)="","",INDEX(LookupData!T:T,$AK110))))</f>
        <v/>
      </c>
      <c r="U110" s="7" t="str">
        <f>IF($AK110="","",IF($AK110=0,"",IF(INDEX(LookupData!U:U,$AK110)="","",INDEX(LookupData!U:U,$AK110))))</f>
        <v/>
      </c>
      <c r="V110" s="7" t="str">
        <f>IF($AK110="","",IF($AK110=0,"",IF(INDEX(LookupData!V:V,$AK110)="","",INDEX(LookupData!V:V,$AK110))))</f>
        <v/>
      </c>
      <c r="W110" t="str">
        <f>IF($AK110="","",IF($AK110=0,"",IF(INDEX(LookupData!W:W,$AK110)="","",INDEX(LookupData!W:W,$AK110))))</f>
        <v/>
      </c>
      <c r="X110" s="7" t="str">
        <f>IF($AK110="","",IF($AK110=0,"",IF(INDEX(LookupData!X:X,$AK110)="","",INDEX(LookupData!X:X,$AK110))))</f>
        <v/>
      </c>
      <c r="Y110" s="7" t="str">
        <f>IF($AK110="","",IF($AK110=0,"",IF(INDEX(LookupData!Y:Y,$AK110)="","",INDEX(LookupData!Y:Y,$AK110))))</f>
        <v/>
      </c>
      <c r="Z110" s="7" t="str">
        <f>IF($AK110="","",IF($AK110=0,"",IF(INDEX(LookupData!Z:Z,$AK110)="","",INDEX(LookupData!Z:Z,$AK110))))</f>
        <v/>
      </c>
      <c r="AA110" s="7" t="str">
        <f>IF($AK110="","",IF($AK110=0,"",IF(INDEX(LookupData!AA:AA,$AK110)="","",INDEX(LookupData!AA:AA,$AK110))))</f>
        <v/>
      </c>
      <c r="AB110" s="7" t="str">
        <f>IF($AK110="","",IF($AK110=0,"",IF(INDEX(LookupData!AB:AB,$AK110)="","",INDEX(LookupData!AB:AB,$AK110))))</f>
        <v/>
      </c>
      <c r="AC110" s="7" t="str">
        <f>IF($AK110="","",IF($AK110=0,"",IF(INDEX(LookupData!AC:AC,$AK110)="","",INDEX(LookupData!AC:AC,$AK110))))</f>
        <v/>
      </c>
      <c r="AD110" s="7" t="str">
        <f>IF($AK110="","",IF($AK110=0,"",IF(INDEX(LookupData!AD:AD,$AK110)="","",INDEX(LookupData!AD:AD,$AK110))))</f>
        <v/>
      </c>
      <c r="AE110" s="7" t="str">
        <f>IF($AK110="","",IF($AK110=0,"",IF(INDEX(LookupData!AE:AE,$AK110)="","",INDEX(LookupData!AE:AE,$AK110))))</f>
        <v/>
      </c>
      <c r="AF110" t="str">
        <f>IF($AK110="","",IF($AK110=0,"",IF(INDEX(LookupData!AF:AF,$AK110)="","",INDEX(LookupData!AF:AF,$AK110))))</f>
        <v/>
      </c>
      <c r="AG110" t="str">
        <f>IF($AK110="","",IF($AK110=0,"",IF(INDEX(LookupData!AG:AG,$AK110)="","",INDEX(LookupData!AG:AG,$AK110))))</f>
        <v/>
      </c>
      <c r="AH110" s="11" t="str">
        <f>IF($AK110="","",IF($AK110=0,"",IF(INDEX(LookupData!AH:AH,$AK110)="","",INDEX(LookupData!AH:AH,$AK110))))</f>
        <v/>
      </c>
      <c r="AI110" s="12" t="str">
        <f>IF($AK110="","",IF($AK110=0,"",IF(INDEX(LookupData!AI:AI,$AK110)="","",HYPERLINK(INDEX(LookupData!AI:AI,$AK110),"Open"))))</f>
        <v/>
      </c>
      <c r="AK110" t="str">
        <f>IF(AL110="","",IFERROR(MATCH(AL110,LookupData!$A:$A,0),0))</f>
        <v/>
      </c>
      <c r="AL110" t="str">
        <f t="shared" si="6"/>
        <v/>
      </c>
      <c r="AM110" t="str">
        <f t="shared" si="7"/>
        <v/>
      </c>
    </row>
    <row r="111" spans="1:39" x14ac:dyDescent="0.2">
      <c r="A111" s="9"/>
      <c r="B111" s="10" t="str">
        <f>IF($AK111="","",IF($AK111=0,"not in the database",IF(INDEX(LookupData!B:B,$AK111)="","",INDEX(LookupData!B:B,$AK111))))</f>
        <v/>
      </c>
      <c r="C111" t="str">
        <f>IF($AK111="","",IF($AK111=0,"",IF(INDEX(LookupData!C:C,$AK111)="","",INDEX(LookupData!C:C,$AK111))))</f>
        <v/>
      </c>
      <c r="D111" t="str">
        <f>IF($AK111="","",IF($AK111=0,"",IF(INDEX(LookupData!D:D,$AK111)="","",INDEX(LookupData!D:D,$AK111))))</f>
        <v/>
      </c>
      <c r="E111" t="str">
        <f>IF($AK111="","",IF($AK111=0,"",IF(INDEX(LookupData!E:E,$AK111)="","",INDEX(LookupData!E:E,$AK111))))</f>
        <v/>
      </c>
      <c r="F111" t="str">
        <f>IF($AK111="","",IF($AK111=0,"",IF(INDEX(LookupData!F:F,$AK111)="","",INDEX(LookupData!F:F,$AK111))))</f>
        <v/>
      </c>
      <c r="G111" t="str">
        <f>IF($AK111="","",IF($AK111=0,"",IF(INDEX(LookupData!G:G,$AK111)="","",INDEX(LookupData!G:G,$AK111))))</f>
        <v/>
      </c>
      <c r="H111" t="str">
        <f>IF($AK111="","",IF($AK111=0,"",IF(INDEX(LookupData!H:H,$AK111)="","",INDEX(LookupData!H:H,$AK111))))</f>
        <v/>
      </c>
      <c r="I111" s="7" t="str">
        <f>IF($AK111="","",IF($AK111=0,"",IF(INDEX(LookupData!I:I,$AK111)="","",INDEX(LookupData!I:I,$AK111))))</f>
        <v/>
      </c>
      <c r="J111" s="7" t="str">
        <f>IF($AK111="","",IF($AK111=0,"",IF(INDEX(LookupData!J:J,$AK111)="","",INDEX(LookupData!J:J,$AK111))))</f>
        <v/>
      </c>
      <c r="K111" s="7" t="str">
        <f>IF($AK111="","",IF($AK111=0,"",IF(INDEX(LookupData!K:K,$AK111)="","",INDEX(LookupData!K:K,$AK111))))</f>
        <v/>
      </c>
      <c r="L111" s="7" t="str">
        <f>IF($AK111="","",IF($AK111=0,"",IF(INDEX(LookupData!L:L,$AK111)="","",INDEX(LookupData!L:L,$AK111))))</f>
        <v/>
      </c>
      <c r="M111" s="7" t="str">
        <f>IF($AK111="","",IF($AK111=0,"",IF(INDEX(LookupData!M:M,$AK111)="","",INDEX(LookupData!M:M,$AK111))))</f>
        <v/>
      </c>
      <c r="N111" s="7" t="str">
        <f>IF($AK111="","",IF($AK111=0,"",IF(INDEX(LookupData!N:N,$AK111)="","",INDEX(LookupData!N:N,$AK111))))</f>
        <v/>
      </c>
      <c r="O111" s="7" t="str">
        <f>IF($AK111="","",IF($AK111=0,"",IF(INDEX(LookupData!O:O,$AK111)="","",INDEX(LookupData!O:O,$AK111))))</f>
        <v/>
      </c>
      <c r="P111" s="7" t="str">
        <f>IF($AK111="","",IF($AK111=0,"",IF(INDEX(LookupData!P:P,$AK111)="","",INDEX(LookupData!P:P,$AK111))))</f>
        <v/>
      </c>
      <c r="Q111" s="7" t="str">
        <f>IF($AK111="","",IF($AK111=0,"",IF(INDEX(LookupData!Q:Q,$AK111)="","",INDEX(LookupData!Q:Q,$AK111))))</f>
        <v/>
      </c>
      <c r="R111" s="7" t="str">
        <f>IF($AK111="","",IF($AK111=0,"",IF(INDEX(LookupData!R:R,$AK111)="","",INDEX(LookupData!R:R,$AK111))))</f>
        <v/>
      </c>
      <c r="S111" s="7" t="str">
        <f>IF($AK111="","",IF($AK111=0,"",IF(INDEX(LookupData!S:S,$AK111)="","",INDEX(LookupData!S:S,$AK111))))</f>
        <v/>
      </c>
      <c r="T111" s="7" t="str">
        <f>IF($AK111="","",IF($AK111=0,"",IF(INDEX(LookupData!T:T,$AK111)="","",INDEX(LookupData!T:T,$AK111))))</f>
        <v/>
      </c>
      <c r="U111" s="7" t="str">
        <f>IF($AK111="","",IF($AK111=0,"",IF(INDEX(LookupData!U:U,$AK111)="","",INDEX(LookupData!U:U,$AK111))))</f>
        <v/>
      </c>
      <c r="V111" s="7" t="str">
        <f>IF($AK111="","",IF($AK111=0,"",IF(INDEX(LookupData!V:V,$AK111)="","",INDEX(LookupData!V:V,$AK111))))</f>
        <v/>
      </c>
      <c r="W111" t="str">
        <f>IF($AK111="","",IF($AK111=0,"",IF(INDEX(LookupData!W:W,$AK111)="","",INDEX(LookupData!W:W,$AK111))))</f>
        <v/>
      </c>
      <c r="X111" s="7" t="str">
        <f>IF($AK111="","",IF($AK111=0,"",IF(INDEX(LookupData!X:X,$AK111)="","",INDEX(LookupData!X:X,$AK111))))</f>
        <v/>
      </c>
      <c r="Y111" s="7" t="str">
        <f>IF($AK111="","",IF($AK111=0,"",IF(INDEX(LookupData!Y:Y,$AK111)="","",INDEX(LookupData!Y:Y,$AK111))))</f>
        <v/>
      </c>
      <c r="Z111" s="7" t="str">
        <f>IF($AK111="","",IF($AK111=0,"",IF(INDEX(LookupData!Z:Z,$AK111)="","",INDEX(LookupData!Z:Z,$AK111))))</f>
        <v/>
      </c>
      <c r="AA111" s="7" t="str">
        <f>IF($AK111="","",IF($AK111=0,"",IF(INDEX(LookupData!AA:AA,$AK111)="","",INDEX(LookupData!AA:AA,$AK111))))</f>
        <v/>
      </c>
      <c r="AB111" s="7" t="str">
        <f>IF($AK111="","",IF($AK111=0,"",IF(INDEX(LookupData!AB:AB,$AK111)="","",INDEX(LookupData!AB:AB,$AK111))))</f>
        <v/>
      </c>
      <c r="AC111" s="7" t="str">
        <f>IF($AK111="","",IF($AK111=0,"",IF(INDEX(LookupData!AC:AC,$AK111)="","",INDEX(LookupData!AC:AC,$AK111))))</f>
        <v/>
      </c>
      <c r="AD111" s="7" t="str">
        <f>IF($AK111="","",IF($AK111=0,"",IF(INDEX(LookupData!AD:AD,$AK111)="","",INDEX(LookupData!AD:AD,$AK111))))</f>
        <v/>
      </c>
      <c r="AE111" s="7" t="str">
        <f>IF($AK111="","",IF($AK111=0,"",IF(INDEX(LookupData!AE:AE,$AK111)="","",INDEX(LookupData!AE:AE,$AK111))))</f>
        <v/>
      </c>
      <c r="AF111" t="str">
        <f>IF($AK111="","",IF($AK111=0,"",IF(INDEX(LookupData!AF:AF,$AK111)="","",INDEX(LookupData!AF:AF,$AK111))))</f>
        <v/>
      </c>
      <c r="AG111" t="str">
        <f>IF($AK111="","",IF($AK111=0,"",IF(INDEX(LookupData!AG:AG,$AK111)="","",INDEX(LookupData!AG:AG,$AK111))))</f>
        <v/>
      </c>
      <c r="AH111" s="11" t="str">
        <f>IF($AK111="","",IF($AK111=0,"",IF(INDEX(LookupData!AH:AH,$AK111)="","",INDEX(LookupData!AH:AH,$AK111))))</f>
        <v/>
      </c>
      <c r="AI111" s="12" t="str">
        <f>IF($AK111="","",IF($AK111=0,"",IF(INDEX(LookupData!AI:AI,$AK111)="","",HYPERLINK(INDEX(LookupData!AI:AI,$AK111),"Open"))))</f>
        <v/>
      </c>
      <c r="AK111" t="str">
        <f>IF(AL111="","",IFERROR(MATCH(AL111,LookupData!$A:$A,0),0))</f>
        <v/>
      </c>
      <c r="AL111" t="str">
        <f t="shared" si="6"/>
        <v/>
      </c>
      <c r="AM111" t="str">
        <f t="shared" si="7"/>
        <v/>
      </c>
    </row>
    <row r="112" spans="1:39" x14ac:dyDescent="0.2">
      <c r="A112" s="9"/>
      <c r="B112" s="10" t="str">
        <f>IF($AK112="","",IF($AK112=0,"not in the database",IF(INDEX(LookupData!B:B,$AK112)="","",INDEX(LookupData!B:B,$AK112))))</f>
        <v/>
      </c>
      <c r="C112" t="str">
        <f>IF($AK112="","",IF($AK112=0,"",IF(INDEX(LookupData!C:C,$AK112)="","",INDEX(LookupData!C:C,$AK112))))</f>
        <v/>
      </c>
      <c r="D112" t="str">
        <f>IF($AK112="","",IF($AK112=0,"",IF(INDEX(LookupData!D:D,$AK112)="","",INDEX(LookupData!D:D,$AK112))))</f>
        <v/>
      </c>
      <c r="E112" t="str">
        <f>IF($AK112="","",IF($AK112=0,"",IF(INDEX(LookupData!E:E,$AK112)="","",INDEX(LookupData!E:E,$AK112))))</f>
        <v/>
      </c>
      <c r="F112" t="str">
        <f>IF($AK112="","",IF($AK112=0,"",IF(INDEX(LookupData!F:F,$AK112)="","",INDEX(LookupData!F:F,$AK112))))</f>
        <v/>
      </c>
      <c r="G112" t="str">
        <f>IF($AK112="","",IF($AK112=0,"",IF(INDEX(LookupData!G:G,$AK112)="","",INDEX(LookupData!G:G,$AK112))))</f>
        <v/>
      </c>
      <c r="H112" t="str">
        <f>IF($AK112="","",IF($AK112=0,"",IF(INDEX(LookupData!H:H,$AK112)="","",INDEX(LookupData!H:H,$AK112))))</f>
        <v/>
      </c>
      <c r="I112" s="7" t="str">
        <f>IF($AK112="","",IF($AK112=0,"",IF(INDEX(LookupData!I:I,$AK112)="","",INDEX(LookupData!I:I,$AK112))))</f>
        <v/>
      </c>
      <c r="J112" s="7" t="str">
        <f>IF($AK112="","",IF($AK112=0,"",IF(INDEX(LookupData!J:J,$AK112)="","",INDEX(LookupData!J:J,$AK112))))</f>
        <v/>
      </c>
      <c r="K112" s="7" t="str">
        <f>IF($AK112="","",IF($AK112=0,"",IF(INDEX(LookupData!K:K,$AK112)="","",INDEX(LookupData!K:K,$AK112))))</f>
        <v/>
      </c>
      <c r="L112" s="7" t="str">
        <f>IF($AK112="","",IF($AK112=0,"",IF(INDEX(LookupData!L:L,$AK112)="","",INDEX(LookupData!L:L,$AK112))))</f>
        <v/>
      </c>
      <c r="M112" s="7" t="str">
        <f>IF($AK112="","",IF($AK112=0,"",IF(INDEX(LookupData!M:M,$AK112)="","",INDEX(LookupData!M:M,$AK112))))</f>
        <v/>
      </c>
      <c r="N112" s="7" t="str">
        <f>IF($AK112="","",IF($AK112=0,"",IF(INDEX(LookupData!N:N,$AK112)="","",INDEX(LookupData!N:N,$AK112))))</f>
        <v/>
      </c>
      <c r="O112" s="7" t="str">
        <f>IF($AK112="","",IF($AK112=0,"",IF(INDEX(LookupData!O:O,$AK112)="","",INDEX(LookupData!O:O,$AK112))))</f>
        <v/>
      </c>
      <c r="P112" s="7" t="str">
        <f>IF($AK112="","",IF($AK112=0,"",IF(INDEX(LookupData!P:P,$AK112)="","",INDEX(LookupData!P:P,$AK112))))</f>
        <v/>
      </c>
      <c r="Q112" s="7" t="str">
        <f>IF($AK112="","",IF($AK112=0,"",IF(INDEX(LookupData!Q:Q,$AK112)="","",INDEX(LookupData!Q:Q,$AK112))))</f>
        <v/>
      </c>
      <c r="R112" s="7" t="str">
        <f>IF($AK112="","",IF($AK112=0,"",IF(INDEX(LookupData!R:R,$AK112)="","",INDEX(LookupData!R:R,$AK112))))</f>
        <v/>
      </c>
      <c r="S112" s="7" t="str">
        <f>IF($AK112="","",IF($AK112=0,"",IF(INDEX(LookupData!S:S,$AK112)="","",INDEX(LookupData!S:S,$AK112))))</f>
        <v/>
      </c>
      <c r="T112" s="7" t="str">
        <f>IF($AK112="","",IF($AK112=0,"",IF(INDEX(LookupData!T:T,$AK112)="","",INDEX(LookupData!T:T,$AK112))))</f>
        <v/>
      </c>
      <c r="U112" s="7" t="str">
        <f>IF($AK112="","",IF($AK112=0,"",IF(INDEX(LookupData!U:U,$AK112)="","",INDEX(LookupData!U:U,$AK112))))</f>
        <v/>
      </c>
      <c r="V112" s="7" t="str">
        <f>IF($AK112="","",IF($AK112=0,"",IF(INDEX(LookupData!V:V,$AK112)="","",INDEX(LookupData!V:V,$AK112))))</f>
        <v/>
      </c>
      <c r="W112" t="str">
        <f>IF($AK112="","",IF($AK112=0,"",IF(INDEX(LookupData!W:W,$AK112)="","",INDEX(LookupData!W:W,$AK112))))</f>
        <v/>
      </c>
      <c r="X112" s="7" t="str">
        <f>IF($AK112="","",IF($AK112=0,"",IF(INDEX(LookupData!X:X,$AK112)="","",INDEX(LookupData!X:X,$AK112))))</f>
        <v/>
      </c>
      <c r="Y112" s="7" t="str">
        <f>IF($AK112="","",IF($AK112=0,"",IF(INDEX(LookupData!Y:Y,$AK112)="","",INDEX(LookupData!Y:Y,$AK112))))</f>
        <v/>
      </c>
      <c r="Z112" s="7" t="str">
        <f>IF($AK112="","",IF($AK112=0,"",IF(INDEX(LookupData!Z:Z,$AK112)="","",INDEX(LookupData!Z:Z,$AK112))))</f>
        <v/>
      </c>
      <c r="AA112" s="7" t="str">
        <f>IF($AK112="","",IF($AK112=0,"",IF(INDEX(LookupData!AA:AA,$AK112)="","",INDEX(LookupData!AA:AA,$AK112))))</f>
        <v/>
      </c>
      <c r="AB112" s="7" t="str">
        <f>IF($AK112="","",IF($AK112=0,"",IF(INDEX(LookupData!AB:AB,$AK112)="","",INDEX(LookupData!AB:AB,$AK112))))</f>
        <v/>
      </c>
      <c r="AC112" s="7" t="str">
        <f>IF($AK112="","",IF($AK112=0,"",IF(INDEX(LookupData!AC:AC,$AK112)="","",INDEX(LookupData!AC:AC,$AK112))))</f>
        <v/>
      </c>
      <c r="AD112" s="7" t="str">
        <f>IF($AK112="","",IF($AK112=0,"",IF(INDEX(LookupData!AD:AD,$AK112)="","",INDEX(LookupData!AD:AD,$AK112))))</f>
        <v/>
      </c>
      <c r="AE112" s="7" t="str">
        <f>IF($AK112="","",IF($AK112=0,"",IF(INDEX(LookupData!AE:AE,$AK112)="","",INDEX(LookupData!AE:AE,$AK112))))</f>
        <v/>
      </c>
      <c r="AF112" t="str">
        <f>IF($AK112="","",IF($AK112=0,"",IF(INDEX(LookupData!AF:AF,$AK112)="","",INDEX(LookupData!AF:AF,$AK112))))</f>
        <v/>
      </c>
      <c r="AG112" t="str">
        <f>IF($AK112="","",IF($AK112=0,"",IF(INDEX(LookupData!AG:AG,$AK112)="","",INDEX(LookupData!AG:AG,$AK112))))</f>
        <v/>
      </c>
      <c r="AH112" s="11" t="str">
        <f>IF($AK112="","",IF($AK112=0,"",IF(INDEX(LookupData!AH:AH,$AK112)="","",INDEX(LookupData!AH:AH,$AK112))))</f>
        <v/>
      </c>
      <c r="AI112" s="12" t="str">
        <f>IF($AK112="","",IF($AK112=0,"",IF(INDEX(LookupData!AI:AI,$AK112)="","",HYPERLINK(INDEX(LookupData!AI:AI,$AK112),"Open"))))</f>
        <v/>
      </c>
      <c r="AK112" t="str">
        <f>IF(AL112="","",IFERROR(MATCH(AL112,LookupData!$A:$A,0),0))</f>
        <v/>
      </c>
      <c r="AL112" t="str">
        <f t="shared" si="6"/>
        <v/>
      </c>
      <c r="AM112" t="str">
        <f t="shared" si="7"/>
        <v/>
      </c>
    </row>
    <row r="113" spans="1:39" x14ac:dyDescent="0.2">
      <c r="A113" s="9"/>
      <c r="B113" s="10" t="str">
        <f>IF($AK113="","",IF($AK113=0,"not in the database",IF(INDEX(LookupData!B:B,$AK113)="","",INDEX(LookupData!B:B,$AK113))))</f>
        <v/>
      </c>
      <c r="C113" t="str">
        <f>IF($AK113="","",IF($AK113=0,"",IF(INDEX(LookupData!C:C,$AK113)="","",INDEX(LookupData!C:C,$AK113))))</f>
        <v/>
      </c>
      <c r="D113" t="str">
        <f>IF($AK113="","",IF($AK113=0,"",IF(INDEX(LookupData!D:D,$AK113)="","",INDEX(LookupData!D:D,$AK113))))</f>
        <v/>
      </c>
      <c r="E113" t="str">
        <f>IF($AK113="","",IF($AK113=0,"",IF(INDEX(LookupData!E:E,$AK113)="","",INDEX(LookupData!E:E,$AK113))))</f>
        <v/>
      </c>
      <c r="F113" t="str">
        <f>IF($AK113="","",IF($AK113=0,"",IF(INDEX(LookupData!F:F,$AK113)="","",INDEX(LookupData!F:F,$AK113))))</f>
        <v/>
      </c>
      <c r="G113" t="str">
        <f>IF($AK113="","",IF($AK113=0,"",IF(INDEX(LookupData!G:G,$AK113)="","",INDEX(LookupData!G:G,$AK113))))</f>
        <v/>
      </c>
      <c r="H113" t="str">
        <f>IF($AK113="","",IF($AK113=0,"",IF(INDEX(LookupData!H:H,$AK113)="","",INDEX(LookupData!H:H,$AK113))))</f>
        <v/>
      </c>
      <c r="I113" s="7" t="str">
        <f>IF($AK113="","",IF($AK113=0,"",IF(INDEX(LookupData!I:I,$AK113)="","",INDEX(LookupData!I:I,$AK113))))</f>
        <v/>
      </c>
      <c r="J113" s="7" t="str">
        <f>IF($AK113="","",IF($AK113=0,"",IF(INDEX(LookupData!J:J,$AK113)="","",INDEX(LookupData!J:J,$AK113))))</f>
        <v/>
      </c>
      <c r="K113" s="7" t="str">
        <f>IF($AK113="","",IF($AK113=0,"",IF(INDEX(LookupData!K:K,$AK113)="","",INDEX(LookupData!K:K,$AK113))))</f>
        <v/>
      </c>
      <c r="L113" s="7" t="str">
        <f>IF($AK113="","",IF($AK113=0,"",IF(INDEX(LookupData!L:L,$AK113)="","",INDEX(LookupData!L:L,$AK113))))</f>
        <v/>
      </c>
      <c r="M113" s="7" t="str">
        <f>IF($AK113="","",IF($AK113=0,"",IF(INDEX(LookupData!M:M,$AK113)="","",INDEX(LookupData!M:M,$AK113))))</f>
        <v/>
      </c>
      <c r="N113" s="7" t="str">
        <f>IF($AK113="","",IF($AK113=0,"",IF(INDEX(LookupData!N:N,$AK113)="","",INDEX(LookupData!N:N,$AK113))))</f>
        <v/>
      </c>
      <c r="O113" s="7" t="str">
        <f>IF($AK113="","",IF($AK113=0,"",IF(INDEX(LookupData!O:O,$AK113)="","",INDEX(LookupData!O:O,$AK113))))</f>
        <v/>
      </c>
      <c r="P113" s="7" t="str">
        <f>IF($AK113="","",IF($AK113=0,"",IF(INDEX(LookupData!P:P,$AK113)="","",INDEX(LookupData!P:P,$AK113))))</f>
        <v/>
      </c>
      <c r="Q113" s="7" t="str">
        <f>IF($AK113="","",IF($AK113=0,"",IF(INDEX(LookupData!Q:Q,$AK113)="","",INDEX(LookupData!Q:Q,$AK113))))</f>
        <v/>
      </c>
      <c r="R113" s="7" t="str">
        <f>IF($AK113="","",IF($AK113=0,"",IF(INDEX(LookupData!R:R,$AK113)="","",INDEX(LookupData!R:R,$AK113))))</f>
        <v/>
      </c>
      <c r="S113" s="7" t="str">
        <f>IF($AK113="","",IF($AK113=0,"",IF(INDEX(LookupData!S:S,$AK113)="","",INDEX(LookupData!S:S,$AK113))))</f>
        <v/>
      </c>
      <c r="T113" s="7" t="str">
        <f>IF($AK113="","",IF($AK113=0,"",IF(INDEX(LookupData!T:T,$AK113)="","",INDEX(LookupData!T:T,$AK113))))</f>
        <v/>
      </c>
      <c r="U113" s="7" t="str">
        <f>IF($AK113="","",IF($AK113=0,"",IF(INDEX(LookupData!U:U,$AK113)="","",INDEX(LookupData!U:U,$AK113))))</f>
        <v/>
      </c>
      <c r="V113" s="7" t="str">
        <f>IF($AK113="","",IF($AK113=0,"",IF(INDEX(LookupData!V:V,$AK113)="","",INDEX(LookupData!V:V,$AK113))))</f>
        <v/>
      </c>
      <c r="W113" t="str">
        <f>IF($AK113="","",IF($AK113=0,"",IF(INDEX(LookupData!W:W,$AK113)="","",INDEX(LookupData!W:W,$AK113))))</f>
        <v/>
      </c>
      <c r="X113" s="7" t="str">
        <f>IF($AK113="","",IF($AK113=0,"",IF(INDEX(LookupData!X:X,$AK113)="","",INDEX(LookupData!X:X,$AK113))))</f>
        <v/>
      </c>
      <c r="Y113" s="7" t="str">
        <f>IF($AK113="","",IF($AK113=0,"",IF(INDEX(LookupData!Y:Y,$AK113)="","",INDEX(LookupData!Y:Y,$AK113))))</f>
        <v/>
      </c>
      <c r="Z113" s="7" t="str">
        <f>IF($AK113="","",IF($AK113=0,"",IF(INDEX(LookupData!Z:Z,$AK113)="","",INDEX(LookupData!Z:Z,$AK113))))</f>
        <v/>
      </c>
      <c r="AA113" s="7" t="str">
        <f>IF($AK113="","",IF($AK113=0,"",IF(INDEX(LookupData!AA:AA,$AK113)="","",INDEX(LookupData!AA:AA,$AK113))))</f>
        <v/>
      </c>
      <c r="AB113" s="7" t="str">
        <f>IF($AK113="","",IF($AK113=0,"",IF(INDEX(LookupData!AB:AB,$AK113)="","",INDEX(LookupData!AB:AB,$AK113))))</f>
        <v/>
      </c>
      <c r="AC113" s="7" t="str">
        <f>IF($AK113="","",IF($AK113=0,"",IF(INDEX(LookupData!AC:AC,$AK113)="","",INDEX(LookupData!AC:AC,$AK113))))</f>
        <v/>
      </c>
      <c r="AD113" s="7" t="str">
        <f>IF($AK113="","",IF($AK113=0,"",IF(INDEX(LookupData!AD:AD,$AK113)="","",INDEX(LookupData!AD:AD,$AK113))))</f>
        <v/>
      </c>
      <c r="AE113" s="7" t="str">
        <f>IF($AK113="","",IF($AK113=0,"",IF(INDEX(LookupData!AE:AE,$AK113)="","",INDEX(LookupData!AE:AE,$AK113))))</f>
        <v/>
      </c>
      <c r="AF113" t="str">
        <f>IF($AK113="","",IF($AK113=0,"",IF(INDEX(LookupData!AF:AF,$AK113)="","",INDEX(LookupData!AF:AF,$AK113))))</f>
        <v/>
      </c>
      <c r="AG113" t="str">
        <f>IF($AK113="","",IF($AK113=0,"",IF(INDEX(LookupData!AG:AG,$AK113)="","",INDEX(LookupData!AG:AG,$AK113))))</f>
        <v/>
      </c>
      <c r="AH113" s="11" t="str">
        <f>IF($AK113="","",IF($AK113=0,"",IF(INDEX(LookupData!AH:AH,$AK113)="","",INDEX(LookupData!AH:AH,$AK113))))</f>
        <v/>
      </c>
      <c r="AI113" s="12" t="str">
        <f>IF($AK113="","",IF($AK113=0,"",IF(INDEX(LookupData!AI:AI,$AK113)="","",HYPERLINK(INDEX(LookupData!AI:AI,$AK113),"Open"))))</f>
        <v/>
      </c>
      <c r="AK113" t="str">
        <f>IF(AL113="","",IFERROR(MATCH(AL113,LookupData!$A:$A,0),0))</f>
        <v/>
      </c>
      <c r="AL113" t="str">
        <f t="shared" si="6"/>
        <v/>
      </c>
      <c r="AM113" t="str">
        <f t="shared" si="7"/>
        <v/>
      </c>
    </row>
    <row r="114" spans="1:39" x14ac:dyDescent="0.2">
      <c r="A114" s="9"/>
      <c r="B114" s="10" t="str">
        <f>IF($AK114="","",IF($AK114=0,"not in the database",IF(INDEX(LookupData!B:B,$AK114)="","",INDEX(LookupData!B:B,$AK114))))</f>
        <v/>
      </c>
      <c r="C114" t="str">
        <f>IF($AK114="","",IF($AK114=0,"",IF(INDEX(LookupData!C:C,$AK114)="","",INDEX(LookupData!C:C,$AK114))))</f>
        <v/>
      </c>
      <c r="D114" t="str">
        <f>IF($AK114="","",IF($AK114=0,"",IF(INDEX(LookupData!D:D,$AK114)="","",INDEX(LookupData!D:D,$AK114))))</f>
        <v/>
      </c>
      <c r="E114" t="str">
        <f>IF($AK114="","",IF($AK114=0,"",IF(INDEX(LookupData!E:E,$AK114)="","",INDEX(LookupData!E:E,$AK114))))</f>
        <v/>
      </c>
      <c r="F114" t="str">
        <f>IF($AK114="","",IF($AK114=0,"",IF(INDEX(LookupData!F:F,$AK114)="","",INDEX(LookupData!F:F,$AK114))))</f>
        <v/>
      </c>
      <c r="G114" t="str">
        <f>IF($AK114="","",IF($AK114=0,"",IF(INDEX(LookupData!G:G,$AK114)="","",INDEX(LookupData!G:G,$AK114))))</f>
        <v/>
      </c>
      <c r="H114" t="str">
        <f>IF($AK114="","",IF($AK114=0,"",IF(INDEX(LookupData!H:H,$AK114)="","",INDEX(LookupData!H:H,$AK114))))</f>
        <v/>
      </c>
      <c r="I114" s="7" t="str">
        <f>IF($AK114="","",IF($AK114=0,"",IF(INDEX(LookupData!I:I,$AK114)="","",INDEX(LookupData!I:I,$AK114))))</f>
        <v/>
      </c>
      <c r="J114" s="7" t="str">
        <f>IF($AK114="","",IF($AK114=0,"",IF(INDEX(LookupData!J:J,$AK114)="","",INDEX(LookupData!J:J,$AK114))))</f>
        <v/>
      </c>
      <c r="K114" s="7" t="str">
        <f>IF($AK114="","",IF($AK114=0,"",IF(INDEX(LookupData!K:K,$AK114)="","",INDEX(LookupData!K:K,$AK114))))</f>
        <v/>
      </c>
      <c r="L114" s="7" t="str">
        <f>IF($AK114="","",IF($AK114=0,"",IF(INDEX(LookupData!L:L,$AK114)="","",INDEX(LookupData!L:L,$AK114))))</f>
        <v/>
      </c>
      <c r="M114" s="7" t="str">
        <f>IF($AK114="","",IF($AK114=0,"",IF(INDEX(LookupData!M:M,$AK114)="","",INDEX(LookupData!M:M,$AK114))))</f>
        <v/>
      </c>
      <c r="N114" s="7" t="str">
        <f>IF($AK114="","",IF($AK114=0,"",IF(INDEX(LookupData!N:N,$AK114)="","",INDEX(LookupData!N:N,$AK114))))</f>
        <v/>
      </c>
      <c r="O114" s="7" t="str">
        <f>IF($AK114="","",IF($AK114=0,"",IF(INDEX(LookupData!O:O,$AK114)="","",INDEX(LookupData!O:O,$AK114))))</f>
        <v/>
      </c>
      <c r="P114" s="7" t="str">
        <f>IF($AK114="","",IF($AK114=0,"",IF(INDEX(LookupData!P:P,$AK114)="","",INDEX(LookupData!P:P,$AK114))))</f>
        <v/>
      </c>
      <c r="Q114" s="7" t="str">
        <f>IF($AK114="","",IF($AK114=0,"",IF(INDEX(LookupData!Q:Q,$AK114)="","",INDEX(LookupData!Q:Q,$AK114))))</f>
        <v/>
      </c>
      <c r="R114" s="7" t="str">
        <f>IF($AK114="","",IF($AK114=0,"",IF(INDEX(LookupData!R:R,$AK114)="","",INDEX(LookupData!R:R,$AK114))))</f>
        <v/>
      </c>
      <c r="S114" s="7" t="str">
        <f>IF($AK114="","",IF($AK114=0,"",IF(INDEX(LookupData!S:S,$AK114)="","",INDEX(LookupData!S:S,$AK114))))</f>
        <v/>
      </c>
      <c r="T114" s="7" t="str">
        <f>IF($AK114="","",IF($AK114=0,"",IF(INDEX(LookupData!T:T,$AK114)="","",INDEX(LookupData!T:T,$AK114))))</f>
        <v/>
      </c>
      <c r="U114" s="7" t="str">
        <f>IF($AK114="","",IF($AK114=0,"",IF(INDEX(LookupData!U:U,$AK114)="","",INDEX(LookupData!U:U,$AK114))))</f>
        <v/>
      </c>
      <c r="V114" s="7" t="str">
        <f>IF($AK114="","",IF($AK114=0,"",IF(INDEX(LookupData!V:V,$AK114)="","",INDEX(LookupData!V:V,$AK114))))</f>
        <v/>
      </c>
      <c r="W114" t="str">
        <f>IF($AK114="","",IF($AK114=0,"",IF(INDEX(LookupData!W:W,$AK114)="","",INDEX(LookupData!W:W,$AK114))))</f>
        <v/>
      </c>
      <c r="X114" s="7" t="str">
        <f>IF($AK114="","",IF($AK114=0,"",IF(INDEX(LookupData!X:X,$AK114)="","",INDEX(LookupData!X:X,$AK114))))</f>
        <v/>
      </c>
      <c r="Y114" s="7" t="str">
        <f>IF($AK114="","",IF($AK114=0,"",IF(INDEX(LookupData!Y:Y,$AK114)="","",INDEX(LookupData!Y:Y,$AK114))))</f>
        <v/>
      </c>
      <c r="Z114" s="7" t="str">
        <f>IF($AK114="","",IF($AK114=0,"",IF(INDEX(LookupData!Z:Z,$AK114)="","",INDEX(LookupData!Z:Z,$AK114))))</f>
        <v/>
      </c>
      <c r="AA114" s="7" t="str">
        <f>IF($AK114="","",IF($AK114=0,"",IF(INDEX(LookupData!AA:AA,$AK114)="","",INDEX(LookupData!AA:AA,$AK114))))</f>
        <v/>
      </c>
      <c r="AB114" s="7" t="str">
        <f>IF($AK114="","",IF($AK114=0,"",IF(INDEX(LookupData!AB:AB,$AK114)="","",INDEX(LookupData!AB:AB,$AK114))))</f>
        <v/>
      </c>
      <c r="AC114" s="7" t="str">
        <f>IF($AK114="","",IF($AK114=0,"",IF(INDEX(LookupData!AC:AC,$AK114)="","",INDEX(LookupData!AC:AC,$AK114))))</f>
        <v/>
      </c>
      <c r="AD114" s="7" t="str">
        <f>IF($AK114="","",IF($AK114=0,"",IF(INDEX(LookupData!AD:AD,$AK114)="","",INDEX(LookupData!AD:AD,$AK114))))</f>
        <v/>
      </c>
      <c r="AE114" s="7" t="str">
        <f>IF($AK114="","",IF($AK114=0,"",IF(INDEX(LookupData!AE:AE,$AK114)="","",INDEX(LookupData!AE:AE,$AK114))))</f>
        <v/>
      </c>
      <c r="AF114" t="str">
        <f>IF($AK114="","",IF($AK114=0,"",IF(INDEX(LookupData!AF:AF,$AK114)="","",INDEX(LookupData!AF:AF,$AK114))))</f>
        <v/>
      </c>
      <c r="AG114" t="str">
        <f>IF($AK114="","",IF($AK114=0,"",IF(INDEX(LookupData!AG:AG,$AK114)="","",INDEX(LookupData!AG:AG,$AK114))))</f>
        <v/>
      </c>
      <c r="AH114" s="11" t="str">
        <f>IF($AK114="","",IF($AK114=0,"",IF(INDEX(LookupData!AH:AH,$AK114)="","",INDEX(LookupData!AH:AH,$AK114))))</f>
        <v/>
      </c>
      <c r="AI114" s="12" t="str">
        <f>IF($AK114="","",IF($AK114=0,"",IF(INDEX(LookupData!AI:AI,$AK114)="","",HYPERLINK(INDEX(LookupData!AI:AI,$AK114),"Open"))))</f>
        <v/>
      </c>
      <c r="AK114" t="str">
        <f>IF(AL114="","",IFERROR(MATCH(AL114,LookupData!$A:$A,0),0))</f>
        <v/>
      </c>
      <c r="AL114" t="str">
        <f t="shared" si="6"/>
        <v/>
      </c>
      <c r="AM114" t="str">
        <f t="shared" si="7"/>
        <v/>
      </c>
    </row>
    <row r="115" spans="1:39" x14ac:dyDescent="0.2">
      <c r="A115" s="9"/>
      <c r="B115" s="10" t="str">
        <f>IF($AK115="","",IF($AK115=0,"not in the database",IF(INDEX(LookupData!B:B,$AK115)="","",INDEX(LookupData!B:B,$AK115))))</f>
        <v/>
      </c>
      <c r="C115" t="str">
        <f>IF($AK115="","",IF($AK115=0,"",IF(INDEX(LookupData!C:C,$AK115)="","",INDEX(LookupData!C:C,$AK115))))</f>
        <v/>
      </c>
      <c r="D115" t="str">
        <f>IF($AK115="","",IF($AK115=0,"",IF(INDEX(LookupData!D:D,$AK115)="","",INDEX(LookupData!D:D,$AK115))))</f>
        <v/>
      </c>
      <c r="E115" t="str">
        <f>IF($AK115="","",IF($AK115=0,"",IF(INDEX(LookupData!E:E,$AK115)="","",INDEX(LookupData!E:E,$AK115))))</f>
        <v/>
      </c>
      <c r="F115" t="str">
        <f>IF($AK115="","",IF($AK115=0,"",IF(INDEX(LookupData!F:F,$AK115)="","",INDEX(LookupData!F:F,$AK115))))</f>
        <v/>
      </c>
      <c r="G115" t="str">
        <f>IF($AK115="","",IF($AK115=0,"",IF(INDEX(LookupData!G:G,$AK115)="","",INDEX(LookupData!G:G,$AK115))))</f>
        <v/>
      </c>
      <c r="H115" t="str">
        <f>IF($AK115="","",IF($AK115=0,"",IF(INDEX(LookupData!H:H,$AK115)="","",INDEX(LookupData!H:H,$AK115))))</f>
        <v/>
      </c>
      <c r="I115" s="7" t="str">
        <f>IF($AK115="","",IF($AK115=0,"",IF(INDEX(LookupData!I:I,$AK115)="","",INDEX(LookupData!I:I,$AK115))))</f>
        <v/>
      </c>
      <c r="J115" s="7" t="str">
        <f>IF($AK115="","",IF($AK115=0,"",IF(INDEX(LookupData!J:J,$AK115)="","",INDEX(LookupData!J:J,$AK115))))</f>
        <v/>
      </c>
      <c r="K115" s="7" t="str">
        <f>IF($AK115="","",IF($AK115=0,"",IF(INDEX(LookupData!K:K,$AK115)="","",INDEX(LookupData!K:K,$AK115))))</f>
        <v/>
      </c>
      <c r="L115" s="7" t="str">
        <f>IF($AK115="","",IF($AK115=0,"",IF(INDEX(LookupData!L:L,$AK115)="","",INDEX(LookupData!L:L,$AK115))))</f>
        <v/>
      </c>
      <c r="M115" s="7" t="str">
        <f>IF($AK115="","",IF($AK115=0,"",IF(INDEX(LookupData!M:M,$AK115)="","",INDEX(LookupData!M:M,$AK115))))</f>
        <v/>
      </c>
      <c r="N115" s="7" t="str">
        <f>IF($AK115="","",IF($AK115=0,"",IF(INDEX(LookupData!N:N,$AK115)="","",INDEX(LookupData!N:N,$AK115))))</f>
        <v/>
      </c>
      <c r="O115" s="7" t="str">
        <f>IF($AK115="","",IF($AK115=0,"",IF(INDEX(LookupData!O:O,$AK115)="","",INDEX(LookupData!O:O,$AK115))))</f>
        <v/>
      </c>
      <c r="P115" s="7" t="str">
        <f>IF($AK115="","",IF($AK115=0,"",IF(INDEX(LookupData!P:P,$AK115)="","",INDEX(LookupData!P:P,$AK115))))</f>
        <v/>
      </c>
      <c r="Q115" s="7" t="str">
        <f>IF($AK115="","",IF($AK115=0,"",IF(INDEX(LookupData!Q:Q,$AK115)="","",INDEX(LookupData!Q:Q,$AK115))))</f>
        <v/>
      </c>
      <c r="R115" s="7" t="str">
        <f>IF($AK115="","",IF($AK115=0,"",IF(INDEX(LookupData!R:R,$AK115)="","",INDEX(LookupData!R:R,$AK115))))</f>
        <v/>
      </c>
      <c r="S115" s="7" t="str">
        <f>IF($AK115="","",IF($AK115=0,"",IF(INDEX(LookupData!S:S,$AK115)="","",INDEX(LookupData!S:S,$AK115))))</f>
        <v/>
      </c>
      <c r="T115" s="7" t="str">
        <f>IF($AK115="","",IF($AK115=0,"",IF(INDEX(LookupData!T:T,$AK115)="","",INDEX(LookupData!T:T,$AK115))))</f>
        <v/>
      </c>
      <c r="U115" s="7" t="str">
        <f>IF($AK115="","",IF($AK115=0,"",IF(INDEX(LookupData!U:U,$AK115)="","",INDEX(LookupData!U:U,$AK115))))</f>
        <v/>
      </c>
      <c r="V115" s="7" t="str">
        <f>IF($AK115="","",IF($AK115=0,"",IF(INDEX(LookupData!V:V,$AK115)="","",INDEX(LookupData!V:V,$AK115))))</f>
        <v/>
      </c>
      <c r="W115" t="str">
        <f>IF($AK115="","",IF($AK115=0,"",IF(INDEX(LookupData!W:W,$AK115)="","",INDEX(LookupData!W:W,$AK115))))</f>
        <v/>
      </c>
      <c r="X115" s="7" t="str">
        <f>IF($AK115="","",IF($AK115=0,"",IF(INDEX(LookupData!X:X,$AK115)="","",INDEX(LookupData!X:X,$AK115))))</f>
        <v/>
      </c>
      <c r="Y115" s="7" t="str">
        <f>IF($AK115="","",IF($AK115=0,"",IF(INDEX(LookupData!Y:Y,$AK115)="","",INDEX(LookupData!Y:Y,$AK115))))</f>
        <v/>
      </c>
      <c r="Z115" s="7" t="str">
        <f>IF($AK115="","",IF($AK115=0,"",IF(INDEX(LookupData!Z:Z,$AK115)="","",INDEX(LookupData!Z:Z,$AK115))))</f>
        <v/>
      </c>
      <c r="AA115" s="7" t="str">
        <f>IF($AK115="","",IF($AK115=0,"",IF(INDEX(LookupData!AA:AA,$AK115)="","",INDEX(LookupData!AA:AA,$AK115))))</f>
        <v/>
      </c>
      <c r="AB115" s="7" t="str">
        <f>IF($AK115="","",IF($AK115=0,"",IF(INDEX(LookupData!AB:AB,$AK115)="","",INDEX(LookupData!AB:AB,$AK115))))</f>
        <v/>
      </c>
      <c r="AC115" s="7" t="str">
        <f>IF($AK115="","",IF($AK115=0,"",IF(INDEX(LookupData!AC:AC,$AK115)="","",INDEX(LookupData!AC:AC,$AK115))))</f>
        <v/>
      </c>
      <c r="AD115" s="7" t="str">
        <f>IF($AK115="","",IF($AK115=0,"",IF(INDEX(LookupData!AD:AD,$AK115)="","",INDEX(LookupData!AD:AD,$AK115))))</f>
        <v/>
      </c>
      <c r="AE115" s="7" t="str">
        <f>IF($AK115="","",IF($AK115=0,"",IF(INDEX(LookupData!AE:AE,$AK115)="","",INDEX(LookupData!AE:AE,$AK115))))</f>
        <v/>
      </c>
      <c r="AF115" t="str">
        <f>IF($AK115="","",IF($AK115=0,"",IF(INDEX(LookupData!AF:AF,$AK115)="","",INDEX(LookupData!AF:AF,$AK115))))</f>
        <v/>
      </c>
      <c r="AG115" t="str">
        <f>IF($AK115="","",IF($AK115=0,"",IF(INDEX(LookupData!AG:AG,$AK115)="","",INDEX(LookupData!AG:AG,$AK115))))</f>
        <v/>
      </c>
      <c r="AH115" s="11" t="str">
        <f>IF($AK115="","",IF($AK115=0,"",IF(INDEX(LookupData!AH:AH,$AK115)="","",INDEX(LookupData!AH:AH,$AK115))))</f>
        <v/>
      </c>
      <c r="AI115" s="12" t="str">
        <f>IF($AK115="","",IF($AK115=0,"",IF(INDEX(LookupData!AI:AI,$AK115)="","",HYPERLINK(INDEX(LookupData!AI:AI,$AK115),"Open"))))</f>
        <v/>
      </c>
      <c r="AK115" t="str">
        <f>IF(AL115="","",IFERROR(MATCH(AL115,LookupData!$A:$A,0),0))</f>
        <v/>
      </c>
      <c r="AL115" t="str">
        <f t="shared" si="6"/>
        <v/>
      </c>
      <c r="AM115" t="str">
        <f t="shared" si="7"/>
        <v/>
      </c>
    </row>
    <row r="116" spans="1:39" x14ac:dyDescent="0.2">
      <c r="A116" s="9"/>
      <c r="B116" s="10" t="str">
        <f>IF($AK116="","",IF($AK116=0,"not in the database",IF(INDEX(LookupData!B:B,$AK116)="","",INDEX(LookupData!B:B,$AK116))))</f>
        <v/>
      </c>
      <c r="C116" t="str">
        <f>IF($AK116="","",IF($AK116=0,"",IF(INDEX(LookupData!C:C,$AK116)="","",INDEX(LookupData!C:C,$AK116))))</f>
        <v/>
      </c>
      <c r="D116" t="str">
        <f>IF($AK116="","",IF($AK116=0,"",IF(INDEX(LookupData!D:D,$AK116)="","",INDEX(LookupData!D:D,$AK116))))</f>
        <v/>
      </c>
      <c r="E116" t="str">
        <f>IF($AK116="","",IF($AK116=0,"",IF(INDEX(LookupData!E:E,$AK116)="","",INDEX(LookupData!E:E,$AK116))))</f>
        <v/>
      </c>
      <c r="F116" t="str">
        <f>IF($AK116="","",IF($AK116=0,"",IF(INDEX(LookupData!F:F,$AK116)="","",INDEX(LookupData!F:F,$AK116))))</f>
        <v/>
      </c>
      <c r="G116" t="str">
        <f>IF($AK116="","",IF($AK116=0,"",IF(INDEX(LookupData!G:G,$AK116)="","",INDEX(LookupData!G:G,$AK116))))</f>
        <v/>
      </c>
      <c r="H116" t="str">
        <f>IF($AK116="","",IF($AK116=0,"",IF(INDEX(LookupData!H:H,$AK116)="","",INDEX(LookupData!H:H,$AK116))))</f>
        <v/>
      </c>
      <c r="I116" s="7" t="str">
        <f>IF($AK116="","",IF($AK116=0,"",IF(INDEX(LookupData!I:I,$AK116)="","",INDEX(LookupData!I:I,$AK116))))</f>
        <v/>
      </c>
      <c r="J116" s="7" t="str">
        <f>IF($AK116="","",IF($AK116=0,"",IF(INDEX(LookupData!J:J,$AK116)="","",INDEX(LookupData!J:J,$AK116))))</f>
        <v/>
      </c>
      <c r="K116" s="7" t="str">
        <f>IF($AK116="","",IF($AK116=0,"",IF(INDEX(LookupData!K:K,$AK116)="","",INDEX(LookupData!K:K,$AK116))))</f>
        <v/>
      </c>
      <c r="L116" s="7" t="str">
        <f>IF($AK116="","",IF($AK116=0,"",IF(INDEX(LookupData!L:L,$AK116)="","",INDEX(LookupData!L:L,$AK116))))</f>
        <v/>
      </c>
      <c r="M116" s="7" t="str">
        <f>IF($AK116="","",IF($AK116=0,"",IF(INDEX(LookupData!M:M,$AK116)="","",INDEX(LookupData!M:M,$AK116))))</f>
        <v/>
      </c>
      <c r="N116" s="7" t="str">
        <f>IF($AK116="","",IF($AK116=0,"",IF(INDEX(LookupData!N:N,$AK116)="","",INDEX(LookupData!N:N,$AK116))))</f>
        <v/>
      </c>
      <c r="O116" s="7" t="str">
        <f>IF($AK116="","",IF($AK116=0,"",IF(INDEX(LookupData!O:O,$AK116)="","",INDEX(LookupData!O:O,$AK116))))</f>
        <v/>
      </c>
      <c r="P116" s="7" t="str">
        <f>IF($AK116="","",IF($AK116=0,"",IF(INDEX(LookupData!P:P,$AK116)="","",INDEX(LookupData!P:P,$AK116))))</f>
        <v/>
      </c>
      <c r="Q116" s="7" t="str">
        <f>IF($AK116="","",IF($AK116=0,"",IF(INDEX(LookupData!Q:Q,$AK116)="","",INDEX(LookupData!Q:Q,$AK116))))</f>
        <v/>
      </c>
      <c r="R116" s="7" t="str">
        <f>IF($AK116="","",IF($AK116=0,"",IF(INDEX(LookupData!R:R,$AK116)="","",INDEX(LookupData!R:R,$AK116))))</f>
        <v/>
      </c>
      <c r="S116" s="7" t="str">
        <f>IF($AK116="","",IF($AK116=0,"",IF(INDEX(LookupData!S:S,$AK116)="","",INDEX(LookupData!S:S,$AK116))))</f>
        <v/>
      </c>
      <c r="T116" s="7" t="str">
        <f>IF($AK116="","",IF($AK116=0,"",IF(INDEX(LookupData!T:T,$AK116)="","",INDEX(LookupData!T:T,$AK116))))</f>
        <v/>
      </c>
      <c r="U116" s="7" t="str">
        <f>IF($AK116="","",IF($AK116=0,"",IF(INDEX(LookupData!U:U,$AK116)="","",INDEX(LookupData!U:U,$AK116))))</f>
        <v/>
      </c>
      <c r="V116" s="7" t="str">
        <f>IF($AK116="","",IF($AK116=0,"",IF(INDEX(LookupData!V:V,$AK116)="","",INDEX(LookupData!V:V,$AK116))))</f>
        <v/>
      </c>
      <c r="W116" t="str">
        <f>IF($AK116="","",IF($AK116=0,"",IF(INDEX(LookupData!W:W,$AK116)="","",INDEX(LookupData!W:W,$AK116))))</f>
        <v/>
      </c>
      <c r="X116" s="7" t="str">
        <f>IF($AK116="","",IF($AK116=0,"",IF(INDEX(LookupData!X:X,$AK116)="","",INDEX(LookupData!X:X,$AK116))))</f>
        <v/>
      </c>
      <c r="Y116" s="7" t="str">
        <f>IF($AK116="","",IF($AK116=0,"",IF(INDEX(LookupData!Y:Y,$AK116)="","",INDEX(LookupData!Y:Y,$AK116))))</f>
        <v/>
      </c>
      <c r="Z116" s="7" t="str">
        <f>IF($AK116="","",IF($AK116=0,"",IF(INDEX(LookupData!Z:Z,$AK116)="","",INDEX(LookupData!Z:Z,$AK116))))</f>
        <v/>
      </c>
      <c r="AA116" s="7" t="str">
        <f>IF($AK116="","",IF($AK116=0,"",IF(INDEX(LookupData!AA:AA,$AK116)="","",INDEX(LookupData!AA:AA,$AK116))))</f>
        <v/>
      </c>
      <c r="AB116" s="7" t="str">
        <f>IF($AK116="","",IF($AK116=0,"",IF(INDEX(LookupData!AB:AB,$AK116)="","",INDEX(LookupData!AB:AB,$AK116))))</f>
        <v/>
      </c>
      <c r="AC116" s="7" t="str">
        <f>IF($AK116="","",IF($AK116=0,"",IF(INDEX(LookupData!AC:AC,$AK116)="","",INDEX(LookupData!AC:AC,$AK116))))</f>
        <v/>
      </c>
      <c r="AD116" s="7" t="str">
        <f>IF($AK116="","",IF($AK116=0,"",IF(INDEX(LookupData!AD:AD,$AK116)="","",INDEX(LookupData!AD:AD,$AK116))))</f>
        <v/>
      </c>
      <c r="AE116" s="7" t="str">
        <f>IF($AK116="","",IF($AK116=0,"",IF(INDEX(LookupData!AE:AE,$AK116)="","",INDEX(LookupData!AE:AE,$AK116))))</f>
        <v/>
      </c>
      <c r="AF116" t="str">
        <f>IF($AK116="","",IF($AK116=0,"",IF(INDEX(LookupData!AF:AF,$AK116)="","",INDEX(LookupData!AF:AF,$AK116))))</f>
        <v/>
      </c>
      <c r="AG116" t="str">
        <f>IF($AK116="","",IF($AK116=0,"",IF(INDEX(LookupData!AG:AG,$AK116)="","",INDEX(LookupData!AG:AG,$AK116))))</f>
        <v/>
      </c>
      <c r="AH116" s="11" t="str">
        <f>IF($AK116="","",IF($AK116=0,"",IF(INDEX(LookupData!AH:AH,$AK116)="","",INDEX(LookupData!AH:AH,$AK116))))</f>
        <v/>
      </c>
      <c r="AI116" s="12" t="str">
        <f>IF($AK116="","",IF($AK116=0,"",IF(INDEX(LookupData!AI:AI,$AK116)="","",HYPERLINK(INDEX(LookupData!AI:AI,$AK116),"Open"))))</f>
        <v/>
      </c>
      <c r="AK116" t="str">
        <f>IF(AL116="","",IFERROR(MATCH(AL116,LookupData!$A:$A,0),0))</f>
        <v/>
      </c>
      <c r="AL116" t="str">
        <f t="shared" si="6"/>
        <v/>
      </c>
      <c r="AM116" t="str">
        <f t="shared" si="7"/>
        <v/>
      </c>
    </row>
    <row r="117" spans="1:39" x14ac:dyDescent="0.2">
      <c r="A117" s="9"/>
      <c r="B117" s="10" t="str">
        <f>IF($AK117="","",IF($AK117=0,"not in the database",IF(INDEX(LookupData!B:B,$AK117)="","",INDEX(LookupData!B:B,$AK117))))</f>
        <v/>
      </c>
      <c r="C117" t="str">
        <f>IF($AK117="","",IF($AK117=0,"",IF(INDEX(LookupData!C:C,$AK117)="","",INDEX(LookupData!C:C,$AK117))))</f>
        <v/>
      </c>
      <c r="D117" t="str">
        <f>IF($AK117="","",IF($AK117=0,"",IF(INDEX(LookupData!D:D,$AK117)="","",INDEX(LookupData!D:D,$AK117))))</f>
        <v/>
      </c>
      <c r="E117" t="str">
        <f>IF($AK117="","",IF($AK117=0,"",IF(INDEX(LookupData!E:E,$AK117)="","",INDEX(LookupData!E:E,$AK117))))</f>
        <v/>
      </c>
      <c r="F117" t="str">
        <f>IF($AK117="","",IF($AK117=0,"",IF(INDEX(LookupData!F:F,$AK117)="","",INDEX(LookupData!F:F,$AK117))))</f>
        <v/>
      </c>
      <c r="G117" t="str">
        <f>IF($AK117="","",IF($AK117=0,"",IF(INDEX(LookupData!G:G,$AK117)="","",INDEX(LookupData!G:G,$AK117))))</f>
        <v/>
      </c>
      <c r="H117" t="str">
        <f>IF($AK117="","",IF($AK117=0,"",IF(INDEX(LookupData!H:H,$AK117)="","",INDEX(LookupData!H:H,$AK117))))</f>
        <v/>
      </c>
      <c r="I117" s="7" t="str">
        <f>IF($AK117="","",IF($AK117=0,"",IF(INDEX(LookupData!I:I,$AK117)="","",INDEX(LookupData!I:I,$AK117))))</f>
        <v/>
      </c>
      <c r="J117" s="7" t="str">
        <f>IF($AK117="","",IF($AK117=0,"",IF(INDEX(LookupData!J:J,$AK117)="","",INDEX(LookupData!J:J,$AK117))))</f>
        <v/>
      </c>
      <c r="K117" s="7" t="str">
        <f>IF($AK117="","",IF($AK117=0,"",IF(INDEX(LookupData!K:K,$AK117)="","",INDEX(LookupData!K:K,$AK117))))</f>
        <v/>
      </c>
      <c r="L117" s="7" t="str">
        <f>IF($AK117="","",IF($AK117=0,"",IF(INDEX(LookupData!L:L,$AK117)="","",INDEX(LookupData!L:L,$AK117))))</f>
        <v/>
      </c>
      <c r="M117" s="7" t="str">
        <f>IF($AK117="","",IF($AK117=0,"",IF(INDEX(LookupData!M:M,$AK117)="","",INDEX(LookupData!M:M,$AK117))))</f>
        <v/>
      </c>
      <c r="N117" s="7" t="str">
        <f>IF($AK117="","",IF($AK117=0,"",IF(INDEX(LookupData!N:N,$AK117)="","",INDEX(LookupData!N:N,$AK117))))</f>
        <v/>
      </c>
      <c r="O117" s="7" t="str">
        <f>IF($AK117="","",IF($AK117=0,"",IF(INDEX(LookupData!O:O,$AK117)="","",INDEX(LookupData!O:O,$AK117))))</f>
        <v/>
      </c>
      <c r="P117" s="7" t="str">
        <f>IF($AK117="","",IF($AK117=0,"",IF(INDEX(LookupData!P:P,$AK117)="","",INDEX(LookupData!P:P,$AK117))))</f>
        <v/>
      </c>
      <c r="Q117" s="7" t="str">
        <f>IF($AK117="","",IF($AK117=0,"",IF(INDEX(LookupData!Q:Q,$AK117)="","",INDEX(LookupData!Q:Q,$AK117))))</f>
        <v/>
      </c>
      <c r="R117" s="7" t="str">
        <f>IF($AK117="","",IF($AK117=0,"",IF(INDEX(LookupData!R:R,$AK117)="","",INDEX(LookupData!R:R,$AK117))))</f>
        <v/>
      </c>
      <c r="S117" s="7" t="str">
        <f>IF($AK117="","",IF($AK117=0,"",IF(INDEX(LookupData!S:S,$AK117)="","",INDEX(LookupData!S:S,$AK117))))</f>
        <v/>
      </c>
      <c r="T117" s="7" t="str">
        <f>IF($AK117="","",IF($AK117=0,"",IF(INDEX(LookupData!T:T,$AK117)="","",INDEX(LookupData!T:T,$AK117))))</f>
        <v/>
      </c>
      <c r="U117" s="7" t="str">
        <f>IF($AK117="","",IF($AK117=0,"",IF(INDEX(LookupData!U:U,$AK117)="","",INDEX(LookupData!U:U,$AK117))))</f>
        <v/>
      </c>
      <c r="V117" s="7" t="str">
        <f>IF($AK117="","",IF($AK117=0,"",IF(INDEX(LookupData!V:V,$AK117)="","",INDEX(LookupData!V:V,$AK117))))</f>
        <v/>
      </c>
      <c r="W117" t="str">
        <f>IF($AK117="","",IF($AK117=0,"",IF(INDEX(LookupData!W:W,$AK117)="","",INDEX(LookupData!W:W,$AK117))))</f>
        <v/>
      </c>
      <c r="X117" s="7" t="str">
        <f>IF($AK117="","",IF($AK117=0,"",IF(INDEX(LookupData!X:X,$AK117)="","",INDEX(LookupData!X:X,$AK117))))</f>
        <v/>
      </c>
      <c r="Y117" s="7" t="str">
        <f>IF($AK117="","",IF($AK117=0,"",IF(INDEX(LookupData!Y:Y,$AK117)="","",INDEX(LookupData!Y:Y,$AK117))))</f>
        <v/>
      </c>
      <c r="Z117" s="7" t="str">
        <f>IF($AK117="","",IF($AK117=0,"",IF(INDEX(LookupData!Z:Z,$AK117)="","",INDEX(LookupData!Z:Z,$AK117))))</f>
        <v/>
      </c>
      <c r="AA117" s="7" t="str">
        <f>IF($AK117="","",IF($AK117=0,"",IF(INDEX(LookupData!AA:AA,$AK117)="","",INDEX(LookupData!AA:AA,$AK117))))</f>
        <v/>
      </c>
      <c r="AB117" s="7" t="str">
        <f>IF($AK117="","",IF($AK117=0,"",IF(INDEX(LookupData!AB:AB,$AK117)="","",INDEX(LookupData!AB:AB,$AK117))))</f>
        <v/>
      </c>
      <c r="AC117" s="7" t="str">
        <f>IF($AK117="","",IF($AK117=0,"",IF(INDEX(LookupData!AC:AC,$AK117)="","",INDEX(LookupData!AC:AC,$AK117))))</f>
        <v/>
      </c>
      <c r="AD117" s="7" t="str">
        <f>IF($AK117="","",IF($AK117=0,"",IF(INDEX(LookupData!AD:AD,$AK117)="","",INDEX(LookupData!AD:AD,$AK117))))</f>
        <v/>
      </c>
      <c r="AE117" s="7" t="str">
        <f>IF($AK117="","",IF($AK117=0,"",IF(INDEX(LookupData!AE:AE,$AK117)="","",INDEX(LookupData!AE:AE,$AK117))))</f>
        <v/>
      </c>
      <c r="AF117" t="str">
        <f>IF($AK117="","",IF($AK117=0,"",IF(INDEX(LookupData!AF:AF,$AK117)="","",INDEX(LookupData!AF:AF,$AK117))))</f>
        <v/>
      </c>
      <c r="AG117" t="str">
        <f>IF($AK117="","",IF($AK117=0,"",IF(INDEX(LookupData!AG:AG,$AK117)="","",INDEX(LookupData!AG:AG,$AK117))))</f>
        <v/>
      </c>
      <c r="AH117" s="11" t="str">
        <f>IF($AK117="","",IF($AK117=0,"",IF(INDEX(LookupData!AH:AH,$AK117)="","",INDEX(LookupData!AH:AH,$AK117))))</f>
        <v/>
      </c>
      <c r="AI117" s="12" t="str">
        <f>IF($AK117="","",IF($AK117=0,"",IF(INDEX(LookupData!AI:AI,$AK117)="","",HYPERLINK(INDEX(LookupData!AI:AI,$AK117),"Open"))))</f>
        <v/>
      </c>
      <c r="AK117" t="str">
        <f>IF(AL117="","",IFERROR(MATCH(AL117,LookupData!$A:$A,0),0))</f>
        <v/>
      </c>
      <c r="AL117" t="str">
        <f t="shared" si="6"/>
        <v/>
      </c>
      <c r="AM117" t="str">
        <f t="shared" si="7"/>
        <v/>
      </c>
    </row>
    <row r="118" spans="1:39" x14ac:dyDescent="0.2">
      <c r="A118" s="9"/>
      <c r="B118" s="10" t="str">
        <f>IF($AK118="","",IF($AK118=0,"not in the database",IF(INDEX(LookupData!B:B,$AK118)="","",INDEX(LookupData!B:B,$AK118))))</f>
        <v/>
      </c>
      <c r="C118" t="str">
        <f>IF($AK118="","",IF($AK118=0,"",IF(INDEX(LookupData!C:C,$AK118)="","",INDEX(LookupData!C:C,$AK118))))</f>
        <v/>
      </c>
      <c r="D118" t="str">
        <f>IF($AK118="","",IF($AK118=0,"",IF(INDEX(LookupData!D:D,$AK118)="","",INDEX(LookupData!D:D,$AK118))))</f>
        <v/>
      </c>
      <c r="E118" t="str">
        <f>IF($AK118="","",IF($AK118=0,"",IF(INDEX(LookupData!E:E,$AK118)="","",INDEX(LookupData!E:E,$AK118))))</f>
        <v/>
      </c>
      <c r="F118" t="str">
        <f>IF($AK118="","",IF($AK118=0,"",IF(INDEX(LookupData!F:F,$AK118)="","",INDEX(LookupData!F:F,$AK118))))</f>
        <v/>
      </c>
      <c r="G118" t="str">
        <f>IF($AK118="","",IF($AK118=0,"",IF(INDEX(LookupData!G:G,$AK118)="","",INDEX(LookupData!G:G,$AK118))))</f>
        <v/>
      </c>
      <c r="H118" t="str">
        <f>IF($AK118="","",IF($AK118=0,"",IF(INDEX(LookupData!H:H,$AK118)="","",INDEX(LookupData!H:H,$AK118))))</f>
        <v/>
      </c>
      <c r="I118" s="7" t="str">
        <f>IF($AK118="","",IF($AK118=0,"",IF(INDEX(LookupData!I:I,$AK118)="","",INDEX(LookupData!I:I,$AK118))))</f>
        <v/>
      </c>
      <c r="J118" s="7" t="str">
        <f>IF($AK118="","",IF($AK118=0,"",IF(INDEX(LookupData!J:J,$AK118)="","",INDEX(LookupData!J:J,$AK118))))</f>
        <v/>
      </c>
      <c r="K118" s="7" t="str">
        <f>IF($AK118="","",IF($AK118=0,"",IF(INDEX(LookupData!K:K,$AK118)="","",INDEX(LookupData!K:K,$AK118))))</f>
        <v/>
      </c>
      <c r="L118" s="7" t="str">
        <f>IF($AK118="","",IF($AK118=0,"",IF(INDEX(LookupData!L:L,$AK118)="","",INDEX(LookupData!L:L,$AK118))))</f>
        <v/>
      </c>
      <c r="M118" s="7" t="str">
        <f>IF($AK118="","",IF($AK118=0,"",IF(INDEX(LookupData!M:M,$AK118)="","",INDEX(LookupData!M:M,$AK118))))</f>
        <v/>
      </c>
      <c r="N118" s="7" t="str">
        <f>IF($AK118="","",IF($AK118=0,"",IF(INDEX(LookupData!N:N,$AK118)="","",INDEX(LookupData!N:N,$AK118))))</f>
        <v/>
      </c>
      <c r="O118" s="7" t="str">
        <f>IF($AK118="","",IF($AK118=0,"",IF(INDEX(LookupData!O:O,$AK118)="","",INDEX(LookupData!O:O,$AK118))))</f>
        <v/>
      </c>
      <c r="P118" s="7" t="str">
        <f>IF($AK118="","",IF($AK118=0,"",IF(INDEX(LookupData!P:P,$AK118)="","",INDEX(LookupData!P:P,$AK118))))</f>
        <v/>
      </c>
      <c r="Q118" s="7" t="str">
        <f>IF($AK118="","",IF($AK118=0,"",IF(INDEX(LookupData!Q:Q,$AK118)="","",INDEX(LookupData!Q:Q,$AK118))))</f>
        <v/>
      </c>
      <c r="R118" s="7" t="str">
        <f>IF($AK118="","",IF($AK118=0,"",IF(INDEX(LookupData!R:R,$AK118)="","",INDEX(LookupData!R:R,$AK118))))</f>
        <v/>
      </c>
      <c r="S118" s="7" t="str">
        <f>IF($AK118="","",IF($AK118=0,"",IF(INDEX(LookupData!S:S,$AK118)="","",INDEX(LookupData!S:S,$AK118))))</f>
        <v/>
      </c>
      <c r="T118" s="7" t="str">
        <f>IF($AK118="","",IF($AK118=0,"",IF(INDEX(LookupData!T:T,$AK118)="","",INDEX(LookupData!T:T,$AK118))))</f>
        <v/>
      </c>
      <c r="U118" s="7" t="str">
        <f>IF($AK118="","",IF($AK118=0,"",IF(INDEX(LookupData!U:U,$AK118)="","",INDEX(LookupData!U:U,$AK118))))</f>
        <v/>
      </c>
      <c r="V118" s="7" t="str">
        <f>IF($AK118="","",IF($AK118=0,"",IF(INDEX(LookupData!V:V,$AK118)="","",INDEX(LookupData!V:V,$AK118))))</f>
        <v/>
      </c>
      <c r="W118" t="str">
        <f>IF($AK118="","",IF($AK118=0,"",IF(INDEX(LookupData!W:W,$AK118)="","",INDEX(LookupData!W:W,$AK118))))</f>
        <v/>
      </c>
      <c r="X118" s="7" t="str">
        <f>IF($AK118="","",IF($AK118=0,"",IF(INDEX(LookupData!X:X,$AK118)="","",INDEX(LookupData!X:X,$AK118))))</f>
        <v/>
      </c>
      <c r="Y118" s="7" t="str">
        <f>IF($AK118="","",IF($AK118=0,"",IF(INDEX(LookupData!Y:Y,$AK118)="","",INDEX(LookupData!Y:Y,$AK118))))</f>
        <v/>
      </c>
      <c r="Z118" s="7" t="str">
        <f>IF($AK118="","",IF($AK118=0,"",IF(INDEX(LookupData!Z:Z,$AK118)="","",INDEX(LookupData!Z:Z,$AK118))))</f>
        <v/>
      </c>
      <c r="AA118" s="7" t="str">
        <f>IF($AK118="","",IF($AK118=0,"",IF(INDEX(LookupData!AA:AA,$AK118)="","",INDEX(LookupData!AA:AA,$AK118))))</f>
        <v/>
      </c>
      <c r="AB118" s="7" t="str">
        <f>IF($AK118="","",IF($AK118=0,"",IF(INDEX(LookupData!AB:AB,$AK118)="","",INDEX(LookupData!AB:AB,$AK118))))</f>
        <v/>
      </c>
      <c r="AC118" s="7" t="str">
        <f>IF($AK118="","",IF($AK118=0,"",IF(INDEX(LookupData!AC:AC,$AK118)="","",INDEX(LookupData!AC:AC,$AK118))))</f>
        <v/>
      </c>
      <c r="AD118" s="7" t="str">
        <f>IF($AK118="","",IF($AK118=0,"",IF(INDEX(LookupData!AD:AD,$AK118)="","",INDEX(LookupData!AD:AD,$AK118))))</f>
        <v/>
      </c>
      <c r="AE118" s="7" t="str">
        <f>IF($AK118="","",IF($AK118=0,"",IF(INDEX(LookupData!AE:AE,$AK118)="","",INDEX(LookupData!AE:AE,$AK118))))</f>
        <v/>
      </c>
      <c r="AF118" t="str">
        <f>IF($AK118="","",IF($AK118=0,"",IF(INDEX(LookupData!AF:AF,$AK118)="","",INDEX(LookupData!AF:AF,$AK118))))</f>
        <v/>
      </c>
      <c r="AG118" t="str">
        <f>IF($AK118="","",IF($AK118=0,"",IF(INDEX(LookupData!AG:AG,$AK118)="","",INDEX(LookupData!AG:AG,$AK118))))</f>
        <v/>
      </c>
      <c r="AH118" s="11" t="str">
        <f>IF($AK118="","",IF($AK118=0,"",IF(INDEX(LookupData!AH:AH,$AK118)="","",INDEX(LookupData!AH:AH,$AK118))))</f>
        <v/>
      </c>
      <c r="AI118" s="12" t="str">
        <f>IF($AK118="","",IF($AK118=0,"",IF(INDEX(LookupData!AI:AI,$AK118)="","",HYPERLINK(INDEX(LookupData!AI:AI,$AK118),"Open"))))</f>
        <v/>
      </c>
      <c r="AK118" t="str">
        <f>IF(AL118="","",IFERROR(MATCH(AL118,LookupData!$A:$A,0),0))</f>
        <v/>
      </c>
      <c r="AL118" t="str">
        <f t="shared" si="6"/>
        <v/>
      </c>
      <c r="AM118" t="str">
        <f t="shared" si="7"/>
        <v/>
      </c>
    </row>
    <row r="119" spans="1:39" x14ac:dyDescent="0.2">
      <c r="A119" s="9"/>
      <c r="B119" s="10" t="str">
        <f>IF($AK119="","",IF($AK119=0,"not in the database",IF(INDEX(LookupData!B:B,$AK119)="","",INDEX(LookupData!B:B,$AK119))))</f>
        <v/>
      </c>
      <c r="C119" t="str">
        <f>IF($AK119="","",IF($AK119=0,"",IF(INDEX(LookupData!C:C,$AK119)="","",INDEX(LookupData!C:C,$AK119))))</f>
        <v/>
      </c>
      <c r="D119" t="str">
        <f>IF($AK119="","",IF($AK119=0,"",IF(INDEX(LookupData!D:D,$AK119)="","",INDEX(LookupData!D:D,$AK119))))</f>
        <v/>
      </c>
      <c r="E119" t="str">
        <f>IF($AK119="","",IF($AK119=0,"",IF(INDEX(LookupData!E:E,$AK119)="","",INDEX(LookupData!E:E,$AK119))))</f>
        <v/>
      </c>
      <c r="F119" t="str">
        <f>IF($AK119="","",IF($AK119=0,"",IF(INDEX(LookupData!F:F,$AK119)="","",INDEX(LookupData!F:F,$AK119))))</f>
        <v/>
      </c>
      <c r="G119" t="str">
        <f>IF($AK119="","",IF($AK119=0,"",IF(INDEX(LookupData!G:G,$AK119)="","",INDEX(LookupData!G:G,$AK119))))</f>
        <v/>
      </c>
      <c r="H119" t="str">
        <f>IF($AK119="","",IF($AK119=0,"",IF(INDEX(LookupData!H:H,$AK119)="","",INDEX(LookupData!H:H,$AK119))))</f>
        <v/>
      </c>
      <c r="I119" s="7" t="str">
        <f>IF($AK119="","",IF($AK119=0,"",IF(INDEX(LookupData!I:I,$AK119)="","",INDEX(LookupData!I:I,$AK119))))</f>
        <v/>
      </c>
      <c r="J119" s="7" t="str">
        <f>IF($AK119="","",IF($AK119=0,"",IF(INDEX(LookupData!J:J,$AK119)="","",INDEX(LookupData!J:J,$AK119))))</f>
        <v/>
      </c>
      <c r="K119" s="7" t="str">
        <f>IF($AK119="","",IF($AK119=0,"",IF(INDEX(LookupData!K:K,$AK119)="","",INDEX(LookupData!K:K,$AK119))))</f>
        <v/>
      </c>
      <c r="L119" s="7" t="str">
        <f>IF($AK119="","",IF($AK119=0,"",IF(INDEX(LookupData!L:L,$AK119)="","",INDEX(LookupData!L:L,$AK119))))</f>
        <v/>
      </c>
      <c r="M119" s="7" t="str">
        <f>IF($AK119="","",IF($AK119=0,"",IF(INDEX(LookupData!M:M,$AK119)="","",INDEX(LookupData!M:M,$AK119))))</f>
        <v/>
      </c>
      <c r="N119" s="7" t="str">
        <f>IF($AK119="","",IF($AK119=0,"",IF(INDEX(LookupData!N:N,$AK119)="","",INDEX(LookupData!N:N,$AK119))))</f>
        <v/>
      </c>
      <c r="O119" s="7" t="str">
        <f>IF($AK119="","",IF($AK119=0,"",IF(INDEX(LookupData!O:O,$AK119)="","",INDEX(LookupData!O:O,$AK119))))</f>
        <v/>
      </c>
      <c r="P119" s="7" t="str">
        <f>IF($AK119="","",IF($AK119=0,"",IF(INDEX(LookupData!P:P,$AK119)="","",INDEX(LookupData!P:P,$AK119))))</f>
        <v/>
      </c>
      <c r="Q119" s="7" t="str">
        <f>IF($AK119="","",IF($AK119=0,"",IF(INDEX(LookupData!Q:Q,$AK119)="","",INDEX(LookupData!Q:Q,$AK119))))</f>
        <v/>
      </c>
      <c r="R119" s="7" t="str">
        <f>IF($AK119="","",IF($AK119=0,"",IF(INDEX(LookupData!R:R,$AK119)="","",INDEX(LookupData!R:R,$AK119))))</f>
        <v/>
      </c>
      <c r="S119" s="7" t="str">
        <f>IF($AK119="","",IF($AK119=0,"",IF(INDEX(LookupData!S:S,$AK119)="","",INDEX(LookupData!S:S,$AK119))))</f>
        <v/>
      </c>
      <c r="T119" s="7" t="str">
        <f>IF($AK119="","",IF($AK119=0,"",IF(INDEX(LookupData!T:T,$AK119)="","",INDEX(LookupData!T:T,$AK119))))</f>
        <v/>
      </c>
      <c r="U119" s="7" t="str">
        <f>IF($AK119="","",IF($AK119=0,"",IF(INDEX(LookupData!U:U,$AK119)="","",INDEX(LookupData!U:U,$AK119))))</f>
        <v/>
      </c>
      <c r="V119" s="7" t="str">
        <f>IF($AK119="","",IF($AK119=0,"",IF(INDEX(LookupData!V:V,$AK119)="","",INDEX(LookupData!V:V,$AK119))))</f>
        <v/>
      </c>
      <c r="W119" t="str">
        <f>IF($AK119="","",IF($AK119=0,"",IF(INDEX(LookupData!W:W,$AK119)="","",INDEX(LookupData!W:W,$AK119))))</f>
        <v/>
      </c>
      <c r="X119" s="7" t="str">
        <f>IF($AK119="","",IF($AK119=0,"",IF(INDEX(LookupData!X:X,$AK119)="","",INDEX(LookupData!X:X,$AK119))))</f>
        <v/>
      </c>
      <c r="Y119" s="7" t="str">
        <f>IF($AK119="","",IF($AK119=0,"",IF(INDEX(LookupData!Y:Y,$AK119)="","",INDEX(LookupData!Y:Y,$AK119))))</f>
        <v/>
      </c>
      <c r="Z119" s="7" t="str">
        <f>IF($AK119="","",IF($AK119=0,"",IF(INDEX(LookupData!Z:Z,$AK119)="","",INDEX(LookupData!Z:Z,$AK119))))</f>
        <v/>
      </c>
      <c r="AA119" s="7" t="str">
        <f>IF($AK119="","",IF($AK119=0,"",IF(INDEX(LookupData!AA:AA,$AK119)="","",INDEX(LookupData!AA:AA,$AK119))))</f>
        <v/>
      </c>
      <c r="AB119" s="7" t="str">
        <f>IF($AK119="","",IF($AK119=0,"",IF(INDEX(LookupData!AB:AB,$AK119)="","",INDEX(LookupData!AB:AB,$AK119))))</f>
        <v/>
      </c>
      <c r="AC119" s="7" t="str">
        <f>IF($AK119="","",IF($AK119=0,"",IF(INDEX(LookupData!AC:AC,$AK119)="","",INDEX(LookupData!AC:AC,$AK119))))</f>
        <v/>
      </c>
      <c r="AD119" s="7" t="str">
        <f>IF($AK119="","",IF($AK119=0,"",IF(INDEX(LookupData!AD:AD,$AK119)="","",INDEX(LookupData!AD:AD,$AK119))))</f>
        <v/>
      </c>
      <c r="AE119" s="7" t="str">
        <f>IF($AK119="","",IF($AK119=0,"",IF(INDEX(LookupData!AE:AE,$AK119)="","",INDEX(LookupData!AE:AE,$AK119))))</f>
        <v/>
      </c>
      <c r="AF119" t="str">
        <f>IF($AK119="","",IF($AK119=0,"",IF(INDEX(LookupData!AF:AF,$AK119)="","",INDEX(LookupData!AF:AF,$AK119))))</f>
        <v/>
      </c>
      <c r="AG119" t="str">
        <f>IF($AK119="","",IF($AK119=0,"",IF(INDEX(LookupData!AG:AG,$AK119)="","",INDEX(LookupData!AG:AG,$AK119))))</f>
        <v/>
      </c>
      <c r="AH119" s="11" t="str">
        <f>IF($AK119="","",IF($AK119=0,"",IF(INDEX(LookupData!AH:AH,$AK119)="","",INDEX(LookupData!AH:AH,$AK119))))</f>
        <v/>
      </c>
      <c r="AI119" s="12" t="str">
        <f>IF($AK119="","",IF($AK119=0,"",IF(INDEX(LookupData!AI:AI,$AK119)="","",HYPERLINK(INDEX(LookupData!AI:AI,$AK119),"Open"))))</f>
        <v/>
      </c>
      <c r="AK119" t="str">
        <f>IF(AL119="","",IFERROR(MATCH(AL119,LookupData!$A:$A,0),0))</f>
        <v/>
      </c>
      <c r="AL119" t="str">
        <f t="shared" si="6"/>
        <v/>
      </c>
      <c r="AM119" t="str">
        <f t="shared" si="7"/>
        <v/>
      </c>
    </row>
    <row r="120" spans="1:39" x14ac:dyDescent="0.2">
      <c r="A120" s="9"/>
      <c r="B120" s="10" t="str">
        <f>IF($AK120="","",IF($AK120=0,"not in the database",IF(INDEX(LookupData!B:B,$AK120)="","",INDEX(LookupData!B:B,$AK120))))</f>
        <v/>
      </c>
      <c r="C120" t="str">
        <f>IF($AK120="","",IF($AK120=0,"",IF(INDEX(LookupData!C:C,$AK120)="","",INDEX(LookupData!C:C,$AK120))))</f>
        <v/>
      </c>
      <c r="D120" t="str">
        <f>IF($AK120="","",IF($AK120=0,"",IF(INDEX(LookupData!D:D,$AK120)="","",INDEX(LookupData!D:D,$AK120))))</f>
        <v/>
      </c>
      <c r="E120" t="str">
        <f>IF($AK120="","",IF($AK120=0,"",IF(INDEX(LookupData!E:E,$AK120)="","",INDEX(LookupData!E:E,$AK120))))</f>
        <v/>
      </c>
      <c r="F120" t="str">
        <f>IF($AK120="","",IF($AK120=0,"",IF(INDEX(LookupData!F:F,$AK120)="","",INDEX(LookupData!F:F,$AK120))))</f>
        <v/>
      </c>
      <c r="G120" t="str">
        <f>IF($AK120="","",IF($AK120=0,"",IF(INDEX(LookupData!G:G,$AK120)="","",INDEX(LookupData!G:G,$AK120))))</f>
        <v/>
      </c>
      <c r="H120" t="str">
        <f>IF($AK120="","",IF($AK120=0,"",IF(INDEX(LookupData!H:H,$AK120)="","",INDEX(LookupData!H:H,$AK120))))</f>
        <v/>
      </c>
      <c r="I120" s="7" t="str">
        <f>IF($AK120="","",IF($AK120=0,"",IF(INDEX(LookupData!I:I,$AK120)="","",INDEX(LookupData!I:I,$AK120))))</f>
        <v/>
      </c>
      <c r="J120" s="7" t="str">
        <f>IF($AK120="","",IF($AK120=0,"",IF(INDEX(LookupData!J:J,$AK120)="","",INDEX(LookupData!J:J,$AK120))))</f>
        <v/>
      </c>
      <c r="K120" s="7" t="str">
        <f>IF($AK120="","",IF($AK120=0,"",IF(INDEX(LookupData!K:K,$AK120)="","",INDEX(LookupData!K:K,$AK120))))</f>
        <v/>
      </c>
      <c r="L120" s="7" t="str">
        <f>IF($AK120="","",IF($AK120=0,"",IF(INDEX(LookupData!L:L,$AK120)="","",INDEX(LookupData!L:L,$AK120))))</f>
        <v/>
      </c>
      <c r="M120" s="7" t="str">
        <f>IF($AK120="","",IF($AK120=0,"",IF(INDEX(LookupData!M:M,$AK120)="","",INDEX(LookupData!M:M,$AK120))))</f>
        <v/>
      </c>
      <c r="N120" s="7" t="str">
        <f>IF($AK120="","",IF($AK120=0,"",IF(INDEX(LookupData!N:N,$AK120)="","",INDEX(LookupData!N:N,$AK120))))</f>
        <v/>
      </c>
      <c r="O120" s="7" t="str">
        <f>IF($AK120="","",IF($AK120=0,"",IF(INDEX(LookupData!O:O,$AK120)="","",INDEX(LookupData!O:O,$AK120))))</f>
        <v/>
      </c>
      <c r="P120" s="7" t="str">
        <f>IF($AK120="","",IF($AK120=0,"",IF(INDEX(LookupData!P:P,$AK120)="","",INDEX(LookupData!P:P,$AK120))))</f>
        <v/>
      </c>
      <c r="Q120" s="7" t="str">
        <f>IF($AK120="","",IF($AK120=0,"",IF(INDEX(LookupData!Q:Q,$AK120)="","",INDEX(LookupData!Q:Q,$AK120))))</f>
        <v/>
      </c>
      <c r="R120" s="7" t="str">
        <f>IF($AK120="","",IF($AK120=0,"",IF(INDEX(LookupData!R:R,$AK120)="","",INDEX(LookupData!R:R,$AK120))))</f>
        <v/>
      </c>
      <c r="S120" s="7" t="str">
        <f>IF($AK120="","",IF($AK120=0,"",IF(INDEX(LookupData!S:S,$AK120)="","",INDEX(LookupData!S:S,$AK120))))</f>
        <v/>
      </c>
      <c r="T120" s="7" t="str">
        <f>IF($AK120="","",IF($AK120=0,"",IF(INDEX(LookupData!T:T,$AK120)="","",INDEX(LookupData!T:T,$AK120))))</f>
        <v/>
      </c>
      <c r="U120" s="7" t="str">
        <f>IF($AK120="","",IF($AK120=0,"",IF(INDEX(LookupData!U:U,$AK120)="","",INDEX(LookupData!U:U,$AK120))))</f>
        <v/>
      </c>
      <c r="V120" s="7" t="str">
        <f>IF($AK120="","",IF($AK120=0,"",IF(INDEX(LookupData!V:V,$AK120)="","",INDEX(LookupData!V:V,$AK120))))</f>
        <v/>
      </c>
      <c r="W120" t="str">
        <f>IF($AK120="","",IF($AK120=0,"",IF(INDEX(LookupData!W:W,$AK120)="","",INDEX(LookupData!W:W,$AK120))))</f>
        <v/>
      </c>
      <c r="X120" s="7" t="str">
        <f>IF($AK120="","",IF($AK120=0,"",IF(INDEX(LookupData!X:X,$AK120)="","",INDEX(LookupData!X:X,$AK120))))</f>
        <v/>
      </c>
      <c r="Y120" s="7" t="str">
        <f>IF($AK120="","",IF($AK120=0,"",IF(INDEX(LookupData!Y:Y,$AK120)="","",INDEX(LookupData!Y:Y,$AK120))))</f>
        <v/>
      </c>
      <c r="Z120" s="7" t="str">
        <f>IF($AK120="","",IF($AK120=0,"",IF(INDEX(LookupData!Z:Z,$AK120)="","",INDEX(LookupData!Z:Z,$AK120))))</f>
        <v/>
      </c>
      <c r="AA120" s="7" t="str">
        <f>IF($AK120="","",IF($AK120=0,"",IF(INDEX(LookupData!AA:AA,$AK120)="","",INDEX(LookupData!AA:AA,$AK120))))</f>
        <v/>
      </c>
      <c r="AB120" s="7" t="str">
        <f>IF($AK120="","",IF($AK120=0,"",IF(INDEX(LookupData!AB:AB,$AK120)="","",INDEX(LookupData!AB:AB,$AK120))))</f>
        <v/>
      </c>
      <c r="AC120" s="7" t="str">
        <f>IF($AK120="","",IF($AK120=0,"",IF(INDEX(LookupData!AC:AC,$AK120)="","",INDEX(LookupData!AC:AC,$AK120))))</f>
        <v/>
      </c>
      <c r="AD120" s="7" t="str">
        <f>IF($AK120="","",IF($AK120=0,"",IF(INDEX(LookupData!AD:AD,$AK120)="","",INDEX(LookupData!AD:AD,$AK120))))</f>
        <v/>
      </c>
      <c r="AE120" s="7" t="str">
        <f>IF($AK120="","",IF($AK120=0,"",IF(INDEX(LookupData!AE:AE,$AK120)="","",INDEX(LookupData!AE:AE,$AK120))))</f>
        <v/>
      </c>
      <c r="AF120" t="str">
        <f>IF($AK120="","",IF($AK120=0,"",IF(INDEX(LookupData!AF:AF,$AK120)="","",INDEX(LookupData!AF:AF,$AK120))))</f>
        <v/>
      </c>
      <c r="AG120" t="str">
        <f>IF($AK120="","",IF($AK120=0,"",IF(INDEX(LookupData!AG:AG,$AK120)="","",INDEX(LookupData!AG:AG,$AK120))))</f>
        <v/>
      </c>
      <c r="AH120" s="11" t="str">
        <f>IF($AK120="","",IF($AK120=0,"",IF(INDEX(LookupData!AH:AH,$AK120)="","",INDEX(LookupData!AH:AH,$AK120))))</f>
        <v/>
      </c>
      <c r="AI120" s="12" t="str">
        <f>IF($AK120="","",IF($AK120=0,"",IF(INDEX(LookupData!AI:AI,$AK120)="","",HYPERLINK(INDEX(LookupData!AI:AI,$AK120),"Open"))))</f>
        <v/>
      </c>
      <c r="AK120" t="str">
        <f>IF(AL120="","",IFERROR(MATCH(AL120,LookupData!$A:$A,0),0))</f>
        <v/>
      </c>
      <c r="AL120" t="str">
        <f t="shared" si="6"/>
        <v/>
      </c>
      <c r="AM120" t="str">
        <f t="shared" si="7"/>
        <v/>
      </c>
    </row>
    <row r="121" spans="1:39" x14ac:dyDescent="0.2">
      <c r="A121" s="9"/>
      <c r="B121" s="10" t="str">
        <f>IF($AK121="","",IF($AK121=0,"not in the database",IF(INDEX(LookupData!B:B,$AK121)="","",INDEX(LookupData!B:B,$AK121))))</f>
        <v/>
      </c>
      <c r="C121" t="str">
        <f>IF($AK121="","",IF($AK121=0,"",IF(INDEX(LookupData!C:C,$AK121)="","",INDEX(LookupData!C:C,$AK121))))</f>
        <v/>
      </c>
      <c r="D121" t="str">
        <f>IF($AK121="","",IF($AK121=0,"",IF(INDEX(LookupData!D:D,$AK121)="","",INDEX(LookupData!D:D,$AK121))))</f>
        <v/>
      </c>
      <c r="E121" t="str">
        <f>IF($AK121="","",IF($AK121=0,"",IF(INDEX(LookupData!E:E,$AK121)="","",INDEX(LookupData!E:E,$AK121))))</f>
        <v/>
      </c>
      <c r="F121" t="str">
        <f>IF($AK121="","",IF($AK121=0,"",IF(INDEX(LookupData!F:F,$AK121)="","",INDEX(LookupData!F:F,$AK121))))</f>
        <v/>
      </c>
      <c r="G121" t="str">
        <f>IF($AK121="","",IF($AK121=0,"",IF(INDEX(LookupData!G:G,$AK121)="","",INDEX(LookupData!G:G,$AK121))))</f>
        <v/>
      </c>
      <c r="H121" t="str">
        <f>IF($AK121="","",IF($AK121=0,"",IF(INDEX(LookupData!H:H,$AK121)="","",INDEX(LookupData!H:H,$AK121))))</f>
        <v/>
      </c>
      <c r="I121" s="7" t="str">
        <f>IF($AK121="","",IF($AK121=0,"",IF(INDEX(LookupData!I:I,$AK121)="","",INDEX(LookupData!I:I,$AK121))))</f>
        <v/>
      </c>
      <c r="J121" s="7" t="str">
        <f>IF($AK121="","",IF($AK121=0,"",IF(INDEX(LookupData!J:J,$AK121)="","",INDEX(LookupData!J:J,$AK121))))</f>
        <v/>
      </c>
      <c r="K121" s="7" t="str">
        <f>IF($AK121="","",IF($AK121=0,"",IF(INDEX(LookupData!K:K,$AK121)="","",INDEX(LookupData!K:K,$AK121))))</f>
        <v/>
      </c>
      <c r="L121" s="7" t="str">
        <f>IF($AK121="","",IF($AK121=0,"",IF(INDEX(LookupData!L:L,$AK121)="","",INDEX(LookupData!L:L,$AK121))))</f>
        <v/>
      </c>
      <c r="M121" s="7" t="str">
        <f>IF($AK121="","",IF($AK121=0,"",IF(INDEX(LookupData!M:M,$AK121)="","",INDEX(LookupData!M:M,$AK121))))</f>
        <v/>
      </c>
      <c r="N121" s="7" t="str">
        <f>IF($AK121="","",IF($AK121=0,"",IF(INDEX(LookupData!N:N,$AK121)="","",INDEX(LookupData!N:N,$AK121))))</f>
        <v/>
      </c>
      <c r="O121" s="7" t="str">
        <f>IF($AK121="","",IF($AK121=0,"",IF(INDEX(LookupData!O:O,$AK121)="","",INDEX(LookupData!O:O,$AK121))))</f>
        <v/>
      </c>
      <c r="P121" s="7" t="str">
        <f>IF($AK121="","",IF($AK121=0,"",IF(INDEX(LookupData!P:P,$AK121)="","",INDEX(LookupData!P:P,$AK121))))</f>
        <v/>
      </c>
      <c r="Q121" s="7" t="str">
        <f>IF($AK121="","",IF($AK121=0,"",IF(INDEX(LookupData!Q:Q,$AK121)="","",INDEX(LookupData!Q:Q,$AK121))))</f>
        <v/>
      </c>
      <c r="R121" s="7" t="str">
        <f>IF($AK121="","",IF($AK121=0,"",IF(INDEX(LookupData!R:R,$AK121)="","",INDEX(LookupData!R:R,$AK121))))</f>
        <v/>
      </c>
      <c r="S121" s="7" t="str">
        <f>IF($AK121="","",IF($AK121=0,"",IF(INDEX(LookupData!S:S,$AK121)="","",INDEX(LookupData!S:S,$AK121))))</f>
        <v/>
      </c>
      <c r="T121" s="7" t="str">
        <f>IF($AK121="","",IF($AK121=0,"",IF(INDEX(LookupData!T:T,$AK121)="","",INDEX(LookupData!T:T,$AK121))))</f>
        <v/>
      </c>
      <c r="U121" s="7" t="str">
        <f>IF($AK121="","",IF($AK121=0,"",IF(INDEX(LookupData!U:U,$AK121)="","",INDEX(LookupData!U:U,$AK121))))</f>
        <v/>
      </c>
      <c r="V121" s="7" t="str">
        <f>IF($AK121="","",IF($AK121=0,"",IF(INDEX(LookupData!V:V,$AK121)="","",INDEX(LookupData!V:V,$AK121))))</f>
        <v/>
      </c>
      <c r="W121" t="str">
        <f>IF($AK121="","",IF($AK121=0,"",IF(INDEX(LookupData!W:W,$AK121)="","",INDEX(LookupData!W:W,$AK121))))</f>
        <v/>
      </c>
      <c r="X121" s="7" t="str">
        <f>IF($AK121="","",IF($AK121=0,"",IF(INDEX(LookupData!X:X,$AK121)="","",INDEX(LookupData!X:X,$AK121))))</f>
        <v/>
      </c>
      <c r="Y121" s="7" t="str">
        <f>IF($AK121="","",IF($AK121=0,"",IF(INDEX(LookupData!Y:Y,$AK121)="","",INDEX(LookupData!Y:Y,$AK121))))</f>
        <v/>
      </c>
      <c r="Z121" s="7" t="str">
        <f>IF($AK121="","",IF($AK121=0,"",IF(INDEX(LookupData!Z:Z,$AK121)="","",INDEX(LookupData!Z:Z,$AK121))))</f>
        <v/>
      </c>
      <c r="AA121" s="7" t="str">
        <f>IF($AK121="","",IF($AK121=0,"",IF(INDEX(LookupData!AA:AA,$AK121)="","",INDEX(LookupData!AA:AA,$AK121))))</f>
        <v/>
      </c>
      <c r="AB121" s="7" t="str">
        <f>IF($AK121="","",IF($AK121=0,"",IF(INDEX(LookupData!AB:AB,$AK121)="","",INDEX(LookupData!AB:AB,$AK121))))</f>
        <v/>
      </c>
      <c r="AC121" s="7" t="str">
        <f>IF($AK121="","",IF($AK121=0,"",IF(INDEX(LookupData!AC:AC,$AK121)="","",INDEX(LookupData!AC:AC,$AK121))))</f>
        <v/>
      </c>
      <c r="AD121" s="7" t="str">
        <f>IF($AK121="","",IF($AK121=0,"",IF(INDEX(LookupData!AD:AD,$AK121)="","",INDEX(LookupData!AD:AD,$AK121))))</f>
        <v/>
      </c>
      <c r="AE121" s="7" t="str">
        <f>IF($AK121="","",IF($AK121=0,"",IF(INDEX(LookupData!AE:AE,$AK121)="","",INDEX(LookupData!AE:AE,$AK121))))</f>
        <v/>
      </c>
      <c r="AF121" t="str">
        <f>IF($AK121="","",IF($AK121=0,"",IF(INDEX(LookupData!AF:AF,$AK121)="","",INDEX(LookupData!AF:AF,$AK121))))</f>
        <v/>
      </c>
      <c r="AG121" t="str">
        <f>IF($AK121="","",IF($AK121=0,"",IF(INDEX(LookupData!AG:AG,$AK121)="","",INDEX(LookupData!AG:AG,$AK121))))</f>
        <v/>
      </c>
      <c r="AH121" s="11" t="str">
        <f>IF($AK121="","",IF($AK121=0,"",IF(INDEX(LookupData!AH:AH,$AK121)="","",INDEX(LookupData!AH:AH,$AK121))))</f>
        <v/>
      </c>
      <c r="AI121" s="12" t="str">
        <f>IF($AK121="","",IF($AK121=0,"",IF(INDEX(LookupData!AI:AI,$AK121)="","",HYPERLINK(INDEX(LookupData!AI:AI,$AK121),"Open"))))</f>
        <v/>
      </c>
      <c r="AK121" t="str">
        <f>IF(AL121="","",IFERROR(MATCH(AL121,LookupData!$A:$A,0),0))</f>
        <v/>
      </c>
      <c r="AL121" t="str">
        <f t="shared" si="6"/>
        <v/>
      </c>
      <c r="AM121" t="str">
        <f t="shared" si="7"/>
        <v/>
      </c>
    </row>
    <row r="122" spans="1:39" x14ac:dyDescent="0.2">
      <c r="A122" s="9"/>
      <c r="B122" s="10" t="str">
        <f>IF($AK122="","",IF($AK122=0,"not in the database",IF(INDEX(LookupData!B:B,$AK122)="","",INDEX(LookupData!B:B,$AK122))))</f>
        <v/>
      </c>
      <c r="C122" t="str">
        <f>IF($AK122="","",IF($AK122=0,"",IF(INDEX(LookupData!C:C,$AK122)="","",INDEX(LookupData!C:C,$AK122))))</f>
        <v/>
      </c>
      <c r="D122" t="str">
        <f>IF($AK122="","",IF($AK122=0,"",IF(INDEX(LookupData!D:D,$AK122)="","",INDEX(LookupData!D:D,$AK122))))</f>
        <v/>
      </c>
      <c r="E122" t="str">
        <f>IF($AK122="","",IF($AK122=0,"",IF(INDEX(LookupData!E:E,$AK122)="","",INDEX(LookupData!E:E,$AK122))))</f>
        <v/>
      </c>
      <c r="F122" t="str">
        <f>IF($AK122="","",IF($AK122=0,"",IF(INDEX(LookupData!F:F,$AK122)="","",INDEX(LookupData!F:F,$AK122))))</f>
        <v/>
      </c>
      <c r="G122" t="str">
        <f>IF($AK122="","",IF($AK122=0,"",IF(INDEX(LookupData!G:G,$AK122)="","",INDEX(LookupData!G:G,$AK122))))</f>
        <v/>
      </c>
      <c r="H122" t="str">
        <f>IF($AK122="","",IF($AK122=0,"",IF(INDEX(LookupData!H:H,$AK122)="","",INDEX(LookupData!H:H,$AK122))))</f>
        <v/>
      </c>
      <c r="I122" s="7" t="str">
        <f>IF($AK122="","",IF($AK122=0,"",IF(INDEX(LookupData!I:I,$AK122)="","",INDEX(LookupData!I:I,$AK122))))</f>
        <v/>
      </c>
      <c r="J122" s="7" t="str">
        <f>IF($AK122="","",IF($AK122=0,"",IF(INDEX(LookupData!J:J,$AK122)="","",INDEX(LookupData!J:J,$AK122))))</f>
        <v/>
      </c>
      <c r="K122" s="7" t="str">
        <f>IF($AK122="","",IF($AK122=0,"",IF(INDEX(LookupData!K:K,$AK122)="","",INDEX(LookupData!K:K,$AK122))))</f>
        <v/>
      </c>
      <c r="L122" s="7" t="str">
        <f>IF($AK122="","",IF($AK122=0,"",IF(INDEX(LookupData!L:L,$AK122)="","",INDEX(LookupData!L:L,$AK122))))</f>
        <v/>
      </c>
      <c r="M122" s="7" t="str">
        <f>IF($AK122="","",IF($AK122=0,"",IF(INDEX(LookupData!M:M,$AK122)="","",INDEX(LookupData!M:M,$AK122))))</f>
        <v/>
      </c>
      <c r="N122" s="7" t="str">
        <f>IF($AK122="","",IF($AK122=0,"",IF(INDEX(LookupData!N:N,$AK122)="","",INDEX(LookupData!N:N,$AK122))))</f>
        <v/>
      </c>
      <c r="O122" s="7" t="str">
        <f>IF($AK122="","",IF($AK122=0,"",IF(INDEX(LookupData!O:O,$AK122)="","",INDEX(LookupData!O:O,$AK122))))</f>
        <v/>
      </c>
      <c r="P122" s="7" t="str">
        <f>IF($AK122="","",IF($AK122=0,"",IF(INDEX(LookupData!P:P,$AK122)="","",INDEX(LookupData!P:P,$AK122))))</f>
        <v/>
      </c>
      <c r="Q122" s="7" t="str">
        <f>IF($AK122="","",IF($AK122=0,"",IF(INDEX(LookupData!Q:Q,$AK122)="","",INDEX(LookupData!Q:Q,$AK122))))</f>
        <v/>
      </c>
      <c r="R122" s="7" t="str">
        <f>IF($AK122="","",IF($AK122=0,"",IF(INDEX(LookupData!R:R,$AK122)="","",INDEX(LookupData!R:R,$AK122))))</f>
        <v/>
      </c>
      <c r="S122" s="7" t="str">
        <f>IF($AK122="","",IF($AK122=0,"",IF(INDEX(LookupData!S:S,$AK122)="","",INDEX(LookupData!S:S,$AK122))))</f>
        <v/>
      </c>
      <c r="T122" s="7" t="str">
        <f>IF($AK122="","",IF($AK122=0,"",IF(INDEX(LookupData!T:T,$AK122)="","",INDEX(LookupData!T:T,$AK122))))</f>
        <v/>
      </c>
      <c r="U122" s="7" t="str">
        <f>IF($AK122="","",IF($AK122=0,"",IF(INDEX(LookupData!U:U,$AK122)="","",INDEX(LookupData!U:U,$AK122))))</f>
        <v/>
      </c>
      <c r="V122" s="7" t="str">
        <f>IF($AK122="","",IF($AK122=0,"",IF(INDEX(LookupData!V:V,$AK122)="","",INDEX(LookupData!V:V,$AK122))))</f>
        <v/>
      </c>
      <c r="W122" t="str">
        <f>IF($AK122="","",IF($AK122=0,"",IF(INDEX(LookupData!W:W,$AK122)="","",INDEX(LookupData!W:W,$AK122))))</f>
        <v/>
      </c>
      <c r="X122" s="7" t="str">
        <f>IF($AK122="","",IF($AK122=0,"",IF(INDEX(LookupData!X:X,$AK122)="","",INDEX(LookupData!X:X,$AK122))))</f>
        <v/>
      </c>
      <c r="Y122" s="7" t="str">
        <f>IF($AK122="","",IF($AK122=0,"",IF(INDEX(LookupData!Y:Y,$AK122)="","",INDEX(LookupData!Y:Y,$AK122))))</f>
        <v/>
      </c>
      <c r="Z122" s="7" t="str">
        <f>IF($AK122="","",IF($AK122=0,"",IF(INDEX(LookupData!Z:Z,$AK122)="","",INDEX(LookupData!Z:Z,$AK122))))</f>
        <v/>
      </c>
      <c r="AA122" s="7" t="str">
        <f>IF($AK122="","",IF($AK122=0,"",IF(INDEX(LookupData!AA:AA,$AK122)="","",INDEX(LookupData!AA:AA,$AK122))))</f>
        <v/>
      </c>
      <c r="AB122" s="7" t="str">
        <f>IF($AK122="","",IF($AK122=0,"",IF(INDEX(LookupData!AB:AB,$AK122)="","",INDEX(LookupData!AB:AB,$AK122))))</f>
        <v/>
      </c>
      <c r="AC122" s="7" t="str">
        <f>IF($AK122="","",IF($AK122=0,"",IF(INDEX(LookupData!AC:AC,$AK122)="","",INDEX(LookupData!AC:AC,$AK122))))</f>
        <v/>
      </c>
      <c r="AD122" s="7" t="str">
        <f>IF($AK122="","",IF($AK122=0,"",IF(INDEX(LookupData!AD:AD,$AK122)="","",INDEX(LookupData!AD:AD,$AK122))))</f>
        <v/>
      </c>
      <c r="AE122" s="7" t="str">
        <f>IF($AK122="","",IF($AK122=0,"",IF(INDEX(LookupData!AE:AE,$AK122)="","",INDEX(LookupData!AE:AE,$AK122))))</f>
        <v/>
      </c>
      <c r="AF122" t="str">
        <f>IF($AK122="","",IF($AK122=0,"",IF(INDEX(LookupData!AF:AF,$AK122)="","",INDEX(LookupData!AF:AF,$AK122))))</f>
        <v/>
      </c>
      <c r="AG122" t="str">
        <f>IF($AK122="","",IF($AK122=0,"",IF(INDEX(LookupData!AG:AG,$AK122)="","",INDEX(LookupData!AG:AG,$AK122))))</f>
        <v/>
      </c>
      <c r="AH122" s="11" t="str">
        <f>IF($AK122="","",IF($AK122=0,"",IF(INDEX(LookupData!AH:AH,$AK122)="","",INDEX(LookupData!AH:AH,$AK122))))</f>
        <v/>
      </c>
      <c r="AI122" s="12" t="str">
        <f>IF($AK122="","",IF($AK122=0,"",IF(INDEX(LookupData!AI:AI,$AK122)="","",HYPERLINK(INDEX(LookupData!AI:AI,$AK122),"Open"))))</f>
        <v/>
      </c>
      <c r="AK122" t="str">
        <f>IF(AL122="","",IFERROR(MATCH(AL122,LookupData!$A:$A,0),0))</f>
        <v/>
      </c>
      <c r="AL122" t="str">
        <f t="shared" si="6"/>
        <v/>
      </c>
      <c r="AM122" t="str">
        <f t="shared" si="7"/>
        <v/>
      </c>
    </row>
    <row r="123" spans="1:39" x14ac:dyDescent="0.2">
      <c r="A123" s="9"/>
      <c r="B123" s="10" t="str">
        <f>IF($AK123="","",IF($AK123=0,"not in the database",IF(INDEX(LookupData!B:B,$AK123)="","",INDEX(LookupData!B:B,$AK123))))</f>
        <v/>
      </c>
      <c r="C123" t="str">
        <f>IF($AK123="","",IF($AK123=0,"",IF(INDEX(LookupData!C:C,$AK123)="","",INDEX(LookupData!C:C,$AK123))))</f>
        <v/>
      </c>
      <c r="D123" t="str">
        <f>IF($AK123="","",IF($AK123=0,"",IF(INDEX(LookupData!D:D,$AK123)="","",INDEX(LookupData!D:D,$AK123))))</f>
        <v/>
      </c>
      <c r="E123" t="str">
        <f>IF($AK123="","",IF($AK123=0,"",IF(INDEX(LookupData!E:E,$AK123)="","",INDEX(LookupData!E:E,$AK123))))</f>
        <v/>
      </c>
      <c r="F123" t="str">
        <f>IF($AK123="","",IF($AK123=0,"",IF(INDEX(LookupData!F:F,$AK123)="","",INDEX(LookupData!F:F,$AK123))))</f>
        <v/>
      </c>
      <c r="G123" t="str">
        <f>IF($AK123="","",IF($AK123=0,"",IF(INDEX(LookupData!G:G,$AK123)="","",INDEX(LookupData!G:G,$AK123))))</f>
        <v/>
      </c>
      <c r="H123" t="str">
        <f>IF($AK123="","",IF($AK123=0,"",IF(INDEX(LookupData!H:H,$AK123)="","",INDEX(LookupData!H:H,$AK123))))</f>
        <v/>
      </c>
      <c r="I123" s="7" t="str">
        <f>IF($AK123="","",IF($AK123=0,"",IF(INDEX(LookupData!I:I,$AK123)="","",INDEX(LookupData!I:I,$AK123))))</f>
        <v/>
      </c>
      <c r="J123" s="7" t="str">
        <f>IF($AK123="","",IF($AK123=0,"",IF(INDEX(LookupData!J:J,$AK123)="","",INDEX(LookupData!J:J,$AK123))))</f>
        <v/>
      </c>
      <c r="K123" s="7" t="str">
        <f>IF($AK123="","",IF($AK123=0,"",IF(INDEX(LookupData!K:K,$AK123)="","",INDEX(LookupData!K:K,$AK123))))</f>
        <v/>
      </c>
      <c r="L123" s="7" t="str">
        <f>IF($AK123="","",IF($AK123=0,"",IF(INDEX(LookupData!L:L,$AK123)="","",INDEX(LookupData!L:L,$AK123))))</f>
        <v/>
      </c>
      <c r="M123" s="7" t="str">
        <f>IF($AK123="","",IF($AK123=0,"",IF(INDEX(LookupData!M:M,$AK123)="","",INDEX(LookupData!M:M,$AK123))))</f>
        <v/>
      </c>
      <c r="N123" s="7" t="str">
        <f>IF($AK123="","",IF($AK123=0,"",IF(INDEX(LookupData!N:N,$AK123)="","",INDEX(LookupData!N:N,$AK123))))</f>
        <v/>
      </c>
      <c r="O123" s="7" t="str">
        <f>IF($AK123="","",IF($AK123=0,"",IF(INDEX(LookupData!O:O,$AK123)="","",INDEX(LookupData!O:O,$AK123))))</f>
        <v/>
      </c>
      <c r="P123" s="7" t="str">
        <f>IF($AK123="","",IF($AK123=0,"",IF(INDEX(LookupData!P:P,$AK123)="","",INDEX(LookupData!P:P,$AK123))))</f>
        <v/>
      </c>
      <c r="Q123" s="7" t="str">
        <f>IF($AK123="","",IF($AK123=0,"",IF(INDEX(LookupData!Q:Q,$AK123)="","",INDEX(LookupData!Q:Q,$AK123))))</f>
        <v/>
      </c>
      <c r="R123" s="7" t="str">
        <f>IF($AK123="","",IF($AK123=0,"",IF(INDEX(LookupData!R:R,$AK123)="","",INDEX(LookupData!R:R,$AK123))))</f>
        <v/>
      </c>
      <c r="S123" s="7" t="str">
        <f>IF($AK123="","",IF($AK123=0,"",IF(INDEX(LookupData!S:S,$AK123)="","",INDEX(LookupData!S:S,$AK123))))</f>
        <v/>
      </c>
      <c r="T123" s="7" t="str">
        <f>IF($AK123="","",IF($AK123=0,"",IF(INDEX(LookupData!T:T,$AK123)="","",INDEX(LookupData!T:T,$AK123))))</f>
        <v/>
      </c>
      <c r="U123" s="7" t="str">
        <f>IF($AK123="","",IF($AK123=0,"",IF(INDEX(LookupData!U:U,$AK123)="","",INDEX(LookupData!U:U,$AK123))))</f>
        <v/>
      </c>
      <c r="V123" s="7" t="str">
        <f>IF($AK123="","",IF($AK123=0,"",IF(INDEX(LookupData!V:V,$AK123)="","",INDEX(LookupData!V:V,$AK123))))</f>
        <v/>
      </c>
      <c r="W123" t="str">
        <f>IF($AK123="","",IF($AK123=0,"",IF(INDEX(LookupData!W:W,$AK123)="","",INDEX(LookupData!W:W,$AK123))))</f>
        <v/>
      </c>
      <c r="X123" s="7" t="str">
        <f>IF($AK123="","",IF($AK123=0,"",IF(INDEX(LookupData!X:X,$AK123)="","",INDEX(LookupData!X:X,$AK123))))</f>
        <v/>
      </c>
      <c r="Y123" s="7" t="str">
        <f>IF($AK123="","",IF($AK123=0,"",IF(INDEX(LookupData!Y:Y,$AK123)="","",INDEX(LookupData!Y:Y,$AK123))))</f>
        <v/>
      </c>
      <c r="Z123" s="7" t="str">
        <f>IF($AK123="","",IF($AK123=0,"",IF(INDEX(LookupData!Z:Z,$AK123)="","",INDEX(LookupData!Z:Z,$AK123))))</f>
        <v/>
      </c>
      <c r="AA123" s="7" t="str">
        <f>IF($AK123="","",IF($AK123=0,"",IF(INDEX(LookupData!AA:AA,$AK123)="","",INDEX(LookupData!AA:AA,$AK123))))</f>
        <v/>
      </c>
      <c r="AB123" s="7" t="str">
        <f>IF($AK123="","",IF($AK123=0,"",IF(INDEX(LookupData!AB:AB,$AK123)="","",INDEX(LookupData!AB:AB,$AK123))))</f>
        <v/>
      </c>
      <c r="AC123" s="7" t="str">
        <f>IF($AK123="","",IF($AK123=0,"",IF(INDEX(LookupData!AC:AC,$AK123)="","",INDEX(LookupData!AC:AC,$AK123))))</f>
        <v/>
      </c>
      <c r="AD123" s="7" t="str">
        <f>IF($AK123="","",IF($AK123=0,"",IF(INDEX(LookupData!AD:AD,$AK123)="","",INDEX(LookupData!AD:AD,$AK123))))</f>
        <v/>
      </c>
      <c r="AE123" s="7" t="str">
        <f>IF($AK123="","",IF($AK123=0,"",IF(INDEX(LookupData!AE:AE,$AK123)="","",INDEX(LookupData!AE:AE,$AK123))))</f>
        <v/>
      </c>
      <c r="AF123" t="str">
        <f>IF($AK123="","",IF($AK123=0,"",IF(INDEX(LookupData!AF:AF,$AK123)="","",INDEX(LookupData!AF:AF,$AK123))))</f>
        <v/>
      </c>
      <c r="AG123" t="str">
        <f>IF($AK123="","",IF($AK123=0,"",IF(INDEX(LookupData!AG:AG,$AK123)="","",INDEX(LookupData!AG:AG,$AK123))))</f>
        <v/>
      </c>
      <c r="AH123" s="11" t="str">
        <f>IF($AK123="","",IF($AK123=0,"",IF(INDEX(LookupData!AH:AH,$AK123)="","",INDEX(LookupData!AH:AH,$AK123))))</f>
        <v/>
      </c>
      <c r="AI123" s="12" t="str">
        <f>IF($AK123="","",IF($AK123=0,"",IF(INDEX(LookupData!AI:AI,$AK123)="","",HYPERLINK(INDEX(LookupData!AI:AI,$AK123),"Open"))))</f>
        <v/>
      </c>
      <c r="AK123" t="str">
        <f>IF(AL123="","",IFERROR(MATCH(AL123,LookupData!$A:$A,0),0))</f>
        <v/>
      </c>
      <c r="AL123" t="str">
        <f t="shared" si="6"/>
        <v/>
      </c>
      <c r="AM123" t="str">
        <f t="shared" si="7"/>
        <v/>
      </c>
    </row>
    <row r="124" spans="1:39" x14ac:dyDescent="0.2">
      <c r="A124" s="9"/>
      <c r="B124" s="10" t="str">
        <f>IF($AK124="","",IF($AK124=0,"not in the database",IF(INDEX(LookupData!B:B,$AK124)="","",INDEX(LookupData!B:B,$AK124))))</f>
        <v/>
      </c>
      <c r="C124" t="str">
        <f>IF($AK124="","",IF($AK124=0,"",IF(INDEX(LookupData!C:C,$AK124)="","",INDEX(LookupData!C:C,$AK124))))</f>
        <v/>
      </c>
      <c r="D124" t="str">
        <f>IF($AK124="","",IF($AK124=0,"",IF(INDEX(LookupData!D:D,$AK124)="","",INDEX(LookupData!D:D,$AK124))))</f>
        <v/>
      </c>
      <c r="E124" t="str">
        <f>IF($AK124="","",IF($AK124=0,"",IF(INDEX(LookupData!E:E,$AK124)="","",INDEX(LookupData!E:E,$AK124))))</f>
        <v/>
      </c>
      <c r="F124" t="str">
        <f>IF($AK124="","",IF($AK124=0,"",IF(INDEX(LookupData!F:F,$AK124)="","",INDEX(LookupData!F:F,$AK124))))</f>
        <v/>
      </c>
      <c r="G124" t="str">
        <f>IF($AK124="","",IF($AK124=0,"",IF(INDEX(LookupData!G:G,$AK124)="","",INDEX(LookupData!G:G,$AK124))))</f>
        <v/>
      </c>
      <c r="H124" t="str">
        <f>IF($AK124="","",IF($AK124=0,"",IF(INDEX(LookupData!H:H,$AK124)="","",INDEX(LookupData!H:H,$AK124))))</f>
        <v/>
      </c>
      <c r="I124" s="7" t="str">
        <f>IF($AK124="","",IF($AK124=0,"",IF(INDEX(LookupData!I:I,$AK124)="","",INDEX(LookupData!I:I,$AK124))))</f>
        <v/>
      </c>
      <c r="J124" s="7" t="str">
        <f>IF($AK124="","",IF($AK124=0,"",IF(INDEX(LookupData!J:J,$AK124)="","",INDEX(LookupData!J:J,$AK124))))</f>
        <v/>
      </c>
      <c r="K124" s="7" t="str">
        <f>IF($AK124="","",IF($AK124=0,"",IF(INDEX(LookupData!K:K,$AK124)="","",INDEX(LookupData!K:K,$AK124))))</f>
        <v/>
      </c>
      <c r="L124" s="7" t="str">
        <f>IF($AK124="","",IF($AK124=0,"",IF(INDEX(LookupData!L:L,$AK124)="","",INDEX(LookupData!L:L,$AK124))))</f>
        <v/>
      </c>
      <c r="M124" s="7" t="str">
        <f>IF($AK124="","",IF($AK124=0,"",IF(INDEX(LookupData!M:M,$AK124)="","",INDEX(LookupData!M:M,$AK124))))</f>
        <v/>
      </c>
      <c r="N124" s="7" t="str">
        <f>IF($AK124="","",IF($AK124=0,"",IF(INDEX(LookupData!N:N,$AK124)="","",INDEX(LookupData!N:N,$AK124))))</f>
        <v/>
      </c>
      <c r="O124" s="7" t="str">
        <f>IF($AK124="","",IF($AK124=0,"",IF(INDEX(LookupData!O:O,$AK124)="","",INDEX(LookupData!O:O,$AK124))))</f>
        <v/>
      </c>
      <c r="P124" s="7" t="str">
        <f>IF($AK124="","",IF($AK124=0,"",IF(INDEX(LookupData!P:P,$AK124)="","",INDEX(LookupData!P:P,$AK124))))</f>
        <v/>
      </c>
      <c r="Q124" s="7" t="str">
        <f>IF($AK124="","",IF($AK124=0,"",IF(INDEX(LookupData!Q:Q,$AK124)="","",INDEX(LookupData!Q:Q,$AK124))))</f>
        <v/>
      </c>
      <c r="R124" s="7" t="str">
        <f>IF($AK124="","",IF($AK124=0,"",IF(INDEX(LookupData!R:R,$AK124)="","",INDEX(LookupData!R:R,$AK124))))</f>
        <v/>
      </c>
      <c r="S124" s="7" t="str">
        <f>IF($AK124="","",IF($AK124=0,"",IF(INDEX(LookupData!S:S,$AK124)="","",INDEX(LookupData!S:S,$AK124))))</f>
        <v/>
      </c>
      <c r="T124" s="7" t="str">
        <f>IF($AK124="","",IF($AK124=0,"",IF(INDEX(LookupData!T:T,$AK124)="","",INDEX(LookupData!T:T,$AK124))))</f>
        <v/>
      </c>
      <c r="U124" s="7" t="str">
        <f>IF($AK124="","",IF($AK124=0,"",IF(INDEX(LookupData!U:U,$AK124)="","",INDEX(LookupData!U:U,$AK124))))</f>
        <v/>
      </c>
      <c r="V124" s="7" t="str">
        <f>IF($AK124="","",IF($AK124=0,"",IF(INDEX(LookupData!V:V,$AK124)="","",INDEX(LookupData!V:V,$AK124))))</f>
        <v/>
      </c>
      <c r="W124" t="str">
        <f>IF($AK124="","",IF($AK124=0,"",IF(INDEX(LookupData!W:W,$AK124)="","",INDEX(LookupData!W:W,$AK124))))</f>
        <v/>
      </c>
      <c r="X124" s="7" t="str">
        <f>IF($AK124="","",IF($AK124=0,"",IF(INDEX(LookupData!X:X,$AK124)="","",INDEX(LookupData!X:X,$AK124))))</f>
        <v/>
      </c>
      <c r="Y124" s="7" t="str">
        <f>IF($AK124="","",IF($AK124=0,"",IF(INDEX(LookupData!Y:Y,$AK124)="","",INDEX(LookupData!Y:Y,$AK124))))</f>
        <v/>
      </c>
      <c r="Z124" s="7" t="str">
        <f>IF($AK124="","",IF($AK124=0,"",IF(INDEX(LookupData!Z:Z,$AK124)="","",INDEX(LookupData!Z:Z,$AK124))))</f>
        <v/>
      </c>
      <c r="AA124" s="7" t="str">
        <f>IF($AK124="","",IF($AK124=0,"",IF(INDEX(LookupData!AA:AA,$AK124)="","",INDEX(LookupData!AA:AA,$AK124))))</f>
        <v/>
      </c>
      <c r="AB124" s="7" t="str">
        <f>IF($AK124="","",IF($AK124=0,"",IF(INDEX(LookupData!AB:AB,$AK124)="","",INDEX(LookupData!AB:AB,$AK124))))</f>
        <v/>
      </c>
      <c r="AC124" s="7" t="str">
        <f>IF($AK124="","",IF($AK124=0,"",IF(INDEX(LookupData!AC:AC,$AK124)="","",INDEX(LookupData!AC:AC,$AK124))))</f>
        <v/>
      </c>
      <c r="AD124" s="7" t="str">
        <f>IF($AK124="","",IF($AK124=0,"",IF(INDEX(LookupData!AD:AD,$AK124)="","",INDEX(LookupData!AD:AD,$AK124))))</f>
        <v/>
      </c>
      <c r="AE124" s="7" t="str">
        <f>IF($AK124="","",IF($AK124=0,"",IF(INDEX(LookupData!AE:AE,$AK124)="","",INDEX(LookupData!AE:AE,$AK124))))</f>
        <v/>
      </c>
      <c r="AF124" t="str">
        <f>IF($AK124="","",IF($AK124=0,"",IF(INDEX(LookupData!AF:AF,$AK124)="","",INDEX(LookupData!AF:AF,$AK124))))</f>
        <v/>
      </c>
      <c r="AG124" t="str">
        <f>IF($AK124="","",IF($AK124=0,"",IF(INDEX(LookupData!AG:AG,$AK124)="","",INDEX(LookupData!AG:AG,$AK124))))</f>
        <v/>
      </c>
      <c r="AH124" s="11" t="str">
        <f>IF($AK124="","",IF($AK124=0,"",IF(INDEX(LookupData!AH:AH,$AK124)="","",INDEX(LookupData!AH:AH,$AK124))))</f>
        <v/>
      </c>
      <c r="AI124" s="12" t="str">
        <f>IF($AK124="","",IF($AK124=0,"",IF(INDEX(LookupData!AI:AI,$AK124)="","",HYPERLINK(INDEX(LookupData!AI:AI,$AK124),"Open"))))</f>
        <v/>
      </c>
      <c r="AK124" t="str">
        <f>IF(AL124="","",IFERROR(MATCH(AL124,LookupData!$A:$A,0),0))</f>
        <v/>
      </c>
      <c r="AL124" t="str">
        <f t="shared" si="6"/>
        <v/>
      </c>
      <c r="AM124" t="str">
        <f t="shared" si="7"/>
        <v/>
      </c>
    </row>
    <row r="125" spans="1:39" x14ac:dyDescent="0.2">
      <c r="A125" s="9"/>
      <c r="B125" s="10" t="str">
        <f>IF($AK125="","",IF($AK125=0,"not in the database",IF(INDEX(LookupData!B:B,$AK125)="","",INDEX(LookupData!B:B,$AK125))))</f>
        <v/>
      </c>
      <c r="C125" t="str">
        <f>IF($AK125="","",IF($AK125=0,"",IF(INDEX(LookupData!C:C,$AK125)="","",INDEX(LookupData!C:C,$AK125))))</f>
        <v/>
      </c>
      <c r="D125" t="str">
        <f>IF($AK125="","",IF($AK125=0,"",IF(INDEX(LookupData!D:D,$AK125)="","",INDEX(LookupData!D:D,$AK125))))</f>
        <v/>
      </c>
      <c r="E125" t="str">
        <f>IF($AK125="","",IF($AK125=0,"",IF(INDEX(LookupData!E:E,$AK125)="","",INDEX(LookupData!E:E,$AK125))))</f>
        <v/>
      </c>
      <c r="F125" t="str">
        <f>IF($AK125="","",IF($AK125=0,"",IF(INDEX(LookupData!F:F,$AK125)="","",INDEX(LookupData!F:F,$AK125))))</f>
        <v/>
      </c>
      <c r="G125" t="str">
        <f>IF($AK125="","",IF($AK125=0,"",IF(INDEX(LookupData!G:G,$AK125)="","",INDEX(LookupData!G:G,$AK125))))</f>
        <v/>
      </c>
      <c r="H125" t="str">
        <f>IF($AK125="","",IF($AK125=0,"",IF(INDEX(LookupData!H:H,$AK125)="","",INDEX(LookupData!H:H,$AK125))))</f>
        <v/>
      </c>
      <c r="I125" s="7" t="str">
        <f>IF($AK125="","",IF($AK125=0,"",IF(INDEX(LookupData!I:I,$AK125)="","",INDEX(LookupData!I:I,$AK125))))</f>
        <v/>
      </c>
      <c r="J125" s="7" t="str">
        <f>IF($AK125="","",IF($AK125=0,"",IF(INDEX(LookupData!J:J,$AK125)="","",INDEX(LookupData!J:J,$AK125))))</f>
        <v/>
      </c>
      <c r="K125" s="7" t="str">
        <f>IF($AK125="","",IF($AK125=0,"",IF(INDEX(LookupData!K:K,$AK125)="","",INDEX(LookupData!K:K,$AK125))))</f>
        <v/>
      </c>
      <c r="L125" s="7" t="str">
        <f>IF($AK125="","",IF($AK125=0,"",IF(INDEX(LookupData!L:L,$AK125)="","",INDEX(LookupData!L:L,$AK125))))</f>
        <v/>
      </c>
      <c r="M125" s="7" t="str">
        <f>IF($AK125="","",IF($AK125=0,"",IF(INDEX(LookupData!M:M,$AK125)="","",INDEX(LookupData!M:M,$AK125))))</f>
        <v/>
      </c>
      <c r="N125" s="7" t="str">
        <f>IF($AK125="","",IF($AK125=0,"",IF(INDEX(LookupData!N:N,$AK125)="","",INDEX(LookupData!N:N,$AK125))))</f>
        <v/>
      </c>
      <c r="O125" s="7" t="str">
        <f>IF($AK125="","",IF($AK125=0,"",IF(INDEX(LookupData!O:O,$AK125)="","",INDEX(LookupData!O:O,$AK125))))</f>
        <v/>
      </c>
      <c r="P125" s="7" t="str">
        <f>IF($AK125="","",IF($AK125=0,"",IF(INDEX(LookupData!P:P,$AK125)="","",INDEX(LookupData!P:P,$AK125))))</f>
        <v/>
      </c>
      <c r="Q125" s="7" t="str">
        <f>IF($AK125="","",IF($AK125=0,"",IF(INDEX(LookupData!Q:Q,$AK125)="","",INDEX(LookupData!Q:Q,$AK125))))</f>
        <v/>
      </c>
      <c r="R125" s="7" t="str">
        <f>IF($AK125="","",IF($AK125=0,"",IF(INDEX(LookupData!R:R,$AK125)="","",INDEX(LookupData!R:R,$AK125))))</f>
        <v/>
      </c>
      <c r="S125" s="7" t="str">
        <f>IF($AK125="","",IF($AK125=0,"",IF(INDEX(LookupData!S:S,$AK125)="","",INDEX(LookupData!S:S,$AK125))))</f>
        <v/>
      </c>
      <c r="T125" s="7" t="str">
        <f>IF($AK125="","",IF($AK125=0,"",IF(INDEX(LookupData!T:T,$AK125)="","",INDEX(LookupData!T:T,$AK125))))</f>
        <v/>
      </c>
      <c r="U125" s="7" t="str">
        <f>IF($AK125="","",IF($AK125=0,"",IF(INDEX(LookupData!U:U,$AK125)="","",INDEX(LookupData!U:U,$AK125))))</f>
        <v/>
      </c>
      <c r="V125" s="7" t="str">
        <f>IF($AK125="","",IF($AK125=0,"",IF(INDEX(LookupData!V:V,$AK125)="","",INDEX(LookupData!V:V,$AK125))))</f>
        <v/>
      </c>
      <c r="W125" t="str">
        <f>IF($AK125="","",IF($AK125=0,"",IF(INDEX(LookupData!W:W,$AK125)="","",INDEX(LookupData!W:W,$AK125))))</f>
        <v/>
      </c>
      <c r="X125" s="7" t="str">
        <f>IF($AK125="","",IF($AK125=0,"",IF(INDEX(LookupData!X:X,$AK125)="","",INDEX(LookupData!X:X,$AK125))))</f>
        <v/>
      </c>
      <c r="Y125" s="7" t="str">
        <f>IF($AK125="","",IF($AK125=0,"",IF(INDEX(LookupData!Y:Y,$AK125)="","",INDEX(LookupData!Y:Y,$AK125))))</f>
        <v/>
      </c>
      <c r="Z125" s="7" t="str">
        <f>IF($AK125="","",IF($AK125=0,"",IF(INDEX(LookupData!Z:Z,$AK125)="","",INDEX(LookupData!Z:Z,$AK125))))</f>
        <v/>
      </c>
      <c r="AA125" s="7" t="str">
        <f>IF($AK125="","",IF($AK125=0,"",IF(INDEX(LookupData!AA:AA,$AK125)="","",INDEX(LookupData!AA:AA,$AK125))))</f>
        <v/>
      </c>
      <c r="AB125" s="7" t="str">
        <f>IF($AK125="","",IF($AK125=0,"",IF(INDEX(LookupData!AB:AB,$AK125)="","",INDEX(LookupData!AB:AB,$AK125))))</f>
        <v/>
      </c>
      <c r="AC125" s="7" t="str">
        <f>IF($AK125="","",IF($AK125=0,"",IF(INDEX(LookupData!AC:AC,$AK125)="","",INDEX(LookupData!AC:AC,$AK125))))</f>
        <v/>
      </c>
      <c r="AD125" s="7" t="str">
        <f>IF($AK125="","",IF($AK125=0,"",IF(INDEX(LookupData!AD:AD,$AK125)="","",INDEX(LookupData!AD:AD,$AK125))))</f>
        <v/>
      </c>
      <c r="AE125" s="7" t="str">
        <f>IF($AK125="","",IF($AK125=0,"",IF(INDEX(LookupData!AE:AE,$AK125)="","",INDEX(LookupData!AE:AE,$AK125))))</f>
        <v/>
      </c>
      <c r="AF125" t="str">
        <f>IF($AK125="","",IF($AK125=0,"",IF(INDEX(LookupData!AF:AF,$AK125)="","",INDEX(LookupData!AF:AF,$AK125))))</f>
        <v/>
      </c>
      <c r="AG125" t="str">
        <f>IF($AK125="","",IF($AK125=0,"",IF(INDEX(LookupData!AG:AG,$AK125)="","",INDEX(LookupData!AG:AG,$AK125))))</f>
        <v/>
      </c>
      <c r="AH125" s="11" t="str">
        <f>IF($AK125="","",IF($AK125=0,"",IF(INDEX(LookupData!AH:AH,$AK125)="","",INDEX(LookupData!AH:AH,$AK125))))</f>
        <v/>
      </c>
      <c r="AI125" s="12" t="str">
        <f>IF($AK125="","",IF($AK125=0,"",IF(INDEX(LookupData!AI:AI,$AK125)="","",HYPERLINK(INDEX(LookupData!AI:AI,$AK125),"Open"))))</f>
        <v/>
      </c>
      <c r="AK125" t="str">
        <f>IF(AL125="","",IFERROR(MATCH(AL125,LookupData!$A:$A,0),0))</f>
        <v/>
      </c>
      <c r="AL125" t="str">
        <f t="shared" si="6"/>
        <v/>
      </c>
      <c r="AM125" t="str">
        <f t="shared" si="7"/>
        <v/>
      </c>
    </row>
    <row r="126" spans="1:39" x14ac:dyDescent="0.2">
      <c r="A126" s="9"/>
      <c r="B126" s="10" t="str">
        <f>IF($AK126="","",IF($AK126=0,"not in the database",IF(INDEX(LookupData!B:B,$AK126)="","",INDEX(LookupData!B:B,$AK126))))</f>
        <v/>
      </c>
      <c r="C126" t="str">
        <f>IF($AK126="","",IF($AK126=0,"",IF(INDEX(LookupData!C:C,$AK126)="","",INDEX(LookupData!C:C,$AK126))))</f>
        <v/>
      </c>
      <c r="D126" t="str">
        <f>IF($AK126="","",IF($AK126=0,"",IF(INDEX(LookupData!D:D,$AK126)="","",INDEX(LookupData!D:D,$AK126))))</f>
        <v/>
      </c>
      <c r="E126" t="str">
        <f>IF($AK126="","",IF($AK126=0,"",IF(INDEX(LookupData!E:E,$AK126)="","",INDEX(LookupData!E:E,$AK126))))</f>
        <v/>
      </c>
      <c r="F126" t="str">
        <f>IF($AK126="","",IF($AK126=0,"",IF(INDEX(LookupData!F:F,$AK126)="","",INDEX(LookupData!F:F,$AK126))))</f>
        <v/>
      </c>
      <c r="G126" t="str">
        <f>IF($AK126="","",IF($AK126=0,"",IF(INDEX(LookupData!G:G,$AK126)="","",INDEX(LookupData!G:G,$AK126))))</f>
        <v/>
      </c>
      <c r="H126" t="str">
        <f>IF($AK126="","",IF($AK126=0,"",IF(INDEX(LookupData!H:H,$AK126)="","",INDEX(LookupData!H:H,$AK126))))</f>
        <v/>
      </c>
      <c r="I126" s="7" t="str">
        <f>IF($AK126="","",IF($AK126=0,"",IF(INDEX(LookupData!I:I,$AK126)="","",INDEX(LookupData!I:I,$AK126))))</f>
        <v/>
      </c>
      <c r="J126" s="7" t="str">
        <f>IF($AK126="","",IF($AK126=0,"",IF(INDEX(LookupData!J:J,$AK126)="","",INDEX(LookupData!J:J,$AK126))))</f>
        <v/>
      </c>
      <c r="K126" s="7" t="str">
        <f>IF($AK126="","",IF($AK126=0,"",IF(INDEX(LookupData!K:K,$AK126)="","",INDEX(LookupData!K:K,$AK126))))</f>
        <v/>
      </c>
      <c r="L126" s="7" t="str">
        <f>IF($AK126="","",IF($AK126=0,"",IF(INDEX(LookupData!L:L,$AK126)="","",INDEX(LookupData!L:L,$AK126))))</f>
        <v/>
      </c>
      <c r="M126" s="7" t="str">
        <f>IF($AK126="","",IF($AK126=0,"",IF(INDEX(LookupData!M:M,$AK126)="","",INDEX(LookupData!M:M,$AK126))))</f>
        <v/>
      </c>
      <c r="N126" s="7" t="str">
        <f>IF($AK126="","",IF($AK126=0,"",IF(INDEX(LookupData!N:N,$AK126)="","",INDEX(LookupData!N:N,$AK126))))</f>
        <v/>
      </c>
      <c r="O126" s="7" t="str">
        <f>IF($AK126="","",IF($AK126=0,"",IF(INDEX(LookupData!O:O,$AK126)="","",INDEX(LookupData!O:O,$AK126))))</f>
        <v/>
      </c>
      <c r="P126" s="7" t="str">
        <f>IF($AK126="","",IF($AK126=0,"",IF(INDEX(LookupData!P:P,$AK126)="","",INDEX(LookupData!P:P,$AK126))))</f>
        <v/>
      </c>
      <c r="Q126" s="7" t="str">
        <f>IF($AK126="","",IF($AK126=0,"",IF(INDEX(LookupData!Q:Q,$AK126)="","",INDEX(LookupData!Q:Q,$AK126))))</f>
        <v/>
      </c>
      <c r="R126" s="7" t="str">
        <f>IF($AK126="","",IF($AK126=0,"",IF(INDEX(LookupData!R:R,$AK126)="","",INDEX(LookupData!R:R,$AK126))))</f>
        <v/>
      </c>
      <c r="S126" s="7" t="str">
        <f>IF($AK126="","",IF($AK126=0,"",IF(INDEX(LookupData!S:S,$AK126)="","",INDEX(LookupData!S:S,$AK126))))</f>
        <v/>
      </c>
      <c r="T126" s="7" t="str">
        <f>IF($AK126="","",IF($AK126=0,"",IF(INDEX(LookupData!T:T,$AK126)="","",INDEX(LookupData!T:T,$AK126))))</f>
        <v/>
      </c>
      <c r="U126" s="7" t="str">
        <f>IF($AK126="","",IF($AK126=0,"",IF(INDEX(LookupData!U:U,$AK126)="","",INDEX(LookupData!U:U,$AK126))))</f>
        <v/>
      </c>
      <c r="V126" s="7" t="str">
        <f>IF($AK126="","",IF($AK126=0,"",IF(INDEX(LookupData!V:V,$AK126)="","",INDEX(LookupData!V:V,$AK126))))</f>
        <v/>
      </c>
      <c r="W126" t="str">
        <f>IF($AK126="","",IF($AK126=0,"",IF(INDEX(LookupData!W:W,$AK126)="","",INDEX(LookupData!W:W,$AK126))))</f>
        <v/>
      </c>
      <c r="X126" s="7" t="str">
        <f>IF($AK126="","",IF($AK126=0,"",IF(INDEX(LookupData!X:X,$AK126)="","",INDEX(LookupData!X:X,$AK126))))</f>
        <v/>
      </c>
      <c r="Y126" s="7" t="str">
        <f>IF($AK126="","",IF($AK126=0,"",IF(INDEX(LookupData!Y:Y,$AK126)="","",INDEX(LookupData!Y:Y,$AK126))))</f>
        <v/>
      </c>
      <c r="Z126" s="7" t="str">
        <f>IF($AK126="","",IF($AK126=0,"",IF(INDEX(LookupData!Z:Z,$AK126)="","",INDEX(LookupData!Z:Z,$AK126))))</f>
        <v/>
      </c>
      <c r="AA126" s="7" t="str">
        <f>IF($AK126="","",IF($AK126=0,"",IF(INDEX(LookupData!AA:AA,$AK126)="","",INDEX(LookupData!AA:AA,$AK126))))</f>
        <v/>
      </c>
      <c r="AB126" s="7" t="str">
        <f>IF($AK126="","",IF($AK126=0,"",IF(INDEX(LookupData!AB:AB,$AK126)="","",INDEX(LookupData!AB:AB,$AK126))))</f>
        <v/>
      </c>
      <c r="AC126" s="7" t="str">
        <f>IF($AK126="","",IF($AK126=0,"",IF(INDEX(LookupData!AC:AC,$AK126)="","",INDEX(LookupData!AC:AC,$AK126))))</f>
        <v/>
      </c>
      <c r="AD126" s="7" t="str">
        <f>IF($AK126="","",IF($AK126=0,"",IF(INDEX(LookupData!AD:AD,$AK126)="","",INDEX(LookupData!AD:AD,$AK126))))</f>
        <v/>
      </c>
      <c r="AE126" s="7" t="str">
        <f>IF($AK126="","",IF($AK126=0,"",IF(INDEX(LookupData!AE:AE,$AK126)="","",INDEX(LookupData!AE:AE,$AK126))))</f>
        <v/>
      </c>
      <c r="AF126" t="str">
        <f>IF($AK126="","",IF($AK126=0,"",IF(INDEX(LookupData!AF:AF,$AK126)="","",INDEX(LookupData!AF:AF,$AK126))))</f>
        <v/>
      </c>
      <c r="AG126" t="str">
        <f>IF($AK126="","",IF($AK126=0,"",IF(INDEX(LookupData!AG:AG,$AK126)="","",INDEX(LookupData!AG:AG,$AK126))))</f>
        <v/>
      </c>
      <c r="AH126" s="11" t="str">
        <f>IF($AK126="","",IF($AK126=0,"",IF(INDEX(LookupData!AH:AH,$AK126)="","",INDEX(LookupData!AH:AH,$AK126))))</f>
        <v/>
      </c>
      <c r="AI126" s="12" t="str">
        <f>IF($AK126="","",IF($AK126=0,"",IF(INDEX(LookupData!AI:AI,$AK126)="","",HYPERLINK(INDEX(LookupData!AI:AI,$AK126),"Open"))))</f>
        <v/>
      </c>
      <c r="AK126" t="str">
        <f>IF(AL126="","",IFERROR(MATCH(AL126,LookupData!$A:$A,0),0))</f>
        <v/>
      </c>
      <c r="AL126" t="str">
        <f t="shared" si="6"/>
        <v/>
      </c>
      <c r="AM126" t="str">
        <f t="shared" si="7"/>
        <v/>
      </c>
    </row>
    <row r="127" spans="1:39" x14ac:dyDescent="0.2">
      <c r="A127" s="9"/>
      <c r="B127" s="10" t="str">
        <f>IF($AK127="","",IF($AK127=0,"not in the database",IF(INDEX(LookupData!B:B,$AK127)="","",INDEX(LookupData!B:B,$AK127))))</f>
        <v/>
      </c>
      <c r="C127" t="str">
        <f>IF($AK127="","",IF($AK127=0,"",IF(INDEX(LookupData!C:C,$AK127)="","",INDEX(LookupData!C:C,$AK127))))</f>
        <v/>
      </c>
      <c r="D127" t="str">
        <f>IF($AK127="","",IF($AK127=0,"",IF(INDEX(LookupData!D:D,$AK127)="","",INDEX(LookupData!D:D,$AK127))))</f>
        <v/>
      </c>
      <c r="E127" t="str">
        <f>IF($AK127="","",IF($AK127=0,"",IF(INDEX(LookupData!E:E,$AK127)="","",INDEX(LookupData!E:E,$AK127))))</f>
        <v/>
      </c>
      <c r="F127" t="str">
        <f>IF($AK127="","",IF($AK127=0,"",IF(INDEX(LookupData!F:F,$AK127)="","",INDEX(LookupData!F:F,$AK127))))</f>
        <v/>
      </c>
      <c r="G127" t="str">
        <f>IF($AK127="","",IF($AK127=0,"",IF(INDEX(LookupData!G:G,$AK127)="","",INDEX(LookupData!G:G,$AK127))))</f>
        <v/>
      </c>
      <c r="H127" t="str">
        <f>IF($AK127="","",IF($AK127=0,"",IF(INDEX(LookupData!H:H,$AK127)="","",INDEX(LookupData!H:H,$AK127))))</f>
        <v/>
      </c>
      <c r="I127" s="7" t="str">
        <f>IF($AK127="","",IF($AK127=0,"",IF(INDEX(LookupData!I:I,$AK127)="","",INDEX(LookupData!I:I,$AK127))))</f>
        <v/>
      </c>
      <c r="J127" s="7" t="str">
        <f>IF($AK127="","",IF($AK127=0,"",IF(INDEX(LookupData!J:J,$AK127)="","",INDEX(LookupData!J:J,$AK127))))</f>
        <v/>
      </c>
      <c r="K127" s="7" t="str">
        <f>IF($AK127="","",IF($AK127=0,"",IF(INDEX(LookupData!K:K,$AK127)="","",INDEX(LookupData!K:K,$AK127))))</f>
        <v/>
      </c>
      <c r="L127" s="7" t="str">
        <f>IF($AK127="","",IF($AK127=0,"",IF(INDEX(LookupData!L:L,$AK127)="","",INDEX(LookupData!L:L,$AK127))))</f>
        <v/>
      </c>
      <c r="M127" s="7" t="str">
        <f>IF($AK127="","",IF($AK127=0,"",IF(INDEX(LookupData!M:M,$AK127)="","",INDEX(LookupData!M:M,$AK127))))</f>
        <v/>
      </c>
      <c r="N127" s="7" t="str">
        <f>IF($AK127="","",IF($AK127=0,"",IF(INDEX(LookupData!N:N,$AK127)="","",INDEX(LookupData!N:N,$AK127))))</f>
        <v/>
      </c>
      <c r="O127" s="7" t="str">
        <f>IF($AK127="","",IF($AK127=0,"",IF(INDEX(LookupData!O:O,$AK127)="","",INDEX(LookupData!O:O,$AK127))))</f>
        <v/>
      </c>
      <c r="P127" s="7" t="str">
        <f>IF($AK127="","",IF($AK127=0,"",IF(INDEX(LookupData!P:P,$AK127)="","",INDEX(LookupData!P:P,$AK127))))</f>
        <v/>
      </c>
      <c r="Q127" s="7" t="str">
        <f>IF($AK127="","",IF($AK127=0,"",IF(INDEX(LookupData!Q:Q,$AK127)="","",INDEX(LookupData!Q:Q,$AK127))))</f>
        <v/>
      </c>
      <c r="R127" s="7" t="str">
        <f>IF($AK127="","",IF($AK127=0,"",IF(INDEX(LookupData!R:R,$AK127)="","",INDEX(LookupData!R:R,$AK127))))</f>
        <v/>
      </c>
      <c r="S127" s="7" t="str">
        <f>IF($AK127="","",IF($AK127=0,"",IF(INDEX(LookupData!S:S,$AK127)="","",INDEX(LookupData!S:S,$AK127))))</f>
        <v/>
      </c>
      <c r="T127" s="7" t="str">
        <f>IF($AK127="","",IF($AK127=0,"",IF(INDEX(LookupData!T:T,$AK127)="","",INDEX(LookupData!T:T,$AK127))))</f>
        <v/>
      </c>
      <c r="U127" s="7" t="str">
        <f>IF($AK127="","",IF($AK127=0,"",IF(INDEX(LookupData!U:U,$AK127)="","",INDEX(LookupData!U:U,$AK127))))</f>
        <v/>
      </c>
      <c r="V127" s="7" t="str">
        <f>IF($AK127="","",IF($AK127=0,"",IF(INDEX(LookupData!V:V,$AK127)="","",INDEX(LookupData!V:V,$AK127))))</f>
        <v/>
      </c>
      <c r="W127" t="str">
        <f>IF($AK127="","",IF($AK127=0,"",IF(INDEX(LookupData!W:W,$AK127)="","",INDEX(LookupData!W:W,$AK127))))</f>
        <v/>
      </c>
      <c r="X127" s="7" t="str">
        <f>IF($AK127="","",IF($AK127=0,"",IF(INDEX(LookupData!X:X,$AK127)="","",INDEX(LookupData!X:X,$AK127))))</f>
        <v/>
      </c>
      <c r="Y127" s="7" t="str">
        <f>IF($AK127="","",IF($AK127=0,"",IF(INDEX(LookupData!Y:Y,$AK127)="","",INDEX(LookupData!Y:Y,$AK127))))</f>
        <v/>
      </c>
      <c r="Z127" s="7" t="str">
        <f>IF($AK127="","",IF($AK127=0,"",IF(INDEX(LookupData!Z:Z,$AK127)="","",INDEX(LookupData!Z:Z,$AK127))))</f>
        <v/>
      </c>
      <c r="AA127" s="7" t="str">
        <f>IF($AK127="","",IF($AK127=0,"",IF(INDEX(LookupData!AA:AA,$AK127)="","",INDEX(LookupData!AA:AA,$AK127))))</f>
        <v/>
      </c>
      <c r="AB127" s="7" t="str">
        <f>IF($AK127="","",IF($AK127=0,"",IF(INDEX(LookupData!AB:AB,$AK127)="","",INDEX(LookupData!AB:AB,$AK127))))</f>
        <v/>
      </c>
      <c r="AC127" s="7" t="str">
        <f>IF($AK127="","",IF($AK127=0,"",IF(INDEX(LookupData!AC:AC,$AK127)="","",INDEX(LookupData!AC:AC,$AK127))))</f>
        <v/>
      </c>
      <c r="AD127" s="7" t="str">
        <f>IF($AK127="","",IF($AK127=0,"",IF(INDEX(LookupData!AD:AD,$AK127)="","",INDEX(LookupData!AD:AD,$AK127))))</f>
        <v/>
      </c>
      <c r="AE127" s="7" t="str">
        <f>IF($AK127="","",IF($AK127=0,"",IF(INDEX(LookupData!AE:AE,$AK127)="","",INDEX(LookupData!AE:AE,$AK127))))</f>
        <v/>
      </c>
      <c r="AF127" t="str">
        <f>IF($AK127="","",IF($AK127=0,"",IF(INDEX(LookupData!AF:AF,$AK127)="","",INDEX(LookupData!AF:AF,$AK127))))</f>
        <v/>
      </c>
      <c r="AG127" t="str">
        <f>IF($AK127="","",IF($AK127=0,"",IF(INDEX(LookupData!AG:AG,$AK127)="","",INDEX(LookupData!AG:AG,$AK127))))</f>
        <v/>
      </c>
      <c r="AH127" s="11" t="str">
        <f>IF($AK127="","",IF($AK127=0,"",IF(INDEX(LookupData!AH:AH,$AK127)="","",INDEX(LookupData!AH:AH,$AK127))))</f>
        <v/>
      </c>
      <c r="AI127" s="12" t="str">
        <f>IF($AK127="","",IF($AK127=0,"",IF(INDEX(LookupData!AI:AI,$AK127)="","",HYPERLINK(INDEX(LookupData!AI:AI,$AK127),"Open"))))</f>
        <v/>
      </c>
      <c r="AK127" t="str">
        <f>IF(AL127="","",IFERROR(MATCH(AL127,LookupData!$A:$A,0),0))</f>
        <v/>
      </c>
      <c r="AL127" t="str">
        <f t="shared" si="6"/>
        <v/>
      </c>
      <c r="AM127" t="str">
        <f t="shared" si="7"/>
        <v/>
      </c>
    </row>
    <row r="128" spans="1:39" x14ac:dyDescent="0.2">
      <c r="A128" s="9"/>
      <c r="B128" s="10" t="str">
        <f>IF($AK128="","",IF($AK128=0,"not in the database",IF(INDEX(LookupData!B:B,$AK128)="","",INDEX(LookupData!B:B,$AK128))))</f>
        <v/>
      </c>
      <c r="C128" t="str">
        <f>IF($AK128="","",IF($AK128=0,"",IF(INDEX(LookupData!C:C,$AK128)="","",INDEX(LookupData!C:C,$AK128))))</f>
        <v/>
      </c>
      <c r="D128" t="str">
        <f>IF($AK128="","",IF($AK128=0,"",IF(INDEX(LookupData!D:D,$AK128)="","",INDEX(LookupData!D:D,$AK128))))</f>
        <v/>
      </c>
      <c r="E128" t="str">
        <f>IF($AK128="","",IF($AK128=0,"",IF(INDEX(LookupData!E:E,$AK128)="","",INDEX(LookupData!E:E,$AK128))))</f>
        <v/>
      </c>
      <c r="F128" t="str">
        <f>IF($AK128="","",IF($AK128=0,"",IF(INDEX(LookupData!F:F,$AK128)="","",INDEX(LookupData!F:F,$AK128))))</f>
        <v/>
      </c>
      <c r="G128" t="str">
        <f>IF($AK128="","",IF($AK128=0,"",IF(INDEX(LookupData!G:G,$AK128)="","",INDEX(LookupData!G:G,$AK128))))</f>
        <v/>
      </c>
      <c r="H128" t="str">
        <f>IF($AK128="","",IF($AK128=0,"",IF(INDEX(LookupData!H:H,$AK128)="","",INDEX(LookupData!H:H,$AK128))))</f>
        <v/>
      </c>
      <c r="I128" s="7" t="str">
        <f>IF($AK128="","",IF($AK128=0,"",IF(INDEX(LookupData!I:I,$AK128)="","",INDEX(LookupData!I:I,$AK128))))</f>
        <v/>
      </c>
      <c r="J128" s="7" t="str">
        <f>IF($AK128="","",IF($AK128=0,"",IF(INDEX(LookupData!J:J,$AK128)="","",INDEX(LookupData!J:J,$AK128))))</f>
        <v/>
      </c>
      <c r="K128" s="7" t="str">
        <f>IF($AK128="","",IF($AK128=0,"",IF(INDEX(LookupData!K:K,$AK128)="","",INDEX(LookupData!K:K,$AK128))))</f>
        <v/>
      </c>
      <c r="L128" s="7" t="str">
        <f>IF($AK128="","",IF($AK128=0,"",IF(INDEX(LookupData!L:L,$AK128)="","",INDEX(LookupData!L:L,$AK128))))</f>
        <v/>
      </c>
      <c r="M128" s="7" t="str">
        <f>IF($AK128="","",IF($AK128=0,"",IF(INDEX(LookupData!M:M,$AK128)="","",INDEX(LookupData!M:M,$AK128))))</f>
        <v/>
      </c>
      <c r="N128" s="7" t="str">
        <f>IF($AK128="","",IF($AK128=0,"",IF(INDEX(LookupData!N:N,$AK128)="","",INDEX(LookupData!N:N,$AK128))))</f>
        <v/>
      </c>
      <c r="O128" s="7" t="str">
        <f>IF($AK128="","",IF($AK128=0,"",IF(INDEX(LookupData!O:O,$AK128)="","",INDEX(LookupData!O:O,$AK128))))</f>
        <v/>
      </c>
      <c r="P128" s="7" t="str">
        <f>IF($AK128="","",IF($AK128=0,"",IF(INDEX(LookupData!P:P,$AK128)="","",INDEX(LookupData!P:P,$AK128))))</f>
        <v/>
      </c>
      <c r="Q128" s="7" t="str">
        <f>IF($AK128="","",IF($AK128=0,"",IF(INDEX(LookupData!Q:Q,$AK128)="","",INDEX(LookupData!Q:Q,$AK128))))</f>
        <v/>
      </c>
      <c r="R128" s="7" t="str">
        <f>IF($AK128="","",IF($AK128=0,"",IF(INDEX(LookupData!R:R,$AK128)="","",INDEX(LookupData!R:R,$AK128))))</f>
        <v/>
      </c>
      <c r="S128" s="7" t="str">
        <f>IF($AK128="","",IF($AK128=0,"",IF(INDEX(LookupData!S:S,$AK128)="","",INDEX(LookupData!S:S,$AK128))))</f>
        <v/>
      </c>
      <c r="T128" s="7" t="str">
        <f>IF($AK128="","",IF($AK128=0,"",IF(INDEX(LookupData!T:T,$AK128)="","",INDEX(LookupData!T:T,$AK128))))</f>
        <v/>
      </c>
      <c r="U128" s="7" t="str">
        <f>IF($AK128="","",IF($AK128=0,"",IF(INDEX(LookupData!U:U,$AK128)="","",INDEX(LookupData!U:U,$AK128))))</f>
        <v/>
      </c>
      <c r="V128" s="7" t="str">
        <f>IF($AK128="","",IF($AK128=0,"",IF(INDEX(LookupData!V:V,$AK128)="","",INDEX(LookupData!V:V,$AK128))))</f>
        <v/>
      </c>
      <c r="W128" t="str">
        <f>IF($AK128="","",IF($AK128=0,"",IF(INDEX(LookupData!W:W,$AK128)="","",INDEX(LookupData!W:W,$AK128))))</f>
        <v/>
      </c>
      <c r="X128" s="7" t="str">
        <f>IF($AK128="","",IF($AK128=0,"",IF(INDEX(LookupData!X:X,$AK128)="","",INDEX(LookupData!X:X,$AK128))))</f>
        <v/>
      </c>
      <c r="Y128" s="7" t="str">
        <f>IF($AK128="","",IF($AK128=0,"",IF(INDEX(LookupData!Y:Y,$AK128)="","",INDEX(LookupData!Y:Y,$AK128))))</f>
        <v/>
      </c>
      <c r="Z128" s="7" t="str">
        <f>IF($AK128="","",IF($AK128=0,"",IF(INDEX(LookupData!Z:Z,$AK128)="","",INDEX(LookupData!Z:Z,$AK128))))</f>
        <v/>
      </c>
      <c r="AA128" s="7" t="str">
        <f>IF($AK128="","",IF($AK128=0,"",IF(INDEX(LookupData!AA:AA,$AK128)="","",INDEX(LookupData!AA:AA,$AK128))))</f>
        <v/>
      </c>
      <c r="AB128" s="7" t="str">
        <f>IF($AK128="","",IF($AK128=0,"",IF(INDEX(LookupData!AB:AB,$AK128)="","",INDEX(LookupData!AB:AB,$AK128))))</f>
        <v/>
      </c>
      <c r="AC128" s="7" t="str">
        <f>IF($AK128="","",IF($AK128=0,"",IF(INDEX(LookupData!AC:AC,$AK128)="","",INDEX(LookupData!AC:AC,$AK128))))</f>
        <v/>
      </c>
      <c r="AD128" s="7" t="str">
        <f>IF($AK128="","",IF($AK128=0,"",IF(INDEX(LookupData!AD:AD,$AK128)="","",INDEX(LookupData!AD:AD,$AK128))))</f>
        <v/>
      </c>
      <c r="AE128" s="7" t="str">
        <f>IF($AK128="","",IF($AK128=0,"",IF(INDEX(LookupData!AE:AE,$AK128)="","",INDEX(LookupData!AE:AE,$AK128))))</f>
        <v/>
      </c>
      <c r="AF128" t="str">
        <f>IF($AK128="","",IF($AK128=0,"",IF(INDEX(LookupData!AF:AF,$AK128)="","",INDEX(LookupData!AF:AF,$AK128))))</f>
        <v/>
      </c>
      <c r="AG128" t="str">
        <f>IF($AK128="","",IF($AK128=0,"",IF(INDEX(LookupData!AG:AG,$AK128)="","",INDEX(LookupData!AG:AG,$AK128))))</f>
        <v/>
      </c>
      <c r="AH128" s="11" t="str">
        <f>IF($AK128="","",IF($AK128=0,"",IF(INDEX(LookupData!AH:AH,$AK128)="","",INDEX(LookupData!AH:AH,$AK128))))</f>
        <v/>
      </c>
      <c r="AI128" s="12" t="str">
        <f>IF($AK128="","",IF($AK128=0,"",IF(INDEX(LookupData!AI:AI,$AK128)="","",HYPERLINK(INDEX(LookupData!AI:AI,$AK128),"Open"))))</f>
        <v/>
      </c>
      <c r="AK128" t="str">
        <f>IF(AL128="","",IFERROR(MATCH(AL128,LookupData!$A:$A,0),0))</f>
        <v/>
      </c>
      <c r="AL128" t="str">
        <f t="shared" si="6"/>
        <v/>
      </c>
      <c r="AM128" t="str">
        <f t="shared" si="7"/>
        <v/>
      </c>
    </row>
    <row r="129" spans="1:39" x14ac:dyDescent="0.2">
      <c r="A129" s="9"/>
      <c r="B129" s="10" t="str">
        <f>IF($AK129="","",IF($AK129=0,"not in the database",IF(INDEX(LookupData!B:B,$AK129)="","",INDEX(LookupData!B:B,$AK129))))</f>
        <v/>
      </c>
      <c r="C129" t="str">
        <f>IF($AK129="","",IF($AK129=0,"",IF(INDEX(LookupData!C:C,$AK129)="","",INDEX(LookupData!C:C,$AK129))))</f>
        <v/>
      </c>
      <c r="D129" t="str">
        <f>IF($AK129="","",IF($AK129=0,"",IF(INDEX(LookupData!D:D,$AK129)="","",INDEX(LookupData!D:D,$AK129))))</f>
        <v/>
      </c>
      <c r="E129" t="str">
        <f>IF($AK129="","",IF($AK129=0,"",IF(INDEX(LookupData!E:E,$AK129)="","",INDEX(LookupData!E:E,$AK129))))</f>
        <v/>
      </c>
      <c r="F129" t="str">
        <f>IF($AK129="","",IF($AK129=0,"",IF(INDEX(LookupData!F:F,$AK129)="","",INDEX(LookupData!F:F,$AK129))))</f>
        <v/>
      </c>
      <c r="G129" t="str">
        <f>IF($AK129="","",IF($AK129=0,"",IF(INDEX(LookupData!G:G,$AK129)="","",INDEX(LookupData!G:G,$AK129))))</f>
        <v/>
      </c>
      <c r="H129" t="str">
        <f>IF($AK129="","",IF($AK129=0,"",IF(INDEX(LookupData!H:H,$AK129)="","",INDEX(LookupData!H:H,$AK129))))</f>
        <v/>
      </c>
      <c r="I129" s="7" t="str">
        <f>IF($AK129="","",IF($AK129=0,"",IF(INDEX(LookupData!I:I,$AK129)="","",INDEX(LookupData!I:I,$AK129))))</f>
        <v/>
      </c>
      <c r="J129" s="7" t="str">
        <f>IF($AK129="","",IF($AK129=0,"",IF(INDEX(LookupData!J:J,$AK129)="","",INDEX(LookupData!J:J,$AK129))))</f>
        <v/>
      </c>
      <c r="K129" s="7" t="str">
        <f>IF($AK129="","",IF($AK129=0,"",IF(INDEX(LookupData!K:K,$AK129)="","",INDEX(LookupData!K:K,$AK129))))</f>
        <v/>
      </c>
      <c r="L129" s="7" t="str">
        <f>IF($AK129="","",IF($AK129=0,"",IF(INDEX(LookupData!L:L,$AK129)="","",INDEX(LookupData!L:L,$AK129))))</f>
        <v/>
      </c>
      <c r="M129" s="7" t="str">
        <f>IF($AK129="","",IF($AK129=0,"",IF(INDEX(LookupData!M:M,$AK129)="","",INDEX(LookupData!M:M,$AK129))))</f>
        <v/>
      </c>
      <c r="N129" s="7" t="str">
        <f>IF($AK129="","",IF($AK129=0,"",IF(INDEX(LookupData!N:N,$AK129)="","",INDEX(LookupData!N:N,$AK129))))</f>
        <v/>
      </c>
      <c r="O129" s="7" t="str">
        <f>IF($AK129="","",IF($AK129=0,"",IF(INDEX(LookupData!O:O,$AK129)="","",INDEX(LookupData!O:O,$AK129))))</f>
        <v/>
      </c>
      <c r="P129" s="7" t="str">
        <f>IF($AK129="","",IF($AK129=0,"",IF(INDEX(LookupData!P:P,$AK129)="","",INDEX(LookupData!P:P,$AK129))))</f>
        <v/>
      </c>
      <c r="Q129" s="7" t="str">
        <f>IF($AK129="","",IF($AK129=0,"",IF(INDEX(LookupData!Q:Q,$AK129)="","",INDEX(LookupData!Q:Q,$AK129))))</f>
        <v/>
      </c>
      <c r="R129" s="7" t="str">
        <f>IF($AK129="","",IF($AK129=0,"",IF(INDEX(LookupData!R:R,$AK129)="","",INDEX(LookupData!R:R,$AK129))))</f>
        <v/>
      </c>
      <c r="S129" s="7" t="str">
        <f>IF($AK129="","",IF($AK129=0,"",IF(INDEX(LookupData!S:S,$AK129)="","",INDEX(LookupData!S:S,$AK129))))</f>
        <v/>
      </c>
      <c r="T129" s="7" t="str">
        <f>IF($AK129="","",IF($AK129=0,"",IF(INDEX(LookupData!T:T,$AK129)="","",INDEX(LookupData!T:T,$AK129))))</f>
        <v/>
      </c>
      <c r="U129" s="7" t="str">
        <f>IF($AK129="","",IF($AK129=0,"",IF(INDEX(LookupData!U:U,$AK129)="","",INDEX(LookupData!U:U,$AK129))))</f>
        <v/>
      </c>
      <c r="V129" s="7" t="str">
        <f>IF($AK129="","",IF($AK129=0,"",IF(INDEX(LookupData!V:V,$AK129)="","",INDEX(LookupData!V:V,$AK129))))</f>
        <v/>
      </c>
      <c r="W129" t="str">
        <f>IF($AK129="","",IF($AK129=0,"",IF(INDEX(LookupData!W:W,$AK129)="","",INDEX(LookupData!W:W,$AK129))))</f>
        <v/>
      </c>
      <c r="X129" s="7" t="str">
        <f>IF($AK129="","",IF($AK129=0,"",IF(INDEX(LookupData!X:X,$AK129)="","",INDEX(LookupData!X:X,$AK129))))</f>
        <v/>
      </c>
      <c r="Y129" s="7" t="str">
        <f>IF($AK129="","",IF($AK129=0,"",IF(INDEX(LookupData!Y:Y,$AK129)="","",INDEX(LookupData!Y:Y,$AK129))))</f>
        <v/>
      </c>
      <c r="Z129" s="7" t="str">
        <f>IF($AK129="","",IF($AK129=0,"",IF(INDEX(LookupData!Z:Z,$AK129)="","",INDEX(LookupData!Z:Z,$AK129))))</f>
        <v/>
      </c>
      <c r="AA129" s="7" t="str">
        <f>IF($AK129="","",IF($AK129=0,"",IF(INDEX(LookupData!AA:AA,$AK129)="","",INDEX(LookupData!AA:AA,$AK129))))</f>
        <v/>
      </c>
      <c r="AB129" s="7" t="str">
        <f>IF($AK129="","",IF($AK129=0,"",IF(INDEX(LookupData!AB:AB,$AK129)="","",INDEX(LookupData!AB:AB,$AK129))))</f>
        <v/>
      </c>
      <c r="AC129" s="7" t="str">
        <f>IF($AK129="","",IF($AK129=0,"",IF(INDEX(LookupData!AC:AC,$AK129)="","",INDEX(LookupData!AC:AC,$AK129))))</f>
        <v/>
      </c>
      <c r="AD129" s="7" t="str">
        <f>IF($AK129="","",IF($AK129=0,"",IF(INDEX(LookupData!AD:AD,$AK129)="","",INDEX(LookupData!AD:AD,$AK129))))</f>
        <v/>
      </c>
      <c r="AE129" s="7" t="str">
        <f>IF($AK129="","",IF($AK129=0,"",IF(INDEX(LookupData!AE:AE,$AK129)="","",INDEX(LookupData!AE:AE,$AK129))))</f>
        <v/>
      </c>
      <c r="AF129" t="str">
        <f>IF($AK129="","",IF($AK129=0,"",IF(INDEX(LookupData!AF:AF,$AK129)="","",INDEX(LookupData!AF:AF,$AK129))))</f>
        <v/>
      </c>
      <c r="AG129" t="str">
        <f>IF($AK129="","",IF($AK129=0,"",IF(INDEX(LookupData!AG:AG,$AK129)="","",INDEX(LookupData!AG:AG,$AK129))))</f>
        <v/>
      </c>
      <c r="AH129" s="11" t="str">
        <f>IF($AK129="","",IF($AK129=0,"",IF(INDEX(LookupData!AH:AH,$AK129)="","",INDEX(LookupData!AH:AH,$AK129))))</f>
        <v/>
      </c>
      <c r="AI129" s="12" t="str">
        <f>IF($AK129="","",IF($AK129=0,"",IF(INDEX(LookupData!AI:AI,$AK129)="","",HYPERLINK(INDEX(LookupData!AI:AI,$AK129),"Open"))))</f>
        <v/>
      </c>
      <c r="AK129" t="str">
        <f>IF(AL129="","",IFERROR(MATCH(AL129,LookupData!$A:$A,0),0))</f>
        <v/>
      </c>
      <c r="AL129" t="str">
        <f t="shared" si="6"/>
        <v/>
      </c>
      <c r="AM129" t="str">
        <f t="shared" si="7"/>
        <v/>
      </c>
    </row>
    <row r="130" spans="1:39" x14ac:dyDescent="0.2">
      <c r="A130" s="9"/>
      <c r="B130" s="10" t="str">
        <f>IF($AK130="","",IF($AK130=0,"not in the database",IF(INDEX(LookupData!B:B,$AK130)="","",INDEX(LookupData!B:B,$AK130))))</f>
        <v/>
      </c>
      <c r="C130" t="str">
        <f>IF($AK130="","",IF($AK130=0,"",IF(INDEX(LookupData!C:C,$AK130)="","",INDEX(LookupData!C:C,$AK130))))</f>
        <v/>
      </c>
      <c r="D130" t="str">
        <f>IF($AK130="","",IF($AK130=0,"",IF(INDEX(LookupData!D:D,$AK130)="","",INDEX(LookupData!D:D,$AK130))))</f>
        <v/>
      </c>
      <c r="E130" t="str">
        <f>IF($AK130="","",IF($AK130=0,"",IF(INDEX(LookupData!E:E,$AK130)="","",INDEX(LookupData!E:E,$AK130))))</f>
        <v/>
      </c>
      <c r="F130" t="str">
        <f>IF($AK130="","",IF($AK130=0,"",IF(INDEX(LookupData!F:F,$AK130)="","",INDEX(LookupData!F:F,$AK130))))</f>
        <v/>
      </c>
      <c r="G130" t="str">
        <f>IF($AK130="","",IF($AK130=0,"",IF(INDEX(LookupData!G:G,$AK130)="","",INDEX(LookupData!G:G,$AK130))))</f>
        <v/>
      </c>
      <c r="H130" t="str">
        <f>IF($AK130="","",IF($AK130=0,"",IF(INDEX(LookupData!H:H,$AK130)="","",INDEX(LookupData!H:H,$AK130))))</f>
        <v/>
      </c>
      <c r="I130" s="7" t="str">
        <f>IF($AK130="","",IF($AK130=0,"",IF(INDEX(LookupData!I:I,$AK130)="","",INDEX(LookupData!I:I,$AK130))))</f>
        <v/>
      </c>
      <c r="J130" s="7" t="str">
        <f>IF($AK130="","",IF($AK130=0,"",IF(INDEX(LookupData!J:J,$AK130)="","",INDEX(LookupData!J:J,$AK130))))</f>
        <v/>
      </c>
      <c r="K130" s="7" t="str">
        <f>IF($AK130="","",IF($AK130=0,"",IF(INDEX(LookupData!K:K,$AK130)="","",INDEX(LookupData!K:K,$AK130))))</f>
        <v/>
      </c>
      <c r="L130" s="7" t="str">
        <f>IF($AK130="","",IF($AK130=0,"",IF(INDEX(LookupData!L:L,$AK130)="","",INDEX(LookupData!L:L,$AK130))))</f>
        <v/>
      </c>
      <c r="M130" s="7" t="str">
        <f>IF($AK130="","",IF($AK130=0,"",IF(INDEX(LookupData!M:M,$AK130)="","",INDEX(LookupData!M:M,$AK130))))</f>
        <v/>
      </c>
      <c r="N130" s="7" t="str">
        <f>IF($AK130="","",IF($AK130=0,"",IF(INDEX(LookupData!N:N,$AK130)="","",INDEX(LookupData!N:N,$AK130))))</f>
        <v/>
      </c>
      <c r="O130" s="7" t="str">
        <f>IF($AK130="","",IF($AK130=0,"",IF(INDEX(LookupData!O:O,$AK130)="","",INDEX(LookupData!O:O,$AK130))))</f>
        <v/>
      </c>
      <c r="P130" s="7" t="str">
        <f>IF($AK130="","",IF($AK130=0,"",IF(INDEX(LookupData!P:P,$AK130)="","",INDEX(LookupData!P:P,$AK130))))</f>
        <v/>
      </c>
      <c r="Q130" s="7" t="str">
        <f>IF($AK130="","",IF($AK130=0,"",IF(INDEX(LookupData!Q:Q,$AK130)="","",INDEX(LookupData!Q:Q,$AK130))))</f>
        <v/>
      </c>
      <c r="R130" s="7" t="str">
        <f>IF($AK130="","",IF($AK130=0,"",IF(INDEX(LookupData!R:R,$AK130)="","",INDEX(LookupData!R:R,$AK130))))</f>
        <v/>
      </c>
      <c r="S130" s="7" t="str">
        <f>IF($AK130="","",IF($AK130=0,"",IF(INDEX(LookupData!S:S,$AK130)="","",INDEX(LookupData!S:S,$AK130))))</f>
        <v/>
      </c>
      <c r="T130" s="7" t="str">
        <f>IF($AK130="","",IF($AK130=0,"",IF(INDEX(LookupData!T:T,$AK130)="","",INDEX(LookupData!T:T,$AK130))))</f>
        <v/>
      </c>
      <c r="U130" s="7" t="str">
        <f>IF($AK130="","",IF($AK130=0,"",IF(INDEX(LookupData!U:U,$AK130)="","",INDEX(LookupData!U:U,$AK130))))</f>
        <v/>
      </c>
      <c r="V130" s="7" t="str">
        <f>IF($AK130="","",IF($AK130=0,"",IF(INDEX(LookupData!V:V,$AK130)="","",INDEX(LookupData!V:V,$AK130))))</f>
        <v/>
      </c>
      <c r="W130" t="str">
        <f>IF($AK130="","",IF($AK130=0,"",IF(INDEX(LookupData!W:W,$AK130)="","",INDEX(LookupData!W:W,$AK130))))</f>
        <v/>
      </c>
      <c r="X130" s="7" t="str">
        <f>IF($AK130="","",IF($AK130=0,"",IF(INDEX(LookupData!X:X,$AK130)="","",INDEX(LookupData!X:X,$AK130))))</f>
        <v/>
      </c>
      <c r="Y130" s="7" t="str">
        <f>IF($AK130="","",IF($AK130=0,"",IF(INDEX(LookupData!Y:Y,$AK130)="","",INDEX(LookupData!Y:Y,$AK130))))</f>
        <v/>
      </c>
      <c r="Z130" s="7" t="str">
        <f>IF($AK130="","",IF($AK130=0,"",IF(INDEX(LookupData!Z:Z,$AK130)="","",INDEX(LookupData!Z:Z,$AK130))))</f>
        <v/>
      </c>
      <c r="AA130" s="7" t="str">
        <f>IF($AK130="","",IF($AK130=0,"",IF(INDEX(LookupData!AA:AA,$AK130)="","",INDEX(LookupData!AA:AA,$AK130))))</f>
        <v/>
      </c>
      <c r="AB130" s="7" t="str">
        <f>IF($AK130="","",IF($AK130=0,"",IF(INDEX(LookupData!AB:AB,$AK130)="","",INDEX(LookupData!AB:AB,$AK130))))</f>
        <v/>
      </c>
      <c r="AC130" s="7" t="str">
        <f>IF($AK130="","",IF($AK130=0,"",IF(INDEX(LookupData!AC:AC,$AK130)="","",INDEX(LookupData!AC:AC,$AK130))))</f>
        <v/>
      </c>
      <c r="AD130" s="7" t="str">
        <f>IF($AK130="","",IF($AK130=0,"",IF(INDEX(LookupData!AD:AD,$AK130)="","",INDEX(LookupData!AD:AD,$AK130))))</f>
        <v/>
      </c>
      <c r="AE130" s="7" t="str">
        <f>IF($AK130="","",IF($AK130=0,"",IF(INDEX(LookupData!AE:AE,$AK130)="","",INDEX(LookupData!AE:AE,$AK130))))</f>
        <v/>
      </c>
      <c r="AF130" t="str">
        <f>IF($AK130="","",IF($AK130=0,"",IF(INDEX(LookupData!AF:AF,$AK130)="","",INDEX(LookupData!AF:AF,$AK130))))</f>
        <v/>
      </c>
      <c r="AG130" t="str">
        <f>IF($AK130="","",IF($AK130=0,"",IF(INDEX(LookupData!AG:AG,$AK130)="","",INDEX(LookupData!AG:AG,$AK130))))</f>
        <v/>
      </c>
      <c r="AH130" s="11" t="str">
        <f>IF($AK130="","",IF($AK130=0,"",IF(INDEX(LookupData!AH:AH,$AK130)="","",INDEX(LookupData!AH:AH,$AK130))))</f>
        <v/>
      </c>
      <c r="AI130" s="12" t="str">
        <f>IF($AK130="","",IF($AK130=0,"",IF(INDEX(LookupData!AI:AI,$AK130)="","",HYPERLINK(INDEX(LookupData!AI:AI,$AK130),"Open"))))</f>
        <v/>
      </c>
      <c r="AK130" t="str">
        <f>IF(AL130="","",IFERROR(MATCH(AL130,LookupData!$A:$A,0),0))</f>
        <v/>
      </c>
      <c r="AL130" t="str">
        <f t="shared" ref="AL130:AL161" si="8">IF(TRIM($A130)="","",UPPER(TRIM($A130)))</f>
        <v/>
      </c>
      <c r="AM130" t="str">
        <f t="shared" si="7"/>
        <v/>
      </c>
    </row>
    <row r="131" spans="1:39" x14ac:dyDescent="0.2">
      <c r="A131" s="9"/>
      <c r="B131" s="10" t="str">
        <f>IF($AK131="","",IF($AK131=0,"not in the database",IF(INDEX(LookupData!B:B,$AK131)="","",INDEX(LookupData!B:B,$AK131))))</f>
        <v/>
      </c>
      <c r="C131" t="str">
        <f>IF($AK131="","",IF($AK131=0,"",IF(INDEX(LookupData!C:C,$AK131)="","",INDEX(LookupData!C:C,$AK131))))</f>
        <v/>
      </c>
      <c r="D131" t="str">
        <f>IF($AK131="","",IF($AK131=0,"",IF(INDEX(LookupData!D:D,$AK131)="","",INDEX(LookupData!D:D,$AK131))))</f>
        <v/>
      </c>
      <c r="E131" t="str">
        <f>IF($AK131="","",IF($AK131=0,"",IF(INDEX(LookupData!E:E,$AK131)="","",INDEX(LookupData!E:E,$AK131))))</f>
        <v/>
      </c>
      <c r="F131" t="str">
        <f>IF($AK131="","",IF($AK131=0,"",IF(INDEX(LookupData!F:F,$AK131)="","",INDEX(LookupData!F:F,$AK131))))</f>
        <v/>
      </c>
      <c r="G131" t="str">
        <f>IF($AK131="","",IF($AK131=0,"",IF(INDEX(LookupData!G:G,$AK131)="","",INDEX(LookupData!G:G,$AK131))))</f>
        <v/>
      </c>
      <c r="H131" t="str">
        <f>IF($AK131="","",IF($AK131=0,"",IF(INDEX(LookupData!H:H,$AK131)="","",INDEX(LookupData!H:H,$AK131))))</f>
        <v/>
      </c>
      <c r="I131" s="7" t="str">
        <f>IF($AK131="","",IF($AK131=0,"",IF(INDEX(LookupData!I:I,$AK131)="","",INDEX(LookupData!I:I,$AK131))))</f>
        <v/>
      </c>
      <c r="J131" s="7" t="str">
        <f>IF($AK131="","",IF($AK131=0,"",IF(INDEX(LookupData!J:J,$AK131)="","",INDEX(LookupData!J:J,$AK131))))</f>
        <v/>
      </c>
      <c r="K131" s="7" t="str">
        <f>IF($AK131="","",IF($AK131=0,"",IF(INDEX(LookupData!K:K,$AK131)="","",INDEX(LookupData!K:K,$AK131))))</f>
        <v/>
      </c>
      <c r="L131" s="7" t="str">
        <f>IF($AK131="","",IF($AK131=0,"",IF(INDEX(LookupData!L:L,$AK131)="","",INDEX(LookupData!L:L,$AK131))))</f>
        <v/>
      </c>
      <c r="M131" s="7" t="str">
        <f>IF($AK131="","",IF($AK131=0,"",IF(INDEX(LookupData!M:M,$AK131)="","",INDEX(LookupData!M:M,$AK131))))</f>
        <v/>
      </c>
      <c r="N131" s="7" t="str">
        <f>IF($AK131="","",IF($AK131=0,"",IF(INDEX(LookupData!N:N,$AK131)="","",INDEX(LookupData!N:N,$AK131))))</f>
        <v/>
      </c>
      <c r="O131" s="7" t="str">
        <f>IF($AK131="","",IF($AK131=0,"",IF(INDEX(LookupData!O:O,$AK131)="","",INDEX(LookupData!O:O,$AK131))))</f>
        <v/>
      </c>
      <c r="P131" s="7" t="str">
        <f>IF($AK131="","",IF($AK131=0,"",IF(INDEX(LookupData!P:P,$AK131)="","",INDEX(LookupData!P:P,$AK131))))</f>
        <v/>
      </c>
      <c r="Q131" s="7" t="str">
        <f>IF($AK131="","",IF($AK131=0,"",IF(INDEX(LookupData!Q:Q,$AK131)="","",INDEX(LookupData!Q:Q,$AK131))))</f>
        <v/>
      </c>
      <c r="R131" s="7" t="str">
        <f>IF($AK131="","",IF($AK131=0,"",IF(INDEX(LookupData!R:R,$AK131)="","",INDEX(LookupData!R:R,$AK131))))</f>
        <v/>
      </c>
      <c r="S131" s="7" t="str">
        <f>IF($AK131="","",IF($AK131=0,"",IF(INDEX(LookupData!S:S,$AK131)="","",INDEX(LookupData!S:S,$AK131))))</f>
        <v/>
      </c>
      <c r="T131" s="7" t="str">
        <f>IF($AK131="","",IF($AK131=0,"",IF(INDEX(LookupData!T:T,$AK131)="","",INDEX(LookupData!T:T,$AK131))))</f>
        <v/>
      </c>
      <c r="U131" s="7" t="str">
        <f>IF($AK131="","",IF($AK131=0,"",IF(INDEX(LookupData!U:U,$AK131)="","",INDEX(LookupData!U:U,$AK131))))</f>
        <v/>
      </c>
      <c r="V131" s="7" t="str">
        <f>IF($AK131="","",IF($AK131=0,"",IF(INDEX(LookupData!V:V,$AK131)="","",INDEX(LookupData!V:V,$AK131))))</f>
        <v/>
      </c>
      <c r="W131" t="str">
        <f>IF($AK131="","",IF($AK131=0,"",IF(INDEX(LookupData!W:W,$AK131)="","",INDEX(LookupData!W:W,$AK131))))</f>
        <v/>
      </c>
      <c r="X131" s="7" t="str">
        <f>IF($AK131="","",IF($AK131=0,"",IF(INDEX(LookupData!X:X,$AK131)="","",INDEX(LookupData!X:X,$AK131))))</f>
        <v/>
      </c>
      <c r="Y131" s="7" t="str">
        <f>IF($AK131="","",IF($AK131=0,"",IF(INDEX(LookupData!Y:Y,$AK131)="","",INDEX(LookupData!Y:Y,$AK131))))</f>
        <v/>
      </c>
      <c r="Z131" s="7" t="str">
        <f>IF($AK131="","",IF($AK131=0,"",IF(INDEX(LookupData!Z:Z,$AK131)="","",INDEX(LookupData!Z:Z,$AK131))))</f>
        <v/>
      </c>
      <c r="AA131" s="7" t="str">
        <f>IF($AK131="","",IF($AK131=0,"",IF(INDEX(LookupData!AA:AA,$AK131)="","",INDEX(LookupData!AA:AA,$AK131))))</f>
        <v/>
      </c>
      <c r="AB131" s="7" t="str">
        <f>IF($AK131="","",IF($AK131=0,"",IF(INDEX(LookupData!AB:AB,$AK131)="","",INDEX(LookupData!AB:AB,$AK131))))</f>
        <v/>
      </c>
      <c r="AC131" s="7" t="str">
        <f>IF($AK131="","",IF($AK131=0,"",IF(INDEX(LookupData!AC:AC,$AK131)="","",INDEX(LookupData!AC:AC,$AK131))))</f>
        <v/>
      </c>
      <c r="AD131" s="7" t="str">
        <f>IF($AK131="","",IF($AK131=0,"",IF(INDEX(LookupData!AD:AD,$AK131)="","",INDEX(LookupData!AD:AD,$AK131))))</f>
        <v/>
      </c>
      <c r="AE131" s="7" t="str">
        <f>IF($AK131="","",IF($AK131=0,"",IF(INDEX(LookupData!AE:AE,$AK131)="","",INDEX(LookupData!AE:AE,$AK131))))</f>
        <v/>
      </c>
      <c r="AF131" t="str">
        <f>IF($AK131="","",IF($AK131=0,"",IF(INDEX(LookupData!AF:AF,$AK131)="","",INDEX(LookupData!AF:AF,$AK131))))</f>
        <v/>
      </c>
      <c r="AG131" t="str">
        <f>IF($AK131="","",IF($AK131=0,"",IF(INDEX(LookupData!AG:AG,$AK131)="","",INDEX(LookupData!AG:AG,$AK131))))</f>
        <v/>
      </c>
      <c r="AH131" s="11" t="str">
        <f>IF($AK131="","",IF($AK131=0,"",IF(INDEX(LookupData!AH:AH,$AK131)="","",INDEX(LookupData!AH:AH,$AK131))))</f>
        <v/>
      </c>
      <c r="AI131" s="12" t="str">
        <f>IF($AK131="","",IF($AK131=0,"",IF(INDEX(LookupData!AI:AI,$AK131)="","",HYPERLINK(INDEX(LookupData!AI:AI,$AK131),"Open"))))</f>
        <v/>
      </c>
      <c r="AK131" t="str">
        <f>IF(AL131="","",IFERROR(MATCH(AL131,LookupData!$A:$A,0),0))</f>
        <v/>
      </c>
      <c r="AL131" t="str">
        <f t="shared" si="8"/>
        <v/>
      </c>
      <c r="AM131" t="str">
        <f t="shared" ref="AM131:AM162" si="9">IF(AL131="",AM130,IF(AM130="",AL131,AM130&amp;"|"&amp;AL131))</f>
        <v/>
      </c>
    </row>
    <row r="132" spans="1:39" x14ac:dyDescent="0.2">
      <c r="A132" s="9"/>
      <c r="B132" s="10" t="str">
        <f>IF($AK132="","",IF($AK132=0,"not in the database",IF(INDEX(LookupData!B:B,$AK132)="","",INDEX(LookupData!B:B,$AK132))))</f>
        <v/>
      </c>
      <c r="C132" t="str">
        <f>IF($AK132="","",IF($AK132=0,"",IF(INDEX(LookupData!C:C,$AK132)="","",INDEX(LookupData!C:C,$AK132))))</f>
        <v/>
      </c>
      <c r="D132" t="str">
        <f>IF($AK132="","",IF($AK132=0,"",IF(INDEX(LookupData!D:D,$AK132)="","",INDEX(LookupData!D:D,$AK132))))</f>
        <v/>
      </c>
      <c r="E132" t="str">
        <f>IF($AK132="","",IF($AK132=0,"",IF(INDEX(LookupData!E:E,$AK132)="","",INDEX(LookupData!E:E,$AK132))))</f>
        <v/>
      </c>
      <c r="F132" t="str">
        <f>IF($AK132="","",IF($AK132=0,"",IF(INDEX(LookupData!F:F,$AK132)="","",INDEX(LookupData!F:F,$AK132))))</f>
        <v/>
      </c>
      <c r="G132" t="str">
        <f>IF($AK132="","",IF($AK132=0,"",IF(INDEX(LookupData!G:G,$AK132)="","",INDEX(LookupData!G:G,$AK132))))</f>
        <v/>
      </c>
      <c r="H132" t="str">
        <f>IF($AK132="","",IF($AK132=0,"",IF(INDEX(LookupData!H:H,$AK132)="","",INDEX(LookupData!H:H,$AK132))))</f>
        <v/>
      </c>
      <c r="I132" s="7" t="str">
        <f>IF($AK132="","",IF($AK132=0,"",IF(INDEX(LookupData!I:I,$AK132)="","",INDEX(LookupData!I:I,$AK132))))</f>
        <v/>
      </c>
      <c r="J132" s="7" t="str">
        <f>IF($AK132="","",IF($AK132=0,"",IF(INDEX(LookupData!J:J,$AK132)="","",INDEX(LookupData!J:J,$AK132))))</f>
        <v/>
      </c>
      <c r="K132" s="7" t="str">
        <f>IF($AK132="","",IF($AK132=0,"",IF(INDEX(LookupData!K:K,$AK132)="","",INDEX(LookupData!K:K,$AK132))))</f>
        <v/>
      </c>
      <c r="L132" s="7" t="str">
        <f>IF($AK132="","",IF($AK132=0,"",IF(INDEX(LookupData!L:L,$AK132)="","",INDEX(LookupData!L:L,$AK132))))</f>
        <v/>
      </c>
      <c r="M132" s="7" t="str">
        <f>IF($AK132="","",IF($AK132=0,"",IF(INDEX(LookupData!M:M,$AK132)="","",INDEX(LookupData!M:M,$AK132))))</f>
        <v/>
      </c>
      <c r="N132" s="7" t="str">
        <f>IF($AK132="","",IF($AK132=0,"",IF(INDEX(LookupData!N:N,$AK132)="","",INDEX(LookupData!N:N,$AK132))))</f>
        <v/>
      </c>
      <c r="O132" s="7" t="str">
        <f>IF($AK132="","",IF($AK132=0,"",IF(INDEX(LookupData!O:O,$AK132)="","",INDEX(LookupData!O:O,$AK132))))</f>
        <v/>
      </c>
      <c r="P132" s="7" t="str">
        <f>IF($AK132="","",IF($AK132=0,"",IF(INDEX(LookupData!P:P,$AK132)="","",INDEX(LookupData!P:P,$AK132))))</f>
        <v/>
      </c>
      <c r="Q132" s="7" t="str">
        <f>IF($AK132="","",IF($AK132=0,"",IF(INDEX(LookupData!Q:Q,$AK132)="","",INDEX(LookupData!Q:Q,$AK132))))</f>
        <v/>
      </c>
      <c r="R132" s="7" t="str">
        <f>IF($AK132="","",IF($AK132=0,"",IF(INDEX(LookupData!R:R,$AK132)="","",INDEX(LookupData!R:R,$AK132))))</f>
        <v/>
      </c>
      <c r="S132" s="7" t="str">
        <f>IF($AK132="","",IF($AK132=0,"",IF(INDEX(LookupData!S:S,$AK132)="","",INDEX(LookupData!S:S,$AK132))))</f>
        <v/>
      </c>
      <c r="T132" s="7" t="str">
        <f>IF($AK132="","",IF($AK132=0,"",IF(INDEX(LookupData!T:T,$AK132)="","",INDEX(LookupData!T:T,$AK132))))</f>
        <v/>
      </c>
      <c r="U132" s="7" t="str">
        <f>IF($AK132="","",IF($AK132=0,"",IF(INDEX(LookupData!U:U,$AK132)="","",INDEX(LookupData!U:U,$AK132))))</f>
        <v/>
      </c>
      <c r="V132" s="7" t="str">
        <f>IF($AK132="","",IF($AK132=0,"",IF(INDEX(LookupData!V:V,$AK132)="","",INDEX(LookupData!V:V,$AK132))))</f>
        <v/>
      </c>
      <c r="W132" t="str">
        <f>IF($AK132="","",IF($AK132=0,"",IF(INDEX(LookupData!W:W,$AK132)="","",INDEX(LookupData!W:W,$AK132))))</f>
        <v/>
      </c>
      <c r="X132" s="7" t="str">
        <f>IF($AK132="","",IF($AK132=0,"",IF(INDEX(LookupData!X:X,$AK132)="","",INDEX(LookupData!X:X,$AK132))))</f>
        <v/>
      </c>
      <c r="Y132" s="7" t="str">
        <f>IF($AK132="","",IF($AK132=0,"",IF(INDEX(LookupData!Y:Y,$AK132)="","",INDEX(LookupData!Y:Y,$AK132))))</f>
        <v/>
      </c>
      <c r="Z132" s="7" t="str">
        <f>IF($AK132="","",IF($AK132=0,"",IF(INDEX(LookupData!Z:Z,$AK132)="","",INDEX(LookupData!Z:Z,$AK132))))</f>
        <v/>
      </c>
      <c r="AA132" s="7" t="str">
        <f>IF($AK132="","",IF($AK132=0,"",IF(INDEX(LookupData!AA:AA,$AK132)="","",INDEX(LookupData!AA:AA,$AK132))))</f>
        <v/>
      </c>
      <c r="AB132" s="7" t="str">
        <f>IF($AK132="","",IF($AK132=0,"",IF(INDEX(LookupData!AB:AB,$AK132)="","",INDEX(LookupData!AB:AB,$AK132))))</f>
        <v/>
      </c>
      <c r="AC132" s="7" t="str">
        <f>IF($AK132="","",IF($AK132=0,"",IF(INDEX(LookupData!AC:AC,$AK132)="","",INDEX(LookupData!AC:AC,$AK132))))</f>
        <v/>
      </c>
      <c r="AD132" s="7" t="str">
        <f>IF($AK132="","",IF($AK132=0,"",IF(INDEX(LookupData!AD:AD,$AK132)="","",INDEX(LookupData!AD:AD,$AK132))))</f>
        <v/>
      </c>
      <c r="AE132" s="7" t="str">
        <f>IF($AK132="","",IF($AK132=0,"",IF(INDEX(LookupData!AE:AE,$AK132)="","",INDEX(LookupData!AE:AE,$AK132))))</f>
        <v/>
      </c>
      <c r="AF132" t="str">
        <f>IF($AK132="","",IF($AK132=0,"",IF(INDEX(LookupData!AF:AF,$AK132)="","",INDEX(LookupData!AF:AF,$AK132))))</f>
        <v/>
      </c>
      <c r="AG132" t="str">
        <f>IF($AK132="","",IF($AK132=0,"",IF(INDEX(LookupData!AG:AG,$AK132)="","",INDEX(LookupData!AG:AG,$AK132))))</f>
        <v/>
      </c>
      <c r="AH132" s="11" t="str">
        <f>IF($AK132="","",IF($AK132=0,"",IF(INDEX(LookupData!AH:AH,$AK132)="","",INDEX(LookupData!AH:AH,$AK132))))</f>
        <v/>
      </c>
      <c r="AI132" s="12" t="str">
        <f>IF($AK132="","",IF($AK132=0,"",IF(INDEX(LookupData!AI:AI,$AK132)="","",HYPERLINK(INDEX(LookupData!AI:AI,$AK132),"Open"))))</f>
        <v/>
      </c>
      <c r="AK132" t="str">
        <f>IF(AL132="","",IFERROR(MATCH(AL132,LookupData!$A:$A,0),0))</f>
        <v/>
      </c>
      <c r="AL132" t="str">
        <f t="shared" si="8"/>
        <v/>
      </c>
      <c r="AM132" t="str">
        <f t="shared" si="9"/>
        <v/>
      </c>
    </row>
    <row r="133" spans="1:39" x14ac:dyDescent="0.2">
      <c r="A133" s="9"/>
      <c r="B133" s="10" t="str">
        <f>IF($AK133="","",IF($AK133=0,"not in the database",IF(INDEX(LookupData!B:B,$AK133)="","",INDEX(LookupData!B:B,$AK133))))</f>
        <v/>
      </c>
      <c r="C133" t="str">
        <f>IF($AK133="","",IF($AK133=0,"",IF(INDEX(LookupData!C:C,$AK133)="","",INDEX(LookupData!C:C,$AK133))))</f>
        <v/>
      </c>
      <c r="D133" t="str">
        <f>IF($AK133="","",IF($AK133=0,"",IF(INDEX(LookupData!D:D,$AK133)="","",INDEX(LookupData!D:D,$AK133))))</f>
        <v/>
      </c>
      <c r="E133" t="str">
        <f>IF($AK133="","",IF($AK133=0,"",IF(INDEX(LookupData!E:E,$AK133)="","",INDEX(LookupData!E:E,$AK133))))</f>
        <v/>
      </c>
      <c r="F133" t="str">
        <f>IF($AK133="","",IF($AK133=0,"",IF(INDEX(LookupData!F:F,$AK133)="","",INDEX(LookupData!F:F,$AK133))))</f>
        <v/>
      </c>
      <c r="G133" t="str">
        <f>IF($AK133="","",IF($AK133=0,"",IF(INDEX(LookupData!G:G,$AK133)="","",INDEX(LookupData!G:G,$AK133))))</f>
        <v/>
      </c>
      <c r="H133" t="str">
        <f>IF($AK133="","",IF($AK133=0,"",IF(INDEX(LookupData!H:H,$AK133)="","",INDEX(LookupData!H:H,$AK133))))</f>
        <v/>
      </c>
      <c r="I133" s="7" t="str">
        <f>IF($AK133="","",IF($AK133=0,"",IF(INDEX(LookupData!I:I,$AK133)="","",INDEX(LookupData!I:I,$AK133))))</f>
        <v/>
      </c>
      <c r="J133" s="7" t="str">
        <f>IF($AK133="","",IF($AK133=0,"",IF(INDEX(LookupData!J:J,$AK133)="","",INDEX(LookupData!J:J,$AK133))))</f>
        <v/>
      </c>
      <c r="K133" s="7" t="str">
        <f>IF($AK133="","",IF($AK133=0,"",IF(INDEX(LookupData!K:K,$AK133)="","",INDEX(LookupData!K:K,$AK133))))</f>
        <v/>
      </c>
      <c r="L133" s="7" t="str">
        <f>IF($AK133="","",IF($AK133=0,"",IF(INDEX(LookupData!L:L,$AK133)="","",INDEX(LookupData!L:L,$AK133))))</f>
        <v/>
      </c>
      <c r="M133" s="7" t="str">
        <f>IF($AK133="","",IF($AK133=0,"",IF(INDEX(LookupData!M:M,$AK133)="","",INDEX(LookupData!M:M,$AK133))))</f>
        <v/>
      </c>
      <c r="N133" s="7" t="str">
        <f>IF($AK133="","",IF($AK133=0,"",IF(INDEX(LookupData!N:N,$AK133)="","",INDEX(LookupData!N:N,$AK133))))</f>
        <v/>
      </c>
      <c r="O133" s="7" t="str">
        <f>IF($AK133="","",IF($AK133=0,"",IF(INDEX(LookupData!O:O,$AK133)="","",INDEX(LookupData!O:O,$AK133))))</f>
        <v/>
      </c>
      <c r="P133" s="7" t="str">
        <f>IF($AK133="","",IF($AK133=0,"",IF(INDEX(LookupData!P:P,$AK133)="","",INDEX(LookupData!P:P,$AK133))))</f>
        <v/>
      </c>
      <c r="Q133" s="7" t="str">
        <f>IF($AK133="","",IF($AK133=0,"",IF(INDEX(LookupData!Q:Q,$AK133)="","",INDEX(LookupData!Q:Q,$AK133))))</f>
        <v/>
      </c>
      <c r="R133" s="7" t="str">
        <f>IF($AK133="","",IF($AK133=0,"",IF(INDEX(LookupData!R:R,$AK133)="","",INDEX(LookupData!R:R,$AK133))))</f>
        <v/>
      </c>
      <c r="S133" s="7" t="str">
        <f>IF($AK133="","",IF($AK133=0,"",IF(INDEX(LookupData!S:S,$AK133)="","",INDEX(LookupData!S:S,$AK133))))</f>
        <v/>
      </c>
      <c r="T133" s="7" t="str">
        <f>IF($AK133="","",IF($AK133=0,"",IF(INDEX(LookupData!T:T,$AK133)="","",INDEX(LookupData!T:T,$AK133))))</f>
        <v/>
      </c>
      <c r="U133" s="7" t="str">
        <f>IF($AK133="","",IF($AK133=0,"",IF(INDEX(LookupData!U:U,$AK133)="","",INDEX(LookupData!U:U,$AK133))))</f>
        <v/>
      </c>
      <c r="V133" s="7" t="str">
        <f>IF($AK133="","",IF($AK133=0,"",IF(INDEX(LookupData!V:V,$AK133)="","",INDEX(LookupData!V:V,$AK133))))</f>
        <v/>
      </c>
      <c r="W133" t="str">
        <f>IF($AK133="","",IF($AK133=0,"",IF(INDEX(LookupData!W:W,$AK133)="","",INDEX(LookupData!W:W,$AK133))))</f>
        <v/>
      </c>
      <c r="X133" s="7" t="str">
        <f>IF($AK133="","",IF($AK133=0,"",IF(INDEX(LookupData!X:X,$AK133)="","",INDEX(LookupData!X:X,$AK133))))</f>
        <v/>
      </c>
      <c r="Y133" s="7" t="str">
        <f>IF($AK133="","",IF($AK133=0,"",IF(INDEX(LookupData!Y:Y,$AK133)="","",INDEX(LookupData!Y:Y,$AK133))))</f>
        <v/>
      </c>
      <c r="Z133" s="7" t="str">
        <f>IF($AK133="","",IF($AK133=0,"",IF(INDEX(LookupData!Z:Z,$AK133)="","",INDEX(LookupData!Z:Z,$AK133))))</f>
        <v/>
      </c>
      <c r="AA133" s="7" t="str">
        <f>IF($AK133="","",IF($AK133=0,"",IF(INDEX(LookupData!AA:AA,$AK133)="","",INDEX(LookupData!AA:AA,$AK133))))</f>
        <v/>
      </c>
      <c r="AB133" s="7" t="str">
        <f>IF($AK133="","",IF($AK133=0,"",IF(INDEX(LookupData!AB:AB,$AK133)="","",INDEX(LookupData!AB:AB,$AK133))))</f>
        <v/>
      </c>
      <c r="AC133" s="7" t="str">
        <f>IF($AK133="","",IF($AK133=0,"",IF(INDEX(LookupData!AC:AC,$AK133)="","",INDEX(LookupData!AC:AC,$AK133))))</f>
        <v/>
      </c>
      <c r="AD133" s="7" t="str">
        <f>IF($AK133="","",IF($AK133=0,"",IF(INDEX(LookupData!AD:AD,$AK133)="","",INDEX(LookupData!AD:AD,$AK133))))</f>
        <v/>
      </c>
      <c r="AE133" s="7" t="str">
        <f>IF($AK133="","",IF($AK133=0,"",IF(INDEX(LookupData!AE:AE,$AK133)="","",INDEX(LookupData!AE:AE,$AK133))))</f>
        <v/>
      </c>
      <c r="AF133" t="str">
        <f>IF($AK133="","",IF($AK133=0,"",IF(INDEX(LookupData!AF:AF,$AK133)="","",INDEX(LookupData!AF:AF,$AK133))))</f>
        <v/>
      </c>
      <c r="AG133" t="str">
        <f>IF($AK133="","",IF($AK133=0,"",IF(INDEX(LookupData!AG:AG,$AK133)="","",INDEX(LookupData!AG:AG,$AK133))))</f>
        <v/>
      </c>
      <c r="AH133" s="11" t="str">
        <f>IF($AK133="","",IF($AK133=0,"",IF(INDEX(LookupData!AH:AH,$AK133)="","",INDEX(LookupData!AH:AH,$AK133))))</f>
        <v/>
      </c>
      <c r="AI133" s="12" t="str">
        <f>IF($AK133="","",IF($AK133=0,"",IF(INDEX(LookupData!AI:AI,$AK133)="","",HYPERLINK(INDEX(LookupData!AI:AI,$AK133),"Open"))))</f>
        <v/>
      </c>
      <c r="AK133" t="str">
        <f>IF(AL133="","",IFERROR(MATCH(AL133,LookupData!$A:$A,0),0))</f>
        <v/>
      </c>
      <c r="AL133" t="str">
        <f t="shared" si="8"/>
        <v/>
      </c>
      <c r="AM133" t="str">
        <f t="shared" si="9"/>
        <v/>
      </c>
    </row>
    <row r="134" spans="1:39" x14ac:dyDescent="0.2">
      <c r="A134" s="9"/>
      <c r="B134" s="10" t="str">
        <f>IF($AK134="","",IF($AK134=0,"not in the database",IF(INDEX(LookupData!B:B,$AK134)="","",INDEX(LookupData!B:B,$AK134))))</f>
        <v/>
      </c>
      <c r="C134" t="str">
        <f>IF($AK134="","",IF($AK134=0,"",IF(INDEX(LookupData!C:C,$AK134)="","",INDEX(LookupData!C:C,$AK134))))</f>
        <v/>
      </c>
      <c r="D134" t="str">
        <f>IF($AK134="","",IF($AK134=0,"",IF(INDEX(LookupData!D:D,$AK134)="","",INDEX(LookupData!D:D,$AK134))))</f>
        <v/>
      </c>
      <c r="E134" t="str">
        <f>IF($AK134="","",IF($AK134=0,"",IF(INDEX(LookupData!E:E,$AK134)="","",INDEX(LookupData!E:E,$AK134))))</f>
        <v/>
      </c>
      <c r="F134" t="str">
        <f>IF($AK134="","",IF($AK134=0,"",IF(INDEX(LookupData!F:F,$AK134)="","",INDEX(LookupData!F:F,$AK134))))</f>
        <v/>
      </c>
      <c r="G134" t="str">
        <f>IF($AK134="","",IF($AK134=0,"",IF(INDEX(LookupData!G:G,$AK134)="","",INDEX(LookupData!G:G,$AK134))))</f>
        <v/>
      </c>
      <c r="H134" t="str">
        <f>IF($AK134="","",IF($AK134=0,"",IF(INDEX(LookupData!H:H,$AK134)="","",INDEX(LookupData!H:H,$AK134))))</f>
        <v/>
      </c>
      <c r="I134" s="7" t="str">
        <f>IF($AK134="","",IF($AK134=0,"",IF(INDEX(LookupData!I:I,$AK134)="","",INDEX(LookupData!I:I,$AK134))))</f>
        <v/>
      </c>
      <c r="J134" s="7" t="str">
        <f>IF($AK134="","",IF($AK134=0,"",IF(INDEX(LookupData!J:J,$AK134)="","",INDEX(LookupData!J:J,$AK134))))</f>
        <v/>
      </c>
      <c r="K134" s="7" t="str">
        <f>IF($AK134="","",IF($AK134=0,"",IF(INDEX(LookupData!K:K,$AK134)="","",INDEX(LookupData!K:K,$AK134))))</f>
        <v/>
      </c>
      <c r="L134" s="7" t="str">
        <f>IF($AK134="","",IF($AK134=0,"",IF(INDEX(LookupData!L:L,$AK134)="","",INDEX(LookupData!L:L,$AK134))))</f>
        <v/>
      </c>
      <c r="M134" s="7" t="str">
        <f>IF($AK134="","",IF($AK134=0,"",IF(INDEX(LookupData!M:M,$AK134)="","",INDEX(LookupData!M:M,$AK134))))</f>
        <v/>
      </c>
      <c r="N134" s="7" t="str">
        <f>IF($AK134="","",IF($AK134=0,"",IF(INDEX(LookupData!N:N,$AK134)="","",INDEX(LookupData!N:N,$AK134))))</f>
        <v/>
      </c>
      <c r="O134" s="7" t="str">
        <f>IF($AK134="","",IF($AK134=0,"",IF(INDEX(LookupData!O:O,$AK134)="","",INDEX(LookupData!O:O,$AK134))))</f>
        <v/>
      </c>
      <c r="P134" s="7" t="str">
        <f>IF($AK134="","",IF($AK134=0,"",IF(INDEX(LookupData!P:P,$AK134)="","",INDEX(LookupData!P:P,$AK134))))</f>
        <v/>
      </c>
      <c r="Q134" s="7" t="str">
        <f>IF($AK134="","",IF($AK134=0,"",IF(INDEX(LookupData!Q:Q,$AK134)="","",INDEX(LookupData!Q:Q,$AK134))))</f>
        <v/>
      </c>
      <c r="R134" s="7" t="str">
        <f>IF($AK134="","",IF($AK134=0,"",IF(INDEX(LookupData!R:R,$AK134)="","",INDEX(LookupData!R:R,$AK134))))</f>
        <v/>
      </c>
      <c r="S134" s="7" t="str">
        <f>IF($AK134="","",IF($AK134=0,"",IF(INDEX(LookupData!S:S,$AK134)="","",INDEX(LookupData!S:S,$AK134))))</f>
        <v/>
      </c>
      <c r="T134" s="7" t="str">
        <f>IF($AK134="","",IF($AK134=0,"",IF(INDEX(LookupData!T:T,$AK134)="","",INDEX(LookupData!T:T,$AK134))))</f>
        <v/>
      </c>
      <c r="U134" s="7" t="str">
        <f>IF($AK134="","",IF($AK134=0,"",IF(INDEX(LookupData!U:U,$AK134)="","",INDEX(LookupData!U:U,$AK134))))</f>
        <v/>
      </c>
      <c r="V134" s="7" t="str">
        <f>IF($AK134="","",IF($AK134=0,"",IF(INDEX(LookupData!V:V,$AK134)="","",INDEX(LookupData!V:V,$AK134))))</f>
        <v/>
      </c>
      <c r="W134" t="str">
        <f>IF($AK134="","",IF($AK134=0,"",IF(INDEX(LookupData!W:W,$AK134)="","",INDEX(LookupData!W:W,$AK134))))</f>
        <v/>
      </c>
      <c r="X134" s="7" t="str">
        <f>IF($AK134="","",IF($AK134=0,"",IF(INDEX(LookupData!X:X,$AK134)="","",INDEX(LookupData!X:X,$AK134))))</f>
        <v/>
      </c>
      <c r="Y134" s="7" t="str">
        <f>IF($AK134="","",IF($AK134=0,"",IF(INDEX(LookupData!Y:Y,$AK134)="","",INDEX(LookupData!Y:Y,$AK134))))</f>
        <v/>
      </c>
      <c r="Z134" s="7" t="str">
        <f>IF($AK134="","",IF($AK134=0,"",IF(INDEX(LookupData!Z:Z,$AK134)="","",INDEX(LookupData!Z:Z,$AK134))))</f>
        <v/>
      </c>
      <c r="AA134" s="7" t="str">
        <f>IF($AK134="","",IF($AK134=0,"",IF(INDEX(LookupData!AA:AA,$AK134)="","",INDEX(LookupData!AA:AA,$AK134))))</f>
        <v/>
      </c>
      <c r="AB134" s="7" t="str">
        <f>IF($AK134="","",IF($AK134=0,"",IF(INDEX(LookupData!AB:AB,$AK134)="","",INDEX(LookupData!AB:AB,$AK134))))</f>
        <v/>
      </c>
      <c r="AC134" s="7" t="str">
        <f>IF($AK134="","",IF($AK134=0,"",IF(INDEX(LookupData!AC:AC,$AK134)="","",INDEX(LookupData!AC:AC,$AK134))))</f>
        <v/>
      </c>
      <c r="AD134" s="7" t="str">
        <f>IF($AK134="","",IF($AK134=0,"",IF(INDEX(LookupData!AD:AD,$AK134)="","",INDEX(LookupData!AD:AD,$AK134))))</f>
        <v/>
      </c>
      <c r="AE134" s="7" t="str">
        <f>IF($AK134="","",IF($AK134=0,"",IF(INDEX(LookupData!AE:AE,$AK134)="","",INDEX(LookupData!AE:AE,$AK134))))</f>
        <v/>
      </c>
      <c r="AF134" t="str">
        <f>IF($AK134="","",IF($AK134=0,"",IF(INDEX(LookupData!AF:AF,$AK134)="","",INDEX(LookupData!AF:AF,$AK134))))</f>
        <v/>
      </c>
      <c r="AG134" t="str">
        <f>IF($AK134="","",IF($AK134=0,"",IF(INDEX(LookupData!AG:AG,$AK134)="","",INDEX(LookupData!AG:AG,$AK134))))</f>
        <v/>
      </c>
      <c r="AH134" s="11" t="str">
        <f>IF($AK134="","",IF($AK134=0,"",IF(INDEX(LookupData!AH:AH,$AK134)="","",INDEX(LookupData!AH:AH,$AK134))))</f>
        <v/>
      </c>
      <c r="AI134" s="12" t="str">
        <f>IF($AK134="","",IF($AK134=0,"",IF(INDEX(LookupData!AI:AI,$AK134)="","",HYPERLINK(INDEX(LookupData!AI:AI,$AK134),"Open"))))</f>
        <v/>
      </c>
      <c r="AK134" t="str">
        <f>IF(AL134="","",IFERROR(MATCH(AL134,LookupData!$A:$A,0),0))</f>
        <v/>
      </c>
      <c r="AL134" t="str">
        <f t="shared" si="8"/>
        <v/>
      </c>
      <c r="AM134" t="str">
        <f t="shared" si="9"/>
        <v/>
      </c>
    </row>
    <row r="135" spans="1:39" x14ac:dyDescent="0.2">
      <c r="A135" s="9"/>
      <c r="B135" s="10" t="str">
        <f>IF($AK135="","",IF($AK135=0,"not in the database",IF(INDEX(LookupData!B:B,$AK135)="","",INDEX(LookupData!B:B,$AK135))))</f>
        <v/>
      </c>
      <c r="C135" t="str">
        <f>IF($AK135="","",IF($AK135=0,"",IF(INDEX(LookupData!C:C,$AK135)="","",INDEX(LookupData!C:C,$AK135))))</f>
        <v/>
      </c>
      <c r="D135" t="str">
        <f>IF($AK135="","",IF($AK135=0,"",IF(INDEX(LookupData!D:D,$AK135)="","",INDEX(LookupData!D:D,$AK135))))</f>
        <v/>
      </c>
      <c r="E135" t="str">
        <f>IF($AK135="","",IF($AK135=0,"",IF(INDEX(LookupData!E:E,$AK135)="","",INDEX(LookupData!E:E,$AK135))))</f>
        <v/>
      </c>
      <c r="F135" t="str">
        <f>IF($AK135="","",IF($AK135=0,"",IF(INDEX(LookupData!F:F,$AK135)="","",INDEX(LookupData!F:F,$AK135))))</f>
        <v/>
      </c>
      <c r="G135" t="str">
        <f>IF($AK135="","",IF($AK135=0,"",IF(INDEX(LookupData!G:G,$AK135)="","",INDEX(LookupData!G:G,$AK135))))</f>
        <v/>
      </c>
      <c r="H135" t="str">
        <f>IF($AK135="","",IF($AK135=0,"",IF(INDEX(LookupData!H:H,$AK135)="","",INDEX(LookupData!H:H,$AK135))))</f>
        <v/>
      </c>
      <c r="I135" s="7" t="str">
        <f>IF($AK135="","",IF($AK135=0,"",IF(INDEX(LookupData!I:I,$AK135)="","",INDEX(LookupData!I:I,$AK135))))</f>
        <v/>
      </c>
      <c r="J135" s="7" t="str">
        <f>IF($AK135="","",IF($AK135=0,"",IF(INDEX(LookupData!J:J,$AK135)="","",INDEX(LookupData!J:J,$AK135))))</f>
        <v/>
      </c>
      <c r="K135" s="7" t="str">
        <f>IF($AK135="","",IF($AK135=0,"",IF(INDEX(LookupData!K:K,$AK135)="","",INDEX(LookupData!K:K,$AK135))))</f>
        <v/>
      </c>
      <c r="L135" s="7" t="str">
        <f>IF($AK135="","",IF($AK135=0,"",IF(INDEX(LookupData!L:L,$AK135)="","",INDEX(LookupData!L:L,$AK135))))</f>
        <v/>
      </c>
      <c r="M135" s="7" t="str">
        <f>IF($AK135="","",IF($AK135=0,"",IF(INDEX(LookupData!M:M,$AK135)="","",INDEX(LookupData!M:M,$AK135))))</f>
        <v/>
      </c>
      <c r="N135" s="7" t="str">
        <f>IF($AK135="","",IF($AK135=0,"",IF(INDEX(LookupData!N:N,$AK135)="","",INDEX(LookupData!N:N,$AK135))))</f>
        <v/>
      </c>
      <c r="O135" s="7" t="str">
        <f>IF($AK135="","",IF($AK135=0,"",IF(INDEX(LookupData!O:O,$AK135)="","",INDEX(LookupData!O:O,$AK135))))</f>
        <v/>
      </c>
      <c r="P135" s="7" t="str">
        <f>IF($AK135="","",IF($AK135=0,"",IF(INDEX(LookupData!P:P,$AK135)="","",INDEX(LookupData!P:P,$AK135))))</f>
        <v/>
      </c>
      <c r="Q135" s="7" t="str">
        <f>IF($AK135="","",IF($AK135=0,"",IF(INDEX(LookupData!Q:Q,$AK135)="","",INDEX(LookupData!Q:Q,$AK135))))</f>
        <v/>
      </c>
      <c r="R135" s="7" t="str">
        <f>IF($AK135="","",IF($AK135=0,"",IF(INDEX(LookupData!R:R,$AK135)="","",INDEX(LookupData!R:R,$AK135))))</f>
        <v/>
      </c>
      <c r="S135" s="7" t="str">
        <f>IF($AK135="","",IF($AK135=0,"",IF(INDEX(LookupData!S:S,$AK135)="","",INDEX(LookupData!S:S,$AK135))))</f>
        <v/>
      </c>
      <c r="T135" s="7" t="str">
        <f>IF($AK135="","",IF($AK135=0,"",IF(INDEX(LookupData!T:T,$AK135)="","",INDEX(LookupData!T:T,$AK135))))</f>
        <v/>
      </c>
      <c r="U135" s="7" t="str">
        <f>IF($AK135="","",IF($AK135=0,"",IF(INDEX(LookupData!U:U,$AK135)="","",INDEX(LookupData!U:U,$AK135))))</f>
        <v/>
      </c>
      <c r="V135" s="7" t="str">
        <f>IF($AK135="","",IF($AK135=0,"",IF(INDEX(LookupData!V:V,$AK135)="","",INDEX(LookupData!V:V,$AK135))))</f>
        <v/>
      </c>
      <c r="W135" t="str">
        <f>IF($AK135="","",IF($AK135=0,"",IF(INDEX(LookupData!W:W,$AK135)="","",INDEX(LookupData!W:W,$AK135))))</f>
        <v/>
      </c>
      <c r="X135" s="7" t="str">
        <f>IF($AK135="","",IF($AK135=0,"",IF(INDEX(LookupData!X:X,$AK135)="","",INDEX(LookupData!X:X,$AK135))))</f>
        <v/>
      </c>
      <c r="Y135" s="7" t="str">
        <f>IF($AK135="","",IF($AK135=0,"",IF(INDEX(LookupData!Y:Y,$AK135)="","",INDEX(LookupData!Y:Y,$AK135))))</f>
        <v/>
      </c>
      <c r="Z135" s="7" t="str">
        <f>IF($AK135="","",IF($AK135=0,"",IF(INDEX(LookupData!Z:Z,$AK135)="","",INDEX(LookupData!Z:Z,$AK135))))</f>
        <v/>
      </c>
      <c r="AA135" s="7" t="str">
        <f>IF($AK135="","",IF($AK135=0,"",IF(INDEX(LookupData!AA:AA,$AK135)="","",INDEX(LookupData!AA:AA,$AK135))))</f>
        <v/>
      </c>
      <c r="AB135" s="7" t="str">
        <f>IF($AK135="","",IF($AK135=0,"",IF(INDEX(LookupData!AB:AB,$AK135)="","",INDEX(LookupData!AB:AB,$AK135))))</f>
        <v/>
      </c>
      <c r="AC135" s="7" t="str">
        <f>IF($AK135="","",IF($AK135=0,"",IF(INDEX(LookupData!AC:AC,$AK135)="","",INDEX(LookupData!AC:AC,$AK135))))</f>
        <v/>
      </c>
      <c r="AD135" s="7" t="str">
        <f>IF($AK135="","",IF($AK135=0,"",IF(INDEX(LookupData!AD:AD,$AK135)="","",INDEX(LookupData!AD:AD,$AK135))))</f>
        <v/>
      </c>
      <c r="AE135" s="7" t="str">
        <f>IF($AK135="","",IF($AK135=0,"",IF(INDEX(LookupData!AE:AE,$AK135)="","",INDEX(LookupData!AE:AE,$AK135))))</f>
        <v/>
      </c>
      <c r="AF135" t="str">
        <f>IF($AK135="","",IF($AK135=0,"",IF(INDEX(LookupData!AF:AF,$AK135)="","",INDEX(LookupData!AF:AF,$AK135))))</f>
        <v/>
      </c>
      <c r="AG135" t="str">
        <f>IF($AK135="","",IF($AK135=0,"",IF(INDEX(LookupData!AG:AG,$AK135)="","",INDEX(LookupData!AG:AG,$AK135))))</f>
        <v/>
      </c>
      <c r="AH135" s="11" t="str">
        <f>IF($AK135="","",IF($AK135=0,"",IF(INDEX(LookupData!AH:AH,$AK135)="","",INDEX(LookupData!AH:AH,$AK135))))</f>
        <v/>
      </c>
      <c r="AI135" s="12" t="str">
        <f>IF($AK135="","",IF($AK135=0,"",IF(INDEX(LookupData!AI:AI,$AK135)="","",HYPERLINK(INDEX(LookupData!AI:AI,$AK135),"Open"))))</f>
        <v/>
      </c>
      <c r="AK135" t="str">
        <f>IF(AL135="","",IFERROR(MATCH(AL135,LookupData!$A:$A,0),0))</f>
        <v/>
      </c>
      <c r="AL135" t="str">
        <f t="shared" si="8"/>
        <v/>
      </c>
      <c r="AM135" t="str">
        <f t="shared" si="9"/>
        <v/>
      </c>
    </row>
    <row r="136" spans="1:39" x14ac:dyDescent="0.2">
      <c r="A136" s="9"/>
      <c r="B136" s="10" t="str">
        <f>IF($AK136="","",IF($AK136=0,"not in the database",IF(INDEX(LookupData!B:B,$AK136)="","",INDEX(LookupData!B:B,$AK136))))</f>
        <v/>
      </c>
      <c r="C136" t="str">
        <f>IF($AK136="","",IF($AK136=0,"",IF(INDEX(LookupData!C:C,$AK136)="","",INDEX(LookupData!C:C,$AK136))))</f>
        <v/>
      </c>
      <c r="D136" t="str">
        <f>IF($AK136="","",IF($AK136=0,"",IF(INDEX(LookupData!D:D,$AK136)="","",INDEX(LookupData!D:D,$AK136))))</f>
        <v/>
      </c>
      <c r="E136" t="str">
        <f>IF($AK136="","",IF($AK136=0,"",IF(INDEX(LookupData!E:E,$AK136)="","",INDEX(LookupData!E:E,$AK136))))</f>
        <v/>
      </c>
      <c r="F136" t="str">
        <f>IF($AK136="","",IF($AK136=0,"",IF(INDEX(LookupData!F:F,$AK136)="","",INDEX(LookupData!F:F,$AK136))))</f>
        <v/>
      </c>
      <c r="G136" t="str">
        <f>IF($AK136="","",IF($AK136=0,"",IF(INDEX(LookupData!G:G,$AK136)="","",INDEX(LookupData!G:G,$AK136))))</f>
        <v/>
      </c>
      <c r="H136" t="str">
        <f>IF($AK136="","",IF($AK136=0,"",IF(INDEX(LookupData!H:H,$AK136)="","",INDEX(LookupData!H:H,$AK136))))</f>
        <v/>
      </c>
      <c r="I136" s="7" t="str">
        <f>IF($AK136="","",IF($AK136=0,"",IF(INDEX(LookupData!I:I,$AK136)="","",INDEX(LookupData!I:I,$AK136))))</f>
        <v/>
      </c>
      <c r="J136" s="7" t="str">
        <f>IF($AK136="","",IF($AK136=0,"",IF(INDEX(LookupData!J:J,$AK136)="","",INDEX(LookupData!J:J,$AK136))))</f>
        <v/>
      </c>
      <c r="K136" s="7" t="str">
        <f>IF($AK136="","",IF($AK136=0,"",IF(INDEX(LookupData!K:K,$AK136)="","",INDEX(LookupData!K:K,$AK136))))</f>
        <v/>
      </c>
      <c r="L136" s="7" t="str">
        <f>IF($AK136="","",IF($AK136=0,"",IF(INDEX(LookupData!L:L,$AK136)="","",INDEX(LookupData!L:L,$AK136))))</f>
        <v/>
      </c>
      <c r="M136" s="7" t="str">
        <f>IF($AK136="","",IF($AK136=0,"",IF(INDEX(LookupData!M:M,$AK136)="","",INDEX(LookupData!M:M,$AK136))))</f>
        <v/>
      </c>
      <c r="N136" s="7" t="str">
        <f>IF($AK136="","",IF($AK136=0,"",IF(INDEX(LookupData!N:N,$AK136)="","",INDEX(LookupData!N:N,$AK136))))</f>
        <v/>
      </c>
      <c r="O136" s="7" t="str">
        <f>IF($AK136="","",IF($AK136=0,"",IF(INDEX(LookupData!O:O,$AK136)="","",INDEX(LookupData!O:O,$AK136))))</f>
        <v/>
      </c>
      <c r="P136" s="7" t="str">
        <f>IF($AK136="","",IF($AK136=0,"",IF(INDEX(LookupData!P:P,$AK136)="","",INDEX(LookupData!P:P,$AK136))))</f>
        <v/>
      </c>
      <c r="Q136" s="7" t="str">
        <f>IF($AK136="","",IF($AK136=0,"",IF(INDEX(LookupData!Q:Q,$AK136)="","",INDEX(LookupData!Q:Q,$AK136))))</f>
        <v/>
      </c>
      <c r="R136" s="7" t="str">
        <f>IF($AK136="","",IF($AK136=0,"",IF(INDEX(LookupData!R:R,$AK136)="","",INDEX(LookupData!R:R,$AK136))))</f>
        <v/>
      </c>
      <c r="S136" s="7" t="str">
        <f>IF($AK136="","",IF($AK136=0,"",IF(INDEX(LookupData!S:S,$AK136)="","",INDEX(LookupData!S:S,$AK136))))</f>
        <v/>
      </c>
      <c r="T136" s="7" t="str">
        <f>IF($AK136="","",IF($AK136=0,"",IF(INDEX(LookupData!T:T,$AK136)="","",INDEX(LookupData!T:T,$AK136))))</f>
        <v/>
      </c>
      <c r="U136" s="7" t="str">
        <f>IF($AK136="","",IF($AK136=0,"",IF(INDEX(LookupData!U:U,$AK136)="","",INDEX(LookupData!U:U,$AK136))))</f>
        <v/>
      </c>
      <c r="V136" s="7" t="str">
        <f>IF($AK136="","",IF($AK136=0,"",IF(INDEX(LookupData!V:V,$AK136)="","",INDEX(LookupData!V:V,$AK136))))</f>
        <v/>
      </c>
      <c r="W136" t="str">
        <f>IF($AK136="","",IF($AK136=0,"",IF(INDEX(LookupData!W:W,$AK136)="","",INDEX(LookupData!W:W,$AK136))))</f>
        <v/>
      </c>
      <c r="X136" s="7" t="str">
        <f>IF($AK136="","",IF($AK136=0,"",IF(INDEX(LookupData!X:X,$AK136)="","",INDEX(LookupData!X:X,$AK136))))</f>
        <v/>
      </c>
      <c r="Y136" s="7" t="str">
        <f>IF($AK136="","",IF($AK136=0,"",IF(INDEX(LookupData!Y:Y,$AK136)="","",INDEX(LookupData!Y:Y,$AK136))))</f>
        <v/>
      </c>
      <c r="Z136" s="7" t="str">
        <f>IF($AK136="","",IF($AK136=0,"",IF(INDEX(LookupData!Z:Z,$AK136)="","",INDEX(LookupData!Z:Z,$AK136))))</f>
        <v/>
      </c>
      <c r="AA136" s="7" t="str">
        <f>IF($AK136="","",IF($AK136=0,"",IF(INDEX(LookupData!AA:AA,$AK136)="","",INDEX(LookupData!AA:AA,$AK136))))</f>
        <v/>
      </c>
      <c r="AB136" s="7" t="str">
        <f>IF($AK136="","",IF($AK136=0,"",IF(INDEX(LookupData!AB:AB,$AK136)="","",INDEX(LookupData!AB:AB,$AK136))))</f>
        <v/>
      </c>
      <c r="AC136" s="7" t="str">
        <f>IF($AK136="","",IF($AK136=0,"",IF(INDEX(LookupData!AC:AC,$AK136)="","",INDEX(LookupData!AC:AC,$AK136))))</f>
        <v/>
      </c>
      <c r="AD136" s="7" t="str">
        <f>IF($AK136="","",IF($AK136=0,"",IF(INDEX(LookupData!AD:AD,$AK136)="","",INDEX(LookupData!AD:AD,$AK136))))</f>
        <v/>
      </c>
      <c r="AE136" s="7" t="str">
        <f>IF($AK136="","",IF($AK136=0,"",IF(INDEX(LookupData!AE:AE,$AK136)="","",INDEX(LookupData!AE:AE,$AK136))))</f>
        <v/>
      </c>
      <c r="AF136" t="str">
        <f>IF($AK136="","",IF($AK136=0,"",IF(INDEX(LookupData!AF:AF,$AK136)="","",INDEX(LookupData!AF:AF,$AK136))))</f>
        <v/>
      </c>
      <c r="AG136" t="str">
        <f>IF($AK136="","",IF($AK136=0,"",IF(INDEX(LookupData!AG:AG,$AK136)="","",INDEX(LookupData!AG:AG,$AK136))))</f>
        <v/>
      </c>
      <c r="AH136" s="11" t="str">
        <f>IF($AK136="","",IF($AK136=0,"",IF(INDEX(LookupData!AH:AH,$AK136)="","",INDEX(LookupData!AH:AH,$AK136))))</f>
        <v/>
      </c>
      <c r="AI136" s="12" t="str">
        <f>IF($AK136="","",IF($AK136=0,"",IF(INDEX(LookupData!AI:AI,$AK136)="","",HYPERLINK(INDEX(LookupData!AI:AI,$AK136),"Open"))))</f>
        <v/>
      </c>
      <c r="AK136" t="str">
        <f>IF(AL136="","",IFERROR(MATCH(AL136,LookupData!$A:$A,0),0))</f>
        <v/>
      </c>
      <c r="AL136" t="str">
        <f t="shared" si="8"/>
        <v/>
      </c>
      <c r="AM136" t="str">
        <f t="shared" si="9"/>
        <v/>
      </c>
    </row>
    <row r="137" spans="1:39" x14ac:dyDescent="0.2">
      <c r="A137" s="9"/>
      <c r="B137" s="10" t="str">
        <f>IF($AK137="","",IF($AK137=0,"not in the database",IF(INDEX(LookupData!B:B,$AK137)="","",INDEX(LookupData!B:B,$AK137))))</f>
        <v/>
      </c>
      <c r="C137" t="str">
        <f>IF($AK137="","",IF($AK137=0,"",IF(INDEX(LookupData!C:C,$AK137)="","",INDEX(LookupData!C:C,$AK137))))</f>
        <v/>
      </c>
      <c r="D137" t="str">
        <f>IF($AK137="","",IF($AK137=0,"",IF(INDEX(LookupData!D:D,$AK137)="","",INDEX(LookupData!D:D,$AK137))))</f>
        <v/>
      </c>
      <c r="E137" t="str">
        <f>IF($AK137="","",IF($AK137=0,"",IF(INDEX(LookupData!E:E,$AK137)="","",INDEX(LookupData!E:E,$AK137))))</f>
        <v/>
      </c>
      <c r="F137" t="str">
        <f>IF($AK137="","",IF($AK137=0,"",IF(INDEX(LookupData!F:F,$AK137)="","",INDEX(LookupData!F:F,$AK137))))</f>
        <v/>
      </c>
      <c r="G137" t="str">
        <f>IF($AK137="","",IF($AK137=0,"",IF(INDEX(LookupData!G:G,$AK137)="","",INDEX(LookupData!G:G,$AK137))))</f>
        <v/>
      </c>
      <c r="H137" t="str">
        <f>IF($AK137="","",IF($AK137=0,"",IF(INDEX(LookupData!H:H,$AK137)="","",INDEX(LookupData!H:H,$AK137))))</f>
        <v/>
      </c>
      <c r="I137" s="7" t="str">
        <f>IF($AK137="","",IF($AK137=0,"",IF(INDEX(LookupData!I:I,$AK137)="","",INDEX(LookupData!I:I,$AK137))))</f>
        <v/>
      </c>
      <c r="J137" s="7" t="str">
        <f>IF($AK137="","",IF($AK137=0,"",IF(INDEX(LookupData!J:J,$AK137)="","",INDEX(LookupData!J:J,$AK137))))</f>
        <v/>
      </c>
      <c r="K137" s="7" t="str">
        <f>IF($AK137="","",IF($AK137=0,"",IF(INDEX(LookupData!K:K,$AK137)="","",INDEX(LookupData!K:K,$AK137))))</f>
        <v/>
      </c>
      <c r="L137" s="7" t="str">
        <f>IF($AK137="","",IF($AK137=0,"",IF(INDEX(LookupData!L:L,$AK137)="","",INDEX(LookupData!L:L,$AK137))))</f>
        <v/>
      </c>
      <c r="M137" s="7" t="str">
        <f>IF($AK137="","",IF($AK137=0,"",IF(INDEX(LookupData!M:M,$AK137)="","",INDEX(LookupData!M:M,$AK137))))</f>
        <v/>
      </c>
      <c r="N137" s="7" t="str">
        <f>IF($AK137="","",IF($AK137=0,"",IF(INDEX(LookupData!N:N,$AK137)="","",INDEX(LookupData!N:N,$AK137))))</f>
        <v/>
      </c>
      <c r="O137" s="7" t="str">
        <f>IF($AK137="","",IF($AK137=0,"",IF(INDEX(LookupData!O:O,$AK137)="","",INDEX(LookupData!O:O,$AK137))))</f>
        <v/>
      </c>
      <c r="P137" s="7" t="str">
        <f>IF($AK137="","",IF($AK137=0,"",IF(INDEX(LookupData!P:P,$AK137)="","",INDEX(LookupData!P:P,$AK137))))</f>
        <v/>
      </c>
      <c r="Q137" s="7" t="str">
        <f>IF($AK137="","",IF($AK137=0,"",IF(INDEX(LookupData!Q:Q,$AK137)="","",INDEX(LookupData!Q:Q,$AK137))))</f>
        <v/>
      </c>
      <c r="R137" s="7" t="str">
        <f>IF($AK137="","",IF($AK137=0,"",IF(INDEX(LookupData!R:R,$AK137)="","",INDEX(LookupData!R:R,$AK137))))</f>
        <v/>
      </c>
      <c r="S137" s="7" t="str">
        <f>IF($AK137="","",IF($AK137=0,"",IF(INDEX(LookupData!S:S,$AK137)="","",INDEX(LookupData!S:S,$AK137))))</f>
        <v/>
      </c>
      <c r="T137" s="7" t="str">
        <f>IF($AK137="","",IF($AK137=0,"",IF(INDEX(LookupData!T:T,$AK137)="","",INDEX(LookupData!T:T,$AK137))))</f>
        <v/>
      </c>
      <c r="U137" s="7" t="str">
        <f>IF($AK137="","",IF($AK137=0,"",IF(INDEX(LookupData!U:U,$AK137)="","",INDEX(LookupData!U:U,$AK137))))</f>
        <v/>
      </c>
      <c r="V137" s="7" t="str">
        <f>IF($AK137="","",IF($AK137=0,"",IF(INDEX(LookupData!V:V,$AK137)="","",INDEX(LookupData!V:V,$AK137))))</f>
        <v/>
      </c>
      <c r="W137" t="str">
        <f>IF($AK137="","",IF($AK137=0,"",IF(INDEX(LookupData!W:W,$AK137)="","",INDEX(LookupData!W:W,$AK137))))</f>
        <v/>
      </c>
      <c r="X137" s="7" t="str">
        <f>IF($AK137="","",IF($AK137=0,"",IF(INDEX(LookupData!X:X,$AK137)="","",INDEX(LookupData!X:X,$AK137))))</f>
        <v/>
      </c>
      <c r="Y137" s="7" t="str">
        <f>IF($AK137="","",IF($AK137=0,"",IF(INDEX(LookupData!Y:Y,$AK137)="","",INDEX(LookupData!Y:Y,$AK137))))</f>
        <v/>
      </c>
      <c r="Z137" s="7" t="str">
        <f>IF($AK137="","",IF($AK137=0,"",IF(INDEX(LookupData!Z:Z,$AK137)="","",INDEX(LookupData!Z:Z,$AK137))))</f>
        <v/>
      </c>
      <c r="AA137" s="7" t="str">
        <f>IF($AK137="","",IF($AK137=0,"",IF(INDEX(LookupData!AA:AA,$AK137)="","",INDEX(LookupData!AA:AA,$AK137))))</f>
        <v/>
      </c>
      <c r="AB137" s="7" t="str">
        <f>IF($AK137="","",IF($AK137=0,"",IF(INDEX(LookupData!AB:AB,$AK137)="","",INDEX(LookupData!AB:AB,$AK137))))</f>
        <v/>
      </c>
      <c r="AC137" s="7" t="str">
        <f>IF($AK137="","",IF($AK137=0,"",IF(INDEX(LookupData!AC:AC,$AK137)="","",INDEX(LookupData!AC:AC,$AK137))))</f>
        <v/>
      </c>
      <c r="AD137" s="7" t="str">
        <f>IF($AK137="","",IF($AK137=0,"",IF(INDEX(LookupData!AD:AD,$AK137)="","",INDEX(LookupData!AD:AD,$AK137))))</f>
        <v/>
      </c>
      <c r="AE137" s="7" t="str">
        <f>IF($AK137="","",IF($AK137=0,"",IF(INDEX(LookupData!AE:AE,$AK137)="","",INDEX(LookupData!AE:AE,$AK137))))</f>
        <v/>
      </c>
      <c r="AF137" t="str">
        <f>IF($AK137="","",IF($AK137=0,"",IF(INDEX(LookupData!AF:AF,$AK137)="","",INDEX(LookupData!AF:AF,$AK137))))</f>
        <v/>
      </c>
      <c r="AG137" t="str">
        <f>IF($AK137="","",IF($AK137=0,"",IF(INDEX(LookupData!AG:AG,$AK137)="","",INDEX(LookupData!AG:AG,$AK137))))</f>
        <v/>
      </c>
      <c r="AH137" s="11" t="str">
        <f>IF($AK137="","",IF($AK137=0,"",IF(INDEX(LookupData!AH:AH,$AK137)="","",INDEX(LookupData!AH:AH,$AK137))))</f>
        <v/>
      </c>
      <c r="AI137" s="12" t="str">
        <f>IF($AK137="","",IF($AK137=0,"",IF(INDEX(LookupData!AI:AI,$AK137)="","",HYPERLINK(INDEX(LookupData!AI:AI,$AK137),"Open"))))</f>
        <v/>
      </c>
      <c r="AK137" t="str">
        <f>IF(AL137="","",IFERROR(MATCH(AL137,LookupData!$A:$A,0),0))</f>
        <v/>
      </c>
      <c r="AL137" t="str">
        <f t="shared" si="8"/>
        <v/>
      </c>
      <c r="AM137" t="str">
        <f t="shared" si="9"/>
        <v/>
      </c>
    </row>
    <row r="138" spans="1:39" x14ac:dyDescent="0.2">
      <c r="A138" s="9"/>
      <c r="B138" s="10" t="str">
        <f>IF($AK138="","",IF($AK138=0,"not in the database",IF(INDEX(LookupData!B:B,$AK138)="","",INDEX(LookupData!B:B,$AK138))))</f>
        <v/>
      </c>
      <c r="C138" t="str">
        <f>IF($AK138="","",IF($AK138=0,"",IF(INDEX(LookupData!C:C,$AK138)="","",INDEX(LookupData!C:C,$AK138))))</f>
        <v/>
      </c>
      <c r="D138" t="str">
        <f>IF($AK138="","",IF($AK138=0,"",IF(INDEX(LookupData!D:D,$AK138)="","",INDEX(LookupData!D:D,$AK138))))</f>
        <v/>
      </c>
      <c r="E138" t="str">
        <f>IF($AK138="","",IF($AK138=0,"",IF(INDEX(LookupData!E:E,$AK138)="","",INDEX(LookupData!E:E,$AK138))))</f>
        <v/>
      </c>
      <c r="F138" t="str">
        <f>IF($AK138="","",IF($AK138=0,"",IF(INDEX(LookupData!F:F,$AK138)="","",INDEX(LookupData!F:F,$AK138))))</f>
        <v/>
      </c>
      <c r="G138" t="str">
        <f>IF($AK138="","",IF($AK138=0,"",IF(INDEX(LookupData!G:G,$AK138)="","",INDEX(LookupData!G:G,$AK138))))</f>
        <v/>
      </c>
      <c r="H138" t="str">
        <f>IF($AK138="","",IF($AK138=0,"",IF(INDEX(LookupData!H:H,$AK138)="","",INDEX(LookupData!H:H,$AK138))))</f>
        <v/>
      </c>
      <c r="I138" s="7" t="str">
        <f>IF($AK138="","",IF($AK138=0,"",IF(INDEX(LookupData!I:I,$AK138)="","",INDEX(LookupData!I:I,$AK138))))</f>
        <v/>
      </c>
      <c r="J138" s="7" t="str">
        <f>IF($AK138="","",IF($AK138=0,"",IF(INDEX(LookupData!J:J,$AK138)="","",INDEX(LookupData!J:J,$AK138))))</f>
        <v/>
      </c>
      <c r="K138" s="7" t="str">
        <f>IF($AK138="","",IF($AK138=0,"",IF(INDEX(LookupData!K:K,$AK138)="","",INDEX(LookupData!K:K,$AK138))))</f>
        <v/>
      </c>
      <c r="L138" s="7" t="str">
        <f>IF($AK138="","",IF($AK138=0,"",IF(INDEX(LookupData!L:L,$AK138)="","",INDEX(LookupData!L:L,$AK138))))</f>
        <v/>
      </c>
      <c r="M138" s="7" t="str">
        <f>IF($AK138="","",IF($AK138=0,"",IF(INDEX(LookupData!M:M,$AK138)="","",INDEX(LookupData!M:M,$AK138))))</f>
        <v/>
      </c>
      <c r="N138" s="7" t="str">
        <f>IF($AK138="","",IF($AK138=0,"",IF(INDEX(LookupData!N:N,$AK138)="","",INDEX(LookupData!N:N,$AK138))))</f>
        <v/>
      </c>
      <c r="O138" s="7" t="str">
        <f>IF($AK138="","",IF($AK138=0,"",IF(INDEX(LookupData!O:O,$AK138)="","",INDEX(LookupData!O:O,$AK138))))</f>
        <v/>
      </c>
      <c r="P138" s="7" t="str">
        <f>IF($AK138="","",IF($AK138=0,"",IF(INDEX(LookupData!P:P,$AK138)="","",INDEX(LookupData!P:P,$AK138))))</f>
        <v/>
      </c>
      <c r="Q138" s="7" t="str">
        <f>IF($AK138="","",IF($AK138=0,"",IF(INDEX(LookupData!Q:Q,$AK138)="","",INDEX(LookupData!Q:Q,$AK138))))</f>
        <v/>
      </c>
      <c r="R138" s="7" t="str">
        <f>IF($AK138="","",IF($AK138=0,"",IF(INDEX(LookupData!R:R,$AK138)="","",INDEX(LookupData!R:R,$AK138))))</f>
        <v/>
      </c>
      <c r="S138" s="7" t="str">
        <f>IF($AK138="","",IF($AK138=0,"",IF(INDEX(LookupData!S:S,$AK138)="","",INDEX(LookupData!S:S,$AK138))))</f>
        <v/>
      </c>
      <c r="T138" s="7" t="str">
        <f>IF($AK138="","",IF($AK138=0,"",IF(INDEX(LookupData!T:T,$AK138)="","",INDEX(LookupData!T:T,$AK138))))</f>
        <v/>
      </c>
      <c r="U138" s="7" t="str">
        <f>IF($AK138="","",IF($AK138=0,"",IF(INDEX(LookupData!U:U,$AK138)="","",INDEX(LookupData!U:U,$AK138))))</f>
        <v/>
      </c>
      <c r="V138" s="7" t="str">
        <f>IF($AK138="","",IF($AK138=0,"",IF(INDEX(LookupData!V:V,$AK138)="","",INDEX(LookupData!V:V,$AK138))))</f>
        <v/>
      </c>
      <c r="W138" t="str">
        <f>IF($AK138="","",IF($AK138=0,"",IF(INDEX(LookupData!W:W,$AK138)="","",INDEX(LookupData!W:W,$AK138))))</f>
        <v/>
      </c>
      <c r="X138" s="7" t="str">
        <f>IF($AK138="","",IF($AK138=0,"",IF(INDEX(LookupData!X:X,$AK138)="","",INDEX(LookupData!X:X,$AK138))))</f>
        <v/>
      </c>
      <c r="Y138" s="7" t="str">
        <f>IF($AK138="","",IF($AK138=0,"",IF(INDEX(LookupData!Y:Y,$AK138)="","",INDEX(LookupData!Y:Y,$AK138))))</f>
        <v/>
      </c>
      <c r="Z138" s="7" t="str">
        <f>IF($AK138="","",IF($AK138=0,"",IF(INDEX(LookupData!Z:Z,$AK138)="","",INDEX(LookupData!Z:Z,$AK138))))</f>
        <v/>
      </c>
      <c r="AA138" s="7" t="str">
        <f>IF($AK138="","",IF($AK138=0,"",IF(INDEX(LookupData!AA:AA,$AK138)="","",INDEX(LookupData!AA:AA,$AK138))))</f>
        <v/>
      </c>
      <c r="AB138" s="7" t="str">
        <f>IF($AK138="","",IF($AK138=0,"",IF(INDEX(LookupData!AB:AB,$AK138)="","",INDEX(LookupData!AB:AB,$AK138))))</f>
        <v/>
      </c>
      <c r="AC138" s="7" t="str">
        <f>IF($AK138="","",IF($AK138=0,"",IF(INDEX(LookupData!AC:AC,$AK138)="","",INDEX(LookupData!AC:AC,$AK138))))</f>
        <v/>
      </c>
      <c r="AD138" s="7" t="str">
        <f>IF($AK138="","",IF($AK138=0,"",IF(INDEX(LookupData!AD:AD,$AK138)="","",INDEX(LookupData!AD:AD,$AK138))))</f>
        <v/>
      </c>
      <c r="AE138" s="7" t="str">
        <f>IF($AK138="","",IF($AK138=0,"",IF(INDEX(LookupData!AE:AE,$AK138)="","",INDEX(LookupData!AE:AE,$AK138))))</f>
        <v/>
      </c>
      <c r="AF138" t="str">
        <f>IF($AK138="","",IF($AK138=0,"",IF(INDEX(LookupData!AF:AF,$AK138)="","",INDEX(LookupData!AF:AF,$AK138))))</f>
        <v/>
      </c>
      <c r="AG138" t="str">
        <f>IF($AK138="","",IF($AK138=0,"",IF(INDEX(LookupData!AG:AG,$AK138)="","",INDEX(LookupData!AG:AG,$AK138))))</f>
        <v/>
      </c>
      <c r="AH138" s="11" t="str">
        <f>IF($AK138="","",IF($AK138=0,"",IF(INDEX(LookupData!AH:AH,$AK138)="","",INDEX(LookupData!AH:AH,$AK138))))</f>
        <v/>
      </c>
      <c r="AI138" s="12" t="str">
        <f>IF($AK138="","",IF($AK138=0,"",IF(INDEX(LookupData!AI:AI,$AK138)="","",HYPERLINK(INDEX(LookupData!AI:AI,$AK138),"Open"))))</f>
        <v/>
      </c>
      <c r="AK138" t="str">
        <f>IF(AL138="","",IFERROR(MATCH(AL138,LookupData!$A:$A,0),0))</f>
        <v/>
      </c>
      <c r="AL138" t="str">
        <f t="shared" si="8"/>
        <v/>
      </c>
      <c r="AM138" t="str">
        <f t="shared" si="9"/>
        <v/>
      </c>
    </row>
    <row r="139" spans="1:39" x14ac:dyDescent="0.2">
      <c r="A139" s="9"/>
      <c r="B139" s="10" t="str">
        <f>IF($AK139="","",IF($AK139=0,"not in the database",IF(INDEX(LookupData!B:B,$AK139)="","",INDEX(LookupData!B:B,$AK139))))</f>
        <v/>
      </c>
      <c r="C139" t="str">
        <f>IF($AK139="","",IF($AK139=0,"",IF(INDEX(LookupData!C:C,$AK139)="","",INDEX(LookupData!C:C,$AK139))))</f>
        <v/>
      </c>
      <c r="D139" t="str">
        <f>IF($AK139="","",IF($AK139=0,"",IF(INDEX(LookupData!D:D,$AK139)="","",INDEX(LookupData!D:D,$AK139))))</f>
        <v/>
      </c>
      <c r="E139" t="str">
        <f>IF($AK139="","",IF($AK139=0,"",IF(INDEX(LookupData!E:E,$AK139)="","",INDEX(LookupData!E:E,$AK139))))</f>
        <v/>
      </c>
      <c r="F139" t="str">
        <f>IF($AK139="","",IF($AK139=0,"",IF(INDEX(LookupData!F:F,$AK139)="","",INDEX(LookupData!F:F,$AK139))))</f>
        <v/>
      </c>
      <c r="G139" t="str">
        <f>IF($AK139="","",IF($AK139=0,"",IF(INDEX(LookupData!G:G,$AK139)="","",INDEX(LookupData!G:G,$AK139))))</f>
        <v/>
      </c>
      <c r="H139" t="str">
        <f>IF($AK139="","",IF($AK139=0,"",IF(INDEX(LookupData!H:H,$AK139)="","",INDEX(LookupData!H:H,$AK139))))</f>
        <v/>
      </c>
      <c r="I139" s="7" t="str">
        <f>IF($AK139="","",IF($AK139=0,"",IF(INDEX(LookupData!I:I,$AK139)="","",INDEX(LookupData!I:I,$AK139))))</f>
        <v/>
      </c>
      <c r="J139" s="7" t="str">
        <f>IF($AK139="","",IF($AK139=0,"",IF(INDEX(LookupData!J:J,$AK139)="","",INDEX(LookupData!J:J,$AK139))))</f>
        <v/>
      </c>
      <c r="K139" s="7" t="str">
        <f>IF($AK139="","",IF($AK139=0,"",IF(INDEX(LookupData!K:K,$AK139)="","",INDEX(LookupData!K:K,$AK139))))</f>
        <v/>
      </c>
      <c r="L139" s="7" t="str">
        <f>IF($AK139="","",IF($AK139=0,"",IF(INDEX(LookupData!L:L,$AK139)="","",INDEX(LookupData!L:L,$AK139))))</f>
        <v/>
      </c>
      <c r="M139" s="7" t="str">
        <f>IF($AK139="","",IF($AK139=0,"",IF(INDEX(LookupData!M:M,$AK139)="","",INDEX(LookupData!M:M,$AK139))))</f>
        <v/>
      </c>
      <c r="N139" s="7" t="str">
        <f>IF($AK139="","",IF($AK139=0,"",IF(INDEX(LookupData!N:N,$AK139)="","",INDEX(LookupData!N:N,$AK139))))</f>
        <v/>
      </c>
      <c r="O139" s="7" t="str">
        <f>IF($AK139="","",IF($AK139=0,"",IF(INDEX(LookupData!O:O,$AK139)="","",INDEX(LookupData!O:O,$AK139))))</f>
        <v/>
      </c>
      <c r="P139" s="7" t="str">
        <f>IF($AK139="","",IF($AK139=0,"",IF(INDEX(LookupData!P:P,$AK139)="","",INDEX(LookupData!P:P,$AK139))))</f>
        <v/>
      </c>
      <c r="Q139" s="7" t="str">
        <f>IF($AK139="","",IF($AK139=0,"",IF(INDEX(LookupData!Q:Q,$AK139)="","",INDEX(LookupData!Q:Q,$AK139))))</f>
        <v/>
      </c>
      <c r="R139" s="7" t="str">
        <f>IF($AK139="","",IF($AK139=0,"",IF(INDEX(LookupData!R:R,$AK139)="","",INDEX(LookupData!R:R,$AK139))))</f>
        <v/>
      </c>
      <c r="S139" s="7" t="str">
        <f>IF($AK139="","",IF($AK139=0,"",IF(INDEX(LookupData!S:S,$AK139)="","",INDEX(LookupData!S:S,$AK139))))</f>
        <v/>
      </c>
      <c r="T139" s="7" t="str">
        <f>IF($AK139="","",IF($AK139=0,"",IF(INDEX(LookupData!T:T,$AK139)="","",INDEX(LookupData!T:T,$AK139))))</f>
        <v/>
      </c>
      <c r="U139" s="7" t="str">
        <f>IF($AK139="","",IF($AK139=0,"",IF(INDEX(LookupData!U:U,$AK139)="","",INDEX(LookupData!U:U,$AK139))))</f>
        <v/>
      </c>
      <c r="V139" s="7" t="str">
        <f>IF($AK139="","",IF($AK139=0,"",IF(INDEX(LookupData!V:V,$AK139)="","",INDEX(LookupData!V:V,$AK139))))</f>
        <v/>
      </c>
      <c r="W139" t="str">
        <f>IF($AK139="","",IF($AK139=0,"",IF(INDEX(LookupData!W:W,$AK139)="","",INDEX(LookupData!W:W,$AK139))))</f>
        <v/>
      </c>
      <c r="X139" s="7" t="str">
        <f>IF($AK139="","",IF($AK139=0,"",IF(INDEX(LookupData!X:X,$AK139)="","",INDEX(LookupData!X:X,$AK139))))</f>
        <v/>
      </c>
      <c r="Y139" s="7" t="str">
        <f>IF($AK139="","",IF($AK139=0,"",IF(INDEX(LookupData!Y:Y,$AK139)="","",INDEX(LookupData!Y:Y,$AK139))))</f>
        <v/>
      </c>
      <c r="Z139" s="7" t="str">
        <f>IF($AK139="","",IF($AK139=0,"",IF(INDEX(LookupData!Z:Z,$AK139)="","",INDEX(LookupData!Z:Z,$AK139))))</f>
        <v/>
      </c>
      <c r="AA139" s="7" t="str">
        <f>IF($AK139="","",IF($AK139=0,"",IF(INDEX(LookupData!AA:AA,$AK139)="","",INDEX(LookupData!AA:AA,$AK139))))</f>
        <v/>
      </c>
      <c r="AB139" s="7" t="str">
        <f>IF($AK139="","",IF($AK139=0,"",IF(INDEX(LookupData!AB:AB,$AK139)="","",INDEX(LookupData!AB:AB,$AK139))))</f>
        <v/>
      </c>
      <c r="AC139" s="7" t="str">
        <f>IF($AK139="","",IF($AK139=0,"",IF(INDEX(LookupData!AC:AC,$AK139)="","",INDEX(LookupData!AC:AC,$AK139))))</f>
        <v/>
      </c>
      <c r="AD139" s="7" t="str">
        <f>IF($AK139="","",IF($AK139=0,"",IF(INDEX(LookupData!AD:AD,$AK139)="","",INDEX(LookupData!AD:AD,$AK139))))</f>
        <v/>
      </c>
      <c r="AE139" s="7" t="str">
        <f>IF($AK139="","",IF($AK139=0,"",IF(INDEX(LookupData!AE:AE,$AK139)="","",INDEX(LookupData!AE:AE,$AK139))))</f>
        <v/>
      </c>
      <c r="AF139" t="str">
        <f>IF($AK139="","",IF($AK139=0,"",IF(INDEX(LookupData!AF:AF,$AK139)="","",INDEX(LookupData!AF:AF,$AK139))))</f>
        <v/>
      </c>
      <c r="AG139" t="str">
        <f>IF($AK139="","",IF($AK139=0,"",IF(INDEX(LookupData!AG:AG,$AK139)="","",INDEX(LookupData!AG:AG,$AK139))))</f>
        <v/>
      </c>
      <c r="AH139" s="11" t="str">
        <f>IF($AK139="","",IF($AK139=0,"",IF(INDEX(LookupData!AH:AH,$AK139)="","",INDEX(LookupData!AH:AH,$AK139))))</f>
        <v/>
      </c>
      <c r="AI139" s="12" t="str">
        <f>IF($AK139="","",IF($AK139=0,"",IF(INDEX(LookupData!AI:AI,$AK139)="","",HYPERLINK(INDEX(LookupData!AI:AI,$AK139),"Open"))))</f>
        <v/>
      </c>
      <c r="AK139" t="str">
        <f>IF(AL139="","",IFERROR(MATCH(AL139,LookupData!$A:$A,0),0))</f>
        <v/>
      </c>
      <c r="AL139" t="str">
        <f t="shared" si="8"/>
        <v/>
      </c>
      <c r="AM139" t="str">
        <f t="shared" si="9"/>
        <v/>
      </c>
    </row>
    <row r="140" spans="1:39" x14ac:dyDescent="0.2">
      <c r="A140" s="9"/>
      <c r="B140" s="10" t="str">
        <f>IF($AK140="","",IF($AK140=0,"not in the database",IF(INDEX(LookupData!B:B,$AK140)="","",INDEX(LookupData!B:B,$AK140))))</f>
        <v/>
      </c>
      <c r="C140" t="str">
        <f>IF($AK140="","",IF($AK140=0,"",IF(INDEX(LookupData!C:C,$AK140)="","",INDEX(LookupData!C:C,$AK140))))</f>
        <v/>
      </c>
      <c r="D140" t="str">
        <f>IF($AK140="","",IF($AK140=0,"",IF(INDEX(LookupData!D:D,$AK140)="","",INDEX(LookupData!D:D,$AK140))))</f>
        <v/>
      </c>
      <c r="E140" t="str">
        <f>IF($AK140="","",IF($AK140=0,"",IF(INDEX(LookupData!E:E,$AK140)="","",INDEX(LookupData!E:E,$AK140))))</f>
        <v/>
      </c>
      <c r="F140" t="str">
        <f>IF($AK140="","",IF($AK140=0,"",IF(INDEX(LookupData!F:F,$AK140)="","",INDEX(LookupData!F:F,$AK140))))</f>
        <v/>
      </c>
      <c r="G140" t="str">
        <f>IF($AK140="","",IF($AK140=0,"",IF(INDEX(LookupData!G:G,$AK140)="","",INDEX(LookupData!G:G,$AK140))))</f>
        <v/>
      </c>
      <c r="H140" t="str">
        <f>IF($AK140="","",IF($AK140=0,"",IF(INDEX(LookupData!H:H,$AK140)="","",INDEX(LookupData!H:H,$AK140))))</f>
        <v/>
      </c>
      <c r="I140" s="7" t="str">
        <f>IF($AK140="","",IF($AK140=0,"",IF(INDEX(LookupData!I:I,$AK140)="","",INDEX(LookupData!I:I,$AK140))))</f>
        <v/>
      </c>
      <c r="J140" s="7" t="str">
        <f>IF($AK140="","",IF($AK140=0,"",IF(INDEX(LookupData!J:J,$AK140)="","",INDEX(LookupData!J:J,$AK140))))</f>
        <v/>
      </c>
      <c r="K140" s="7" t="str">
        <f>IF($AK140="","",IF($AK140=0,"",IF(INDEX(LookupData!K:K,$AK140)="","",INDEX(LookupData!K:K,$AK140))))</f>
        <v/>
      </c>
      <c r="L140" s="7" t="str">
        <f>IF($AK140="","",IF($AK140=0,"",IF(INDEX(LookupData!L:L,$AK140)="","",INDEX(LookupData!L:L,$AK140))))</f>
        <v/>
      </c>
      <c r="M140" s="7" t="str">
        <f>IF($AK140="","",IF($AK140=0,"",IF(INDEX(LookupData!M:M,$AK140)="","",INDEX(LookupData!M:M,$AK140))))</f>
        <v/>
      </c>
      <c r="N140" s="7" t="str">
        <f>IF($AK140="","",IF($AK140=0,"",IF(INDEX(LookupData!N:N,$AK140)="","",INDEX(LookupData!N:N,$AK140))))</f>
        <v/>
      </c>
      <c r="O140" s="7" t="str">
        <f>IF($AK140="","",IF($AK140=0,"",IF(INDEX(LookupData!O:O,$AK140)="","",INDEX(LookupData!O:O,$AK140))))</f>
        <v/>
      </c>
      <c r="P140" s="7" t="str">
        <f>IF($AK140="","",IF($AK140=0,"",IF(INDEX(LookupData!P:P,$AK140)="","",INDEX(LookupData!P:P,$AK140))))</f>
        <v/>
      </c>
      <c r="Q140" s="7" t="str">
        <f>IF($AK140="","",IF($AK140=0,"",IF(INDEX(LookupData!Q:Q,$AK140)="","",INDEX(LookupData!Q:Q,$AK140))))</f>
        <v/>
      </c>
      <c r="R140" s="7" t="str">
        <f>IF($AK140="","",IF($AK140=0,"",IF(INDEX(LookupData!R:R,$AK140)="","",INDEX(LookupData!R:R,$AK140))))</f>
        <v/>
      </c>
      <c r="S140" s="7" t="str">
        <f>IF($AK140="","",IF($AK140=0,"",IF(INDEX(LookupData!S:S,$AK140)="","",INDEX(LookupData!S:S,$AK140))))</f>
        <v/>
      </c>
      <c r="T140" s="7" t="str">
        <f>IF($AK140="","",IF($AK140=0,"",IF(INDEX(LookupData!T:T,$AK140)="","",INDEX(LookupData!T:T,$AK140))))</f>
        <v/>
      </c>
      <c r="U140" s="7" t="str">
        <f>IF($AK140="","",IF($AK140=0,"",IF(INDEX(LookupData!U:U,$AK140)="","",INDEX(LookupData!U:U,$AK140))))</f>
        <v/>
      </c>
      <c r="V140" s="7" t="str">
        <f>IF($AK140="","",IF($AK140=0,"",IF(INDEX(LookupData!V:V,$AK140)="","",INDEX(LookupData!V:V,$AK140))))</f>
        <v/>
      </c>
      <c r="W140" t="str">
        <f>IF($AK140="","",IF($AK140=0,"",IF(INDEX(LookupData!W:W,$AK140)="","",INDEX(LookupData!W:W,$AK140))))</f>
        <v/>
      </c>
      <c r="X140" s="7" t="str">
        <f>IF($AK140="","",IF($AK140=0,"",IF(INDEX(LookupData!X:X,$AK140)="","",INDEX(LookupData!X:X,$AK140))))</f>
        <v/>
      </c>
      <c r="Y140" s="7" t="str">
        <f>IF($AK140="","",IF($AK140=0,"",IF(INDEX(LookupData!Y:Y,$AK140)="","",INDEX(LookupData!Y:Y,$AK140))))</f>
        <v/>
      </c>
      <c r="Z140" s="7" t="str">
        <f>IF($AK140="","",IF($AK140=0,"",IF(INDEX(LookupData!Z:Z,$AK140)="","",INDEX(LookupData!Z:Z,$AK140))))</f>
        <v/>
      </c>
      <c r="AA140" s="7" t="str">
        <f>IF($AK140="","",IF($AK140=0,"",IF(INDEX(LookupData!AA:AA,$AK140)="","",INDEX(LookupData!AA:AA,$AK140))))</f>
        <v/>
      </c>
      <c r="AB140" s="7" t="str">
        <f>IF($AK140="","",IF($AK140=0,"",IF(INDEX(LookupData!AB:AB,$AK140)="","",INDEX(LookupData!AB:AB,$AK140))))</f>
        <v/>
      </c>
      <c r="AC140" s="7" t="str">
        <f>IF($AK140="","",IF($AK140=0,"",IF(INDEX(LookupData!AC:AC,$AK140)="","",INDEX(LookupData!AC:AC,$AK140))))</f>
        <v/>
      </c>
      <c r="AD140" s="7" t="str">
        <f>IF($AK140="","",IF($AK140=0,"",IF(INDEX(LookupData!AD:AD,$AK140)="","",INDEX(LookupData!AD:AD,$AK140))))</f>
        <v/>
      </c>
      <c r="AE140" s="7" t="str">
        <f>IF($AK140="","",IF($AK140=0,"",IF(INDEX(LookupData!AE:AE,$AK140)="","",INDEX(LookupData!AE:AE,$AK140))))</f>
        <v/>
      </c>
      <c r="AF140" t="str">
        <f>IF($AK140="","",IF($AK140=0,"",IF(INDEX(LookupData!AF:AF,$AK140)="","",INDEX(LookupData!AF:AF,$AK140))))</f>
        <v/>
      </c>
      <c r="AG140" t="str">
        <f>IF($AK140="","",IF($AK140=0,"",IF(INDEX(LookupData!AG:AG,$AK140)="","",INDEX(LookupData!AG:AG,$AK140))))</f>
        <v/>
      </c>
      <c r="AH140" s="11" t="str">
        <f>IF($AK140="","",IF($AK140=0,"",IF(INDEX(LookupData!AH:AH,$AK140)="","",INDEX(LookupData!AH:AH,$AK140))))</f>
        <v/>
      </c>
      <c r="AI140" s="12" t="str">
        <f>IF($AK140="","",IF($AK140=0,"",IF(INDEX(LookupData!AI:AI,$AK140)="","",HYPERLINK(INDEX(LookupData!AI:AI,$AK140),"Open"))))</f>
        <v/>
      </c>
      <c r="AK140" t="str">
        <f>IF(AL140="","",IFERROR(MATCH(AL140,LookupData!$A:$A,0),0))</f>
        <v/>
      </c>
      <c r="AL140" t="str">
        <f t="shared" si="8"/>
        <v/>
      </c>
      <c r="AM140" t="str">
        <f t="shared" si="9"/>
        <v/>
      </c>
    </row>
    <row r="141" spans="1:39" x14ac:dyDescent="0.2">
      <c r="A141" s="9"/>
      <c r="B141" s="10" t="str">
        <f>IF($AK141="","",IF($AK141=0,"not in the database",IF(INDEX(LookupData!B:B,$AK141)="","",INDEX(LookupData!B:B,$AK141))))</f>
        <v/>
      </c>
      <c r="C141" t="str">
        <f>IF($AK141="","",IF($AK141=0,"",IF(INDEX(LookupData!C:C,$AK141)="","",INDEX(LookupData!C:C,$AK141))))</f>
        <v/>
      </c>
      <c r="D141" t="str">
        <f>IF($AK141="","",IF($AK141=0,"",IF(INDEX(LookupData!D:D,$AK141)="","",INDEX(LookupData!D:D,$AK141))))</f>
        <v/>
      </c>
      <c r="E141" t="str">
        <f>IF($AK141="","",IF($AK141=0,"",IF(INDEX(LookupData!E:E,$AK141)="","",INDEX(LookupData!E:E,$AK141))))</f>
        <v/>
      </c>
      <c r="F141" t="str">
        <f>IF($AK141="","",IF($AK141=0,"",IF(INDEX(LookupData!F:F,$AK141)="","",INDEX(LookupData!F:F,$AK141))))</f>
        <v/>
      </c>
      <c r="G141" t="str">
        <f>IF($AK141="","",IF($AK141=0,"",IF(INDEX(LookupData!G:G,$AK141)="","",INDEX(LookupData!G:G,$AK141))))</f>
        <v/>
      </c>
      <c r="H141" t="str">
        <f>IF($AK141="","",IF($AK141=0,"",IF(INDEX(LookupData!H:H,$AK141)="","",INDEX(LookupData!H:H,$AK141))))</f>
        <v/>
      </c>
      <c r="I141" s="7" t="str">
        <f>IF($AK141="","",IF($AK141=0,"",IF(INDEX(LookupData!I:I,$AK141)="","",INDEX(LookupData!I:I,$AK141))))</f>
        <v/>
      </c>
      <c r="J141" s="7" t="str">
        <f>IF($AK141="","",IF($AK141=0,"",IF(INDEX(LookupData!J:J,$AK141)="","",INDEX(LookupData!J:J,$AK141))))</f>
        <v/>
      </c>
      <c r="K141" s="7" t="str">
        <f>IF($AK141="","",IF($AK141=0,"",IF(INDEX(LookupData!K:K,$AK141)="","",INDEX(LookupData!K:K,$AK141))))</f>
        <v/>
      </c>
      <c r="L141" s="7" t="str">
        <f>IF($AK141="","",IF($AK141=0,"",IF(INDEX(LookupData!L:L,$AK141)="","",INDEX(LookupData!L:L,$AK141))))</f>
        <v/>
      </c>
      <c r="M141" s="7" t="str">
        <f>IF($AK141="","",IF($AK141=0,"",IF(INDEX(LookupData!M:M,$AK141)="","",INDEX(LookupData!M:M,$AK141))))</f>
        <v/>
      </c>
      <c r="N141" s="7" t="str">
        <f>IF($AK141="","",IF($AK141=0,"",IF(INDEX(LookupData!N:N,$AK141)="","",INDEX(LookupData!N:N,$AK141))))</f>
        <v/>
      </c>
      <c r="O141" s="7" t="str">
        <f>IF($AK141="","",IF($AK141=0,"",IF(INDEX(LookupData!O:O,$AK141)="","",INDEX(LookupData!O:O,$AK141))))</f>
        <v/>
      </c>
      <c r="P141" s="7" t="str">
        <f>IF($AK141="","",IF($AK141=0,"",IF(INDEX(LookupData!P:P,$AK141)="","",INDEX(LookupData!P:P,$AK141))))</f>
        <v/>
      </c>
      <c r="Q141" s="7" t="str">
        <f>IF($AK141="","",IF($AK141=0,"",IF(INDEX(LookupData!Q:Q,$AK141)="","",INDEX(LookupData!Q:Q,$AK141))))</f>
        <v/>
      </c>
      <c r="R141" s="7" t="str">
        <f>IF($AK141="","",IF($AK141=0,"",IF(INDEX(LookupData!R:R,$AK141)="","",INDEX(LookupData!R:R,$AK141))))</f>
        <v/>
      </c>
      <c r="S141" s="7" t="str">
        <f>IF($AK141="","",IF($AK141=0,"",IF(INDEX(LookupData!S:S,$AK141)="","",INDEX(LookupData!S:S,$AK141))))</f>
        <v/>
      </c>
      <c r="T141" s="7" t="str">
        <f>IF($AK141="","",IF($AK141=0,"",IF(INDEX(LookupData!T:T,$AK141)="","",INDEX(LookupData!T:T,$AK141))))</f>
        <v/>
      </c>
      <c r="U141" s="7" t="str">
        <f>IF($AK141="","",IF($AK141=0,"",IF(INDEX(LookupData!U:U,$AK141)="","",INDEX(LookupData!U:U,$AK141))))</f>
        <v/>
      </c>
      <c r="V141" s="7" t="str">
        <f>IF($AK141="","",IF($AK141=0,"",IF(INDEX(LookupData!V:V,$AK141)="","",INDEX(LookupData!V:V,$AK141))))</f>
        <v/>
      </c>
      <c r="W141" t="str">
        <f>IF($AK141="","",IF($AK141=0,"",IF(INDEX(LookupData!W:W,$AK141)="","",INDEX(LookupData!W:W,$AK141))))</f>
        <v/>
      </c>
      <c r="X141" s="7" t="str">
        <f>IF($AK141="","",IF($AK141=0,"",IF(INDEX(LookupData!X:X,$AK141)="","",INDEX(LookupData!X:X,$AK141))))</f>
        <v/>
      </c>
      <c r="Y141" s="7" t="str">
        <f>IF($AK141="","",IF($AK141=0,"",IF(INDEX(LookupData!Y:Y,$AK141)="","",INDEX(LookupData!Y:Y,$AK141))))</f>
        <v/>
      </c>
      <c r="Z141" s="7" t="str">
        <f>IF($AK141="","",IF($AK141=0,"",IF(INDEX(LookupData!Z:Z,$AK141)="","",INDEX(LookupData!Z:Z,$AK141))))</f>
        <v/>
      </c>
      <c r="AA141" s="7" t="str">
        <f>IF($AK141="","",IF($AK141=0,"",IF(INDEX(LookupData!AA:AA,$AK141)="","",INDEX(LookupData!AA:AA,$AK141))))</f>
        <v/>
      </c>
      <c r="AB141" s="7" t="str">
        <f>IF($AK141="","",IF($AK141=0,"",IF(INDEX(LookupData!AB:AB,$AK141)="","",INDEX(LookupData!AB:AB,$AK141))))</f>
        <v/>
      </c>
      <c r="AC141" s="7" t="str">
        <f>IF($AK141="","",IF($AK141=0,"",IF(INDEX(LookupData!AC:AC,$AK141)="","",INDEX(LookupData!AC:AC,$AK141))))</f>
        <v/>
      </c>
      <c r="AD141" s="7" t="str">
        <f>IF($AK141="","",IF($AK141=0,"",IF(INDEX(LookupData!AD:AD,$AK141)="","",INDEX(LookupData!AD:AD,$AK141))))</f>
        <v/>
      </c>
      <c r="AE141" s="7" t="str">
        <f>IF($AK141="","",IF($AK141=0,"",IF(INDEX(LookupData!AE:AE,$AK141)="","",INDEX(LookupData!AE:AE,$AK141))))</f>
        <v/>
      </c>
      <c r="AF141" t="str">
        <f>IF($AK141="","",IF($AK141=0,"",IF(INDEX(LookupData!AF:AF,$AK141)="","",INDEX(LookupData!AF:AF,$AK141))))</f>
        <v/>
      </c>
      <c r="AG141" t="str">
        <f>IF($AK141="","",IF($AK141=0,"",IF(INDEX(LookupData!AG:AG,$AK141)="","",INDEX(LookupData!AG:AG,$AK141))))</f>
        <v/>
      </c>
      <c r="AH141" s="11" t="str">
        <f>IF($AK141="","",IF($AK141=0,"",IF(INDEX(LookupData!AH:AH,$AK141)="","",INDEX(LookupData!AH:AH,$AK141))))</f>
        <v/>
      </c>
      <c r="AI141" s="12" t="str">
        <f>IF($AK141="","",IF($AK141=0,"",IF(INDEX(LookupData!AI:AI,$AK141)="","",HYPERLINK(INDEX(LookupData!AI:AI,$AK141),"Open"))))</f>
        <v/>
      </c>
      <c r="AK141" t="str">
        <f>IF(AL141="","",IFERROR(MATCH(AL141,LookupData!$A:$A,0),0))</f>
        <v/>
      </c>
      <c r="AL141" t="str">
        <f t="shared" si="8"/>
        <v/>
      </c>
      <c r="AM141" t="str">
        <f t="shared" si="9"/>
        <v/>
      </c>
    </row>
    <row r="142" spans="1:39" x14ac:dyDescent="0.2">
      <c r="A142" s="9"/>
      <c r="B142" s="10" t="str">
        <f>IF($AK142="","",IF($AK142=0,"not in the database",IF(INDEX(LookupData!B:B,$AK142)="","",INDEX(LookupData!B:B,$AK142))))</f>
        <v/>
      </c>
      <c r="C142" t="str">
        <f>IF($AK142="","",IF($AK142=0,"",IF(INDEX(LookupData!C:C,$AK142)="","",INDEX(LookupData!C:C,$AK142))))</f>
        <v/>
      </c>
      <c r="D142" t="str">
        <f>IF($AK142="","",IF($AK142=0,"",IF(INDEX(LookupData!D:D,$AK142)="","",INDEX(LookupData!D:D,$AK142))))</f>
        <v/>
      </c>
      <c r="E142" t="str">
        <f>IF($AK142="","",IF($AK142=0,"",IF(INDEX(LookupData!E:E,$AK142)="","",INDEX(LookupData!E:E,$AK142))))</f>
        <v/>
      </c>
      <c r="F142" t="str">
        <f>IF($AK142="","",IF($AK142=0,"",IF(INDEX(LookupData!F:F,$AK142)="","",INDEX(LookupData!F:F,$AK142))))</f>
        <v/>
      </c>
      <c r="G142" t="str">
        <f>IF($AK142="","",IF($AK142=0,"",IF(INDEX(LookupData!G:G,$AK142)="","",INDEX(LookupData!G:G,$AK142))))</f>
        <v/>
      </c>
      <c r="H142" t="str">
        <f>IF($AK142="","",IF($AK142=0,"",IF(INDEX(LookupData!H:H,$AK142)="","",INDEX(LookupData!H:H,$AK142))))</f>
        <v/>
      </c>
      <c r="I142" s="7" t="str">
        <f>IF($AK142="","",IF($AK142=0,"",IF(INDEX(LookupData!I:I,$AK142)="","",INDEX(LookupData!I:I,$AK142))))</f>
        <v/>
      </c>
      <c r="J142" s="7" t="str">
        <f>IF($AK142="","",IF($AK142=0,"",IF(INDEX(LookupData!J:J,$AK142)="","",INDEX(LookupData!J:J,$AK142))))</f>
        <v/>
      </c>
      <c r="K142" s="7" t="str">
        <f>IF($AK142="","",IF($AK142=0,"",IF(INDEX(LookupData!K:K,$AK142)="","",INDEX(LookupData!K:K,$AK142))))</f>
        <v/>
      </c>
      <c r="L142" s="7" t="str">
        <f>IF($AK142="","",IF($AK142=0,"",IF(INDEX(LookupData!L:L,$AK142)="","",INDEX(LookupData!L:L,$AK142))))</f>
        <v/>
      </c>
      <c r="M142" s="7" t="str">
        <f>IF($AK142="","",IF($AK142=0,"",IF(INDEX(LookupData!M:M,$AK142)="","",INDEX(LookupData!M:M,$AK142))))</f>
        <v/>
      </c>
      <c r="N142" s="7" t="str">
        <f>IF($AK142="","",IF($AK142=0,"",IF(INDEX(LookupData!N:N,$AK142)="","",INDEX(LookupData!N:N,$AK142))))</f>
        <v/>
      </c>
      <c r="O142" s="7" t="str">
        <f>IF($AK142="","",IF($AK142=0,"",IF(INDEX(LookupData!O:O,$AK142)="","",INDEX(LookupData!O:O,$AK142))))</f>
        <v/>
      </c>
      <c r="P142" s="7" t="str">
        <f>IF($AK142="","",IF($AK142=0,"",IF(INDEX(LookupData!P:P,$AK142)="","",INDEX(LookupData!P:P,$AK142))))</f>
        <v/>
      </c>
      <c r="Q142" s="7" t="str">
        <f>IF($AK142="","",IF($AK142=0,"",IF(INDEX(LookupData!Q:Q,$AK142)="","",INDEX(LookupData!Q:Q,$AK142))))</f>
        <v/>
      </c>
      <c r="R142" s="7" t="str">
        <f>IF($AK142="","",IF($AK142=0,"",IF(INDEX(LookupData!R:R,$AK142)="","",INDEX(LookupData!R:R,$AK142))))</f>
        <v/>
      </c>
      <c r="S142" s="7" t="str">
        <f>IF($AK142="","",IF($AK142=0,"",IF(INDEX(LookupData!S:S,$AK142)="","",INDEX(LookupData!S:S,$AK142))))</f>
        <v/>
      </c>
      <c r="T142" s="7" t="str">
        <f>IF($AK142="","",IF($AK142=0,"",IF(INDEX(LookupData!T:T,$AK142)="","",INDEX(LookupData!T:T,$AK142))))</f>
        <v/>
      </c>
      <c r="U142" s="7" t="str">
        <f>IF($AK142="","",IF($AK142=0,"",IF(INDEX(LookupData!U:U,$AK142)="","",INDEX(LookupData!U:U,$AK142))))</f>
        <v/>
      </c>
      <c r="V142" s="7" t="str">
        <f>IF($AK142="","",IF($AK142=0,"",IF(INDEX(LookupData!V:V,$AK142)="","",INDEX(LookupData!V:V,$AK142))))</f>
        <v/>
      </c>
      <c r="W142" t="str">
        <f>IF($AK142="","",IF($AK142=0,"",IF(INDEX(LookupData!W:W,$AK142)="","",INDEX(LookupData!W:W,$AK142))))</f>
        <v/>
      </c>
      <c r="X142" s="7" t="str">
        <f>IF($AK142="","",IF($AK142=0,"",IF(INDEX(LookupData!X:X,$AK142)="","",INDEX(LookupData!X:X,$AK142))))</f>
        <v/>
      </c>
      <c r="Y142" s="7" t="str">
        <f>IF($AK142="","",IF($AK142=0,"",IF(INDEX(LookupData!Y:Y,$AK142)="","",INDEX(LookupData!Y:Y,$AK142))))</f>
        <v/>
      </c>
      <c r="Z142" s="7" t="str">
        <f>IF($AK142="","",IF($AK142=0,"",IF(INDEX(LookupData!Z:Z,$AK142)="","",INDEX(LookupData!Z:Z,$AK142))))</f>
        <v/>
      </c>
      <c r="AA142" s="7" t="str">
        <f>IF($AK142="","",IF($AK142=0,"",IF(INDEX(LookupData!AA:AA,$AK142)="","",INDEX(LookupData!AA:AA,$AK142))))</f>
        <v/>
      </c>
      <c r="AB142" s="7" t="str">
        <f>IF($AK142="","",IF($AK142=0,"",IF(INDEX(LookupData!AB:AB,$AK142)="","",INDEX(LookupData!AB:AB,$AK142))))</f>
        <v/>
      </c>
      <c r="AC142" s="7" t="str">
        <f>IF($AK142="","",IF($AK142=0,"",IF(INDEX(LookupData!AC:AC,$AK142)="","",INDEX(LookupData!AC:AC,$AK142))))</f>
        <v/>
      </c>
      <c r="AD142" s="7" t="str">
        <f>IF($AK142="","",IF($AK142=0,"",IF(INDEX(LookupData!AD:AD,$AK142)="","",INDEX(LookupData!AD:AD,$AK142))))</f>
        <v/>
      </c>
      <c r="AE142" s="7" t="str">
        <f>IF($AK142="","",IF($AK142=0,"",IF(INDEX(LookupData!AE:AE,$AK142)="","",INDEX(LookupData!AE:AE,$AK142))))</f>
        <v/>
      </c>
      <c r="AF142" t="str">
        <f>IF($AK142="","",IF($AK142=0,"",IF(INDEX(LookupData!AF:AF,$AK142)="","",INDEX(LookupData!AF:AF,$AK142))))</f>
        <v/>
      </c>
      <c r="AG142" t="str">
        <f>IF($AK142="","",IF($AK142=0,"",IF(INDEX(LookupData!AG:AG,$AK142)="","",INDEX(LookupData!AG:AG,$AK142))))</f>
        <v/>
      </c>
      <c r="AH142" s="11" t="str">
        <f>IF($AK142="","",IF($AK142=0,"",IF(INDEX(LookupData!AH:AH,$AK142)="","",INDEX(LookupData!AH:AH,$AK142))))</f>
        <v/>
      </c>
      <c r="AI142" s="12" t="str">
        <f>IF($AK142="","",IF($AK142=0,"",IF(INDEX(LookupData!AI:AI,$AK142)="","",HYPERLINK(INDEX(LookupData!AI:AI,$AK142),"Open"))))</f>
        <v/>
      </c>
      <c r="AK142" t="str">
        <f>IF(AL142="","",IFERROR(MATCH(AL142,LookupData!$A:$A,0),0))</f>
        <v/>
      </c>
      <c r="AL142" t="str">
        <f t="shared" si="8"/>
        <v/>
      </c>
      <c r="AM142" t="str">
        <f t="shared" si="9"/>
        <v/>
      </c>
    </row>
    <row r="143" spans="1:39" x14ac:dyDescent="0.2">
      <c r="A143" s="9"/>
      <c r="B143" s="10" t="str">
        <f>IF($AK143="","",IF($AK143=0,"not in the database",IF(INDEX(LookupData!B:B,$AK143)="","",INDEX(LookupData!B:B,$AK143))))</f>
        <v/>
      </c>
      <c r="C143" t="str">
        <f>IF($AK143="","",IF($AK143=0,"",IF(INDEX(LookupData!C:C,$AK143)="","",INDEX(LookupData!C:C,$AK143))))</f>
        <v/>
      </c>
      <c r="D143" t="str">
        <f>IF($AK143="","",IF($AK143=0,"",IF(INDEX(LookupData!D:D,$AK143)="","",INDEX(LookupData!D:D,$AK143))))</f>
        <v/>
      </c>
      <c r="E143" t="str">
        <f>IF($AK143="","",IF($AK143=0,"",IF(INDEX(LookupData!E:E,$AK143)="","",INDEX(LookupData!E:E,$AK143))))</f>
        <v/>
      </c>
      <c r="F143" t="str">
        <f>IF($AK143="","",IF($AK143=0,"",IF(INDEX(LookupData!F:F,$AK143)="","",INDEX(LookupData!F:F,$AK143))))</f>
        <v/>
      </c>
      <c r="G143" t="str">
        <f>IF($AK143="","",IF($AK143=0,"",IF(INDEX(LookupData!G:G,$AK143)="","",INDEX(LookupData!G:G,$AK143))))</f>
        <v/>
      </c>
      <c r="H143" t="str">
        <f>IF($AK143="","",IF($AK143=0,"",IF(INDEX(LookupData!H:H,$AK143)="","",INDEX(LookupData!H:H,$AK143))))</f>
        <v/>
      </c>
      <c r="I143" s="7" t="str">
        <f>IF($AK143="","",IF($AK143=0,"",IF(INDEX(LookupData!I:I,$AK143)="","",INDEX(LookupData!I:I,$AK143))))</f>
        <v/>
      </c>
      <c r="J143" s="7" t="str">
        <f>IF($AK143="","",IF($AK143=0,"",IF(INDEX(LookupData!J:J,$AK143)="","",INDEX(LookupData!J:J,$AK143))))</f>
        <v/>
      </c>
      <c r="K143" s="7" t="str">
        <f>IF($AK143="","",IF($AK143=0,"",IF(INDEX(LookupData!K:K,$AK143)="","",INDEX(LookupData!K:K,$AK143))))</f>
        <v/>
      </c>
      <c r="L143" s="7" t="str">
        <f>IF($AK143="","",IF($AK143=0,"",IF(INDEX(LookupData!L:L,$AK143)="","",INDEX(LookupData!L:L,$AK143))))</f>
        <v/>
      </c>
      <c r="M143" s="7" t="str">
        <f>IF($AK143="","",IF($AK143=0,"",IF(INDEX(LookupData!M:M,$AK143)="","",INDEX(LookupData!M:M,$AK143))))</f>
        <v/>
      </c>
      <c r="N143" s="7" t="str">
        <f>IF($AK143="","",IF($AK143=0,"",IF(INDEX(LookupData!N:N,$AK143)="","",INDEX(LookupData!N:N,$AK143))))</f>
        <v/>
      </c>
      <c r="O143" s="7" t="str">
        <f>IF($AK143="","",IF($AK143=0,"",IF(INDEX(LookupData!O:O,$AK143)="","",INDEX(LookupData!O:O,$AK143))))</f>
        <v/>
      </c>
      <c r="P143" s="7" t="str">
        <f>IF($AK143="","",IF($AK143=0,"",IF(INDEX(LookupData!P:P,$AK143)="","",INDEX(LookupData!P:P,$AK143))))</f>
        <v/>
      </c>
      <c r="Q143" s="7" t="str">
        <f>IF($AK143="","",IF($AK143=0,"",IF(INDEX(LookupData!Q:Q,$AK143)="","",INDEX(LookupData!Q:Q,$AK143))))</f>
        <v/>
      </c>
      <c r="R143" s="7" t="str">
        <f>IF($AK143="","",IF($AK143=0,"",IF(INDEX(LookupData!R:R,$AK143)="","",INDEX(LookupData!R:R,$AK143))))</f>
        <v/>
      </c>
      <c r="S143" s="7" t="str">
        <f>IF($AK143="","",IF($AK143=0,"",IF(INDEX(LookupData!S:S,$AK143)="","",INDEX(LookupData!S:S,$AK143))))</f>
        <v/>
      </c>
      <c r="T143" s="7" t="str">
        <f>IF($AK143="","",IF($AK143=0,"",IF(INDEX(LookupData!T:T,$AK143)="","",INDEX(LookupData!T:T,$AK143))))</f>
        <v/>
      </c>
      <c r="U143" s="7" t="str">
        <f>IF($AK143="","",IF($AK143=0,"",IF(INDEX(LookupData!U:U,$AK143)="","",INDEX(LookupData!U:U,$AK143))))</f>
        <v/>
      </c>
      <c r="V143" s="7" t="str">
        <f>IF($AK143="","",IF($AK143=0,"",IF(INDEX(LookupData!V:V,$AK143)="","",INDEX(LookupData!V:V,$AK143))))</f>
        <v/>
      </c>
      <c r="W143" t="str">
        <f>IF($AK143="","",IF($AK143=0,"",IF(INDEX(LookupData!W:W,$AK143)="","",INDEX(LookupData!W:W,$AK143))))</f>
        <v/>
      </c>
      <c r="X143" s="7" t="str">
        <f>IF($AK143="","",IF($AK143=0,"",IF(INDEX(LookupData!X:X,$AK143)="","",INDEX(LookupData!X:X,$AK143))))</f>
        <v/>
      </c>
      <c r="Y143" s="7" t="str">
        <f>IF($AK143="","",IF($AK143=0,"",IF(INDEX(LookupData!Y:Y,$AK143)="","",INDEX(LookupData!Y:Y,$AK143))))</f>
        <v/>
      </c>
      <c r="Z143" s="7" t="str">
        <f>IF($AK143="","",IF($AK143=0,"",IF(INDEX(LookupData!Z:Z,$AK143)="","",INDEX(LookupData!Z:Z,$AK143))))</f>
        <v/>
      </c>
      <c r="AA143" s="7" t="str">
        <f>IF($AK143="","",IF($AK143=0,"",IF(INDEX(LookupData!AA:AA,$AK143)="","",INDEX(LookupData!AA:AA,$AK143))))</f>
        <v/>
      </c>
      <c r="AB143" s="7" t="str">
        <f>IF($AK143="","",IF($AK143=0,"",IF(INDEX(LookupData!AB:AB,$AK143)="","",INDEX(LookupData!AB:AB,$AK143))))</f>
        <v/>
      </c>
      <c r="AC143" s="7" t="str">
        <f>IF($AK143="","",IF($AK143=0,"",IF(INDEX(LookupData!AC:AC,$AK143)="","",INDEX(LookupData!AC:AC,$AK143))))</f>
        <v/>
      </c>
      <c r="AD143" s="7" t="str">
        <f>IF($AK143="","",IF($AK143=0,"",IF(INDEX(LookupData!AD:AD,$AK143)="","",INDEX(LookupData!AD:AD,$AK143))))</f>
        <v/>
      </c>
      <c r="AE143" s="7" t="str">
        <f>IF($AK143="","",IF($AK143=0,"",IF(INDEX(LookupData!AE:AE,$AK143)="","",INDEX(LookupData!AE:AE,$AK143))))</f>
        <v/>
      </c>
      <c r="AF143" t="str">
        <f>IF($AK143="","",IF($AK143=0,"",IF(INDEX(LookupData!AF:AF,$AK143)="","",INDEX(LookupData!AF:AF,$AK143))))</f>
        <v/>
      </c>
      <c r="AG143" t="str">
        <f>IF($AK143="","",IF($AK143=0,"",IF(INDEX(LookupData!AG:AG,$AK143)="","",INDEX(LookupData!AG:AG,$AK143))))</f>
        <v/>
      </c>
      <c r="AH143" s="11" t="str">
        <f>IF($AK143="","",IF($AK143=0,"",IF(INDEX(LookupData!AH:AH,$AK143)="","",INDEX(LookupData!AH:AH,$AK143))))</f>
        <v/>
      </c>
      <c r="AI143" s="12" t="str">
        <f>IF($AK143="","",IF($AK143=0,"",IF(INDEX(LookupData!AI:AI,$AK143)="","",HYPERLINK(INDEX(LookupData!AI:AI,$AK143),"Open"))))</f>
        <v/>
      </c>
      <c r="AK143" t="str">
        <f>IF(AL143="","",IFERROR(MATCH(AL143,LookupData!$A:$A,0),0))</f>
        <v/>
      </c>
      <c r="AL143" t="str">
        <f t="shared" si="8"/>
        <v/>
      </c>
      <c r="AM143" t="str">
        <f t="shared" si="9"/>
        <v/>
      </c>
    </row>
    <row r="144" spans="1:39" x14ac:dyDescent="0.2">
      <c r="A144" s="9"/>
      <c r="B144" s="10" t="str">
        <f>IF($AK144="","",IF($AK144=0,"not in the database",IF(INDEX(LookupData!B:B,$AK144)="","",INDEX(LookupData!B:B,$AK144))))</f>
        <v/>
      </c>
      <c r="C144" t="str">
        <f>IF($AK144="","",IF($AK144=0,"",IF(INDEX(LookupData!C:C,$AK144)="","",INDEX(LookupData!C:C,$AK144))))</f>
        <v/>
      </c>
      <c r="D144" t="str">
        <f>IF($AK144="","",IF($AK144=0,"",IF(INDEX(LookupData!D:D,$AK144)="","",INDEX(LookupData!D:D,$AK144))))</f>
        <v/>
      </c>
      <c r="E144" t="str">
        <f>IF($AK144="","",IF($AK144=0,"",IF(INDEX(LookupData!E:E,$AK144)="","",INDEX(LookupData!E:E,$AK144))))</f>
        <v/>
      </c>
      <c r="F144" t="str">
        <f>IF($AK144="","",IF($AK144=0,"",IF(INDEX(LookupData!F:F,$AK144)="","",INDEX(LookupData!F:F,$AK144))))</f>
        <v/>
      </c>
      <c r="G144" t="str">
        <f>IF($AK144="","",IF($AK144=0,"",IF(INDEX(LookupData!G:G,$AK144)="","",INDEX(LookupData!G:G,$AK144))))</f>
        <v/>
      </c>
      <c r="H144" t="str">
        <f>IF($AK144="","",IF($AK144=0,"",IF(INDEX(LookupData!H:H,$AK144)="","",INDEX(LookupData!H:H,$AK144))))</f>
        <v/>
      </c>
      <c r="I144" s="7" t="str">
        <f>IF($AK144="","",IF($AK144=0,"",IF(INDEX(LookupData!I:I,$AK144)="","",INDEX(LookupData!I:I,$AK144))))</f>
        <v/>
      </c>
      <c r="J144" s="7" t="str">
        <f>IF($AK144="","",IF($AK144=0,"",IF(INDEX(LookupData!J:J,$AK144)="","",INDEX(LookupData!J:J,$AK144))))</f>
        <v/>
      </c>
      <c r="K144" s="7" t="str">
        <f>IF($AK144="","",IF($AK144=0,"",IF(INDEX(LookupData!K:K,$AK144)="","",INDEX(LookupData!K:K,$AK144))))</f>
        <v/>
      </c>
      <c r="L144" s="7" t="str">
        <f>IF($AK144="","",IF($AK144=0,"",IF(INDEX(LookupData!L:L,$AK144)="","",INDEX(LookupData!L:L,$AK144))))</f>
        <v/>
      </c>
      <c r="M144" s="7" t="str">
        <f>IF($AK144="","",IF($AK144=0,"",IF(INDEX(LookupData!M:M,$AK144)="","",INDEX(LookupData!M:M,$AK144))))</f>
        <v/>
      </c>
      <c r="N144" s="7" t="str">
        <f>IF($AK144="","",IF($AK144=0,"",IF(INDEX(LookupData!N:N,$AK144)="","",INDEX(LookupData!N:N,$AK144))))</f>
        <v/>
      </c>
      <c r="O144" s="7" t="str">
        <f>IF($AK144="","",IF($AK144=0,"",IF(INDEX(LookupData!O:O,$AK144)="","",INDEX(LookupData!O:O,$AK144))))</f>
        <v/>
      </c>
      <c r="P144" s="7" t="str">
        <f>IF($AK144="","",IF($AK144=0,"",IF(INDEX(LookupData!P:P,$AK144)="","",INDEX(LookupData!P:P,$AK144))))</f>
        <v/>
      </c>
      <c r="Q144" s="7" t="str">
        <f>IF($AK144="","",IF($AK144=0,"",IF(INDEX(LookupData!Q:Q,$AK144)="","",INDEX(LookupData!Q:Q,$AK144))))</f>
        <v/>
      </c>
      <c r="R144" s="7" t="str">
        <f>IF($AK144="","",IF($AK144=0,"",IF(INDEX(LookupData!R:R,$AK144)="","",INDEX(LookupData!R:R,$AK144))))</f>
        <v/>
      </c>
      <c r="S144" s="7" t="str">
        <f>IF($AK144="","",IF($AK144=0,"",IF(INDEX(LookupData!S:S,$AK144)="","",INDEX(LookupData!S:S,$AK144))))</f>
        <v/>
      </c>
      <c r="T144" s="7" t="str">
        <f>IF($AK144="","",IF($AK144=0,"",IF(INDEX(LookupData!T:T,$AK144)="","",INDEX(LookupData!T:T,$AK144))))</f>
        <v/>
      </c>
      <c r="U144" s="7" t="str">
        <f>IF($AK144="","",IF($AK144=0,"",IF(INDEX(LookupData!U:U,$AK144)="","",INDEX(LookupData!U:U,$AK144))))</f>
        <v/>
      </c>
      <c r="V144" s="7" t="str">
        <f>IF($AK144="","",IF($AK144=0,"",IF(INDEX(LookupData!V:V,$AK144)="","",INDEX(LookupData!V:V,$AK144))))</f>
        <v/>
      </c>
      <c r="W144" t="str">
        <f>IF($AK144="","",IF($AK144=0,"",IF(INDEX(LookupData!W:W,$AK144)="","",INDEX(LookupData!W:W,$AK144))))</f>
        <v/>
      </c>
      <c r="X144" s="7" t="str">
        <f>IF($AK144="","",IF($AK144=0,"",IF(INDEX(LookupData!X:X,$AK144)="","",INDEX(LookupData!X:X,$AK144))))</f>
        <v/>
      </c>
      <c r="Y144" s="7" t="str">
        <f>IF($AK144="","",IF($AK144=0,"",IF(INDEX(LookupData!Y:Y,$AK144)="","",INDEX(LookupData!Y:Y,$AK144))))</f>
        <v/>
      </c>
      <c r="Z144" s="7" t="str">
        <f>IF($AK144="","",IF($AK144=0,"",IF(INDEX(LookupData!Z:Z,$AK144)="","",INDEX(LookupData!Z:Z,$AK144))))</f>
        <v/>
      </c>
      <c r="AA144" s="7" t="str">
        <f>IF($AK144="","",IF($AK144=0,"",IF(INDEX(LookupData!AA:AA,$AK144)="","",INDEX(LookupData!AA:AA,$AK144))))</f>
        <v/>
      </c>
      <c r="AB144" s="7" t="str">
        <f>IF($AK144="","",IF($AK144=0,"",IF(INDEX(LookupData!AB:AB,$AK144)="","",INDEX(LookupData!AB:AB,$AK144))))</f>
        <v/>
      </c>
      <c r="AC144" s="7" t="str">
        <f>IF($AK144="","",IF($AK144=0,"",IF(INDEX(LookupData!AC:AC,$AK144)="","",INDEX(LookupData!AC:AC,$AK144))))</f>
        <v/>
      </c>
      <c r="AD144" s="7" t="str">
        <f>IF($AK144="","",IF($AK144=0,"",IF(INDEX(LookupData!AD:AD,$AK144)="","",INDEX(LookupData!AD:AD,$AK144))))</f>
        <v/>
      </c>
      <c r="AE144" s="7" t="str">
        <f>IF($AK144="","",IF($AK144=0,"",IF(INDEX(LookupData!AE:AE,$AK144)="","",INDEX(LookupData!AE:AE,$AK144))))</f>
        <v/>
      </c>
      <c r="AF144" t="str">
        <f>IF($AK144="","",IF($AK144=0,"",IF(INDEX(LookupData!AF:AF,$AK144)="","",INDEX(LookupData!AF:AF,$AK144))))</f>
        <v/>
      </c>
      <c r="AG144" t="str">
        <f>IF($AK144="","",IF($AK144=0,"",IF(INDEX(LookupData!AG:AG,$AK144)="","",INDEX(LookupData!AG:AG,$AK144))))</f>
        <v/>
      </c>
      <c r="AH144" s="11" t="str">
        <f>IF($AK144="","",IF($AK144=0,"",IF(INDEX(LookupData!AH:AH,$AK144)="","",INDEX(LookupData!AH:AH,$AK144))))</f>
        <v/>
      </c>
      <c r="AI144" s="12" t="str">
        <f>IF($AK144="","",IF($AK144=0,"",IF(INDEX(LookupData!AI:AI,$AK144)="","",HYPERLINK(INDEX(LookupData!AI:AI,$AK144),"Open"))))</f>
        <v/>
      </c>
      <c r="AK144" t="str">
        <f>IF(AL144="","",IFERROR(MATCH(AL144,LookupData!$A:$A,0),0))</f>
        <v/>
      </c>
      <c r="AL144" t="str">
        <f t="shared" si="8"/>
        <v/>
      </c>
      <c r="AM144" t="str">
        <f t="shared" si="9"/>
        <v/>
      </c>
    </row>
    <row r="145" spans="1:39" x14ac:dyDescent="0.2">
      <c r="A145" s="9"/>
      <c r="B145" s="10" t="str">
        <f>IF($AK145="","",IF($AK145=0,"not in the database",IF(INDEX(LookupData!B:B,$AK145)="","",INDEX(LookupData!B:B,$AK145))))</f>
        <v/>
      </c>
      <c r="C145" t="str">
        <f>IF($AK145="","",IF($AK145=0,"",IF(INDEX(LookupData!C:C,$AK145)="","",INDEX(LookupData!C:C,$AK145))))</f>
        <v/>
      </c>
      <c r="D145" t="str">
        <f>IF($AK145="","",IF($AK145=0,"",IF(INDEX(LookupData!D:D,$AK145)="","",INDEX(LookupData!D:D,$AK145))))</f>
        <v/>
      </c>
      <c r="E145" t="str">
        <f>IF($AK145="","",IF($AK145=0,"",IF(INDEX(LookupData!E:E,$AK145)="","",INDEX(LookupData!E:E,$AK145))))</f>
        <v/>
      </c>
      <c r="F145" t="str">
        <f>IF($AK145="","",IF($AK145=0,"",IF(INDEX(LookupData!F:F,$AK145)="","",INDEX(LookupData!F:F,$AK145))))</f>
        <v/>
      </c>
      <c r="G145" t="str">
        <f>IF($AK145="","",IF($AK145=0,"",IF(INDEX(LookupData!G:G,$AK145)="","",INDEX(LookupData!G:G,$AK145))))</f>
        <v/>
      </c>
      <c r="H145" t="str">
        <f>IF($AK145="","",IF($AK145=0,"",IF(INDEX(LookupData!H:H,$AK145)="","",INDEX(LookupData!H:H,$AK145))))</f>
        <v/>
      </c>
      <c r="I145" s="7" t="str">
        <f>IF($AK145="","",IF($AK145=0,"",IF(INDEX(LookupData!I:I,$AK145)="","",INDEX(LookupData!I:I,$AK145))))</f>
        <v/>
      </c>
      <c r="J145" s="7" t="str">
        <f>IF($AK145="","",IF($AK145=0,"",IF(INDEX(LookupData!J:J,$AK145)="","",INDEX(LookupData!J:J,$AK145))))</f>
        <v/>
      </c>
      <c r="K145" s="7" t="str">
        <f>IF($AK145="","",IF($AK145=0,"",IF(INDEX(LookupData!K:K,$AK145)="","",INDEX(LookupData!K:K,$AK145))))</f>
        <v/>
      </c>
      <c r="L145" s="7" t="str">
        <f>IF($AK145="","",IF($AK145=0,"",IF(INDEX(LookupData!L:L,$AK145)="","",INDEX(LookupData!L:L,$AK145))))</f>
        <v/>
      </c>
      <c r="M145" s="7" t="str">
        <f>IF($AK145="","",IF($AK145=0,"",IF(INDEX(LookupData!M:M,$AK145)="","",INDEX(LookupData!M:M,$AK145))))</f>
        <v/>
      </c>
      <c r="N145" s="7" t="str">
        <f>IF($AK145="","",IF($AK145=0,"",IF(INDEX(LookupData!N:N,$AK145)="","",INDEX(LookupData!N:N,$AK145))))</f>
        <v/>
      </c>
      <c r="O145" s="7" t="str">
        <f>IF($AK145="","",IF($AK145=0,"",IF(INDEX(LookupData!O:O,$AK145)="","",INDEX(LookupData!O:O,$AK145))))</f>
        <v/>
      </c>
      <c r="P145" s="7" t="str">
        <f>IF($AK145="","",IF($AK145=0,"",IF(INDEX(LookupData!P:P,$AK145)="","",INDEX(LookupData!P:P,$AK145))))</f>
        <v/>
      </c>
      <c r="Q145" s="7" t="str">
        <f>IF($AK145="","",IF($AK145=0,"",IF(INDEX(LookupData!Q:Q,$AK145)="","",INDEX(LookupData!Q:Q,$AK145))))</f>
        <v/>
      </c>
      <c r="R145" s="7" t="str">
        <f>IF($AK145="","",IF($AK145=0,"",IF(INDEX(LookupData!R:R,$AK145)="","",INDEX(LookupData!R:R,$AK145))))</f>
        <v/>
      </c>
      <c r="S145" s="7" t="str">
        <f>IF($AK145="","",IF($AK145=0,"",IF(INDEX(LookupData!S:S,$AK145)="","",INDEX(LookupData!S:S,$AK145))))</f>
        <v/>
      </c>
      <c r="T145" s="7" t="str">
        <f>IF($AK145="","",IF($AK145=0,"",IF(INDEX(LookupData!T:T,$AK145)="","",INDEX(LookupData!T:T,$AK145))))</f>
        <v/>
      </c>
      <c r="U145" s="7" t="str">
        <f>IF($AK145="","",IF($AK145=0,"",IF(INDEX(LookupData!U:U,$AK145)="","",INDEX(LookupData!U:U,$AK145))))</f>
        <v/>
      </c>
      <c r="V145" s="7" t="str">
        <f>IF($AK145="","",IF($AK145=0,"",IF(INDEX(LookupData!V:V,$AK145)="","",INDEX(LookupData!V:V,$AK145))))</f>
        <v/>
      </c>
      <c r="W145" t="str">
        <f>IF($AK145="","",IF($AK145=0,"",IF(INDEX(LookupData!W:W,$AK145)="","",INDEX(LookupData!W:W,$AK145))))</f>
        <v/>
      </c>
      <c r="X145" s="7" t="str">
        <f>IF($AK145="","",IF($AK145=0,"",IF(INDEX(LookupData!X:X,$AK145)="","",INDEX(LookupData!X:X,$AK145))))</f>
        <v/>
      </c>
      <c r="Y145" s="7" t="str">
        <f>IF($AK145="","",IF($AK145=0,"",IF(INDEX(LookupData!Y:Y,$AK145)="","",INDEX(LookupData!Y:Y,$AK145))))</f>
        <v/>
      </c>
      <c r="Z145" s="7" t="str">
        <f>IF($AK145="","",IF($AK145=0,"",IF(INDEX(LookupData!Z:Z,$AK145)="","",INDEX(LookupData!Z:Z,$AK145))))</f>
        <v/>
      </c>
      <c r="AA145" s="7" t="str">
        <f>IF($AK145="","",IF($AK145=0,"",IF(INDEX(LookupData!AA:AA,$AK145)="","",INDEX(LookupData!AA:AA,$AK145))))</f>
        <v/>
      </c>
      <c r="AB145" s="7" t="str">
        <f>IF($AK145="","",IF($AK145=0,"",IF(INDEX(LookupData!AB:AB,$AK145)="","",INDEX(LookupData!AB:AB,$AK145))))</f>
        <v/>
      </c>
      <c r="AC145" s="7" t="str">
        <f>IF($AK145="","",IF($AK145=0,"",IF(INDEX(LookupData!AC:AC,$AK145)="","",INDEX(LookupData!AC:AC,$AK145))))</f>
        <v/>
      </c>
      <c r="AD145" s="7" t="str">
        <f>IF($AK145="","",IF($AK145=0,"",IF(INDEX(LookupData!AD:AD,$AK145)="","",INDEX(LookupData!AD:AD,$AK145))))</f>
        <v/>
      </c>
      <c r="AE145" s="7" t="str">
        <f>IF($AK145="","",IF($AK145=0,"",IF(INDEX(LookupData!AE:AE,$AK145)="","",INDEX(LookupData!AE:AE,$AK145))))</f>
        <v/>
      </c>
      <c r="AF145" t="str">
        <f>IF($AK145="","",IF($AK145=0,"",IF(INDEX(LookupData!AF:AF,$AK145)="","",INDEX(LookupData!AF:AF,$AK145))))</f>
        <v/>
      </c>
      <c r="AG145" t="str">
        <f>IF($AK145="","",IF($AK145=0,"",IF(INDEX(LookupData!AG:AG,$AK145)="","",INDEX(LookupData!AG:AG,$AK145))))</f>
        <v/>
      </c>
      <c r="AH145" s="11" t="str">
        <f>IF($AK145="","",IF($AK145=0,"",IF(INDEX(LookupData!AH:AH,$AK145)="","",INDEX(LookupData!AH:AH,$AK145))))</f>
        <v/>
      </c>
      <c r="AI145" s="12" t="str">
        <f>IF($AK145="","",IF($AK145=0,"",IF(INDEX(LookupData!AI:AI,$AK145)="","",HYPERLINK(INDEX(LookupData!AI:AI,$AK145),"Open"))))</f>
        <v/>
      </c>
      <c r="AK145" t="str">
        <f>IF(AL145="","",IFERROR(MATCH(AL145,LookupData!$A:$A,0),0))</f>
        <v/>
      </c>
      <c r="AL145" t="str">
        <f t="shared" si="8"/>
        <v/>
      </c>
      <c r="AM145" t="str">
        <f t="shared" si="9"/>
        <v/>
      </c>
    </row>
    <row r="146" spans="1:39" x14ac:dyDescent="0.2">
      <c r="A146" s="9"/>
      <c r="B146" s="10" t="str">
        <f>IF($AK146="","",IF($AK146=0,"not in the database",IF(INDEX(LookupData!B:B,$AK146)="","",INDEX(LookupData!B:B,$AK146))))</f>
        <v/>
      </c>
      <c r="C146" t="str">
        <f>IF($AK146="","",IF($AK146=0,"",IF(INDEX(LookupData!C:C,$AK146)="","",INDEX(LookupData!C:C,$AK146))))</f>
        <v/>
      </c>
      <c r="D146" t="str">
        <f>IF($AK146="","",IF($AK146=0,"",IF(INDEX(LookupData!D:D,$AK146)="","",INDEX(LookupData!D:D,$AK146))))</f>
        <v/>
      </c>
      <c r="E146" t="str">
        <f>IF($AK146="","",IF($AK146=0,"",IF(INDEX(LookupData!E:E,$AK146)="","",INDEX(LookupData!E:E,$AK146))))</f>
        <v/>
      </c>
      <c r="F146" t="str">
        <f>IF($AK146="","",IF($AK146=0,"",IF(INDEX(LookupData!F:F,$AK146)="","",INDEX(LookupData!F:F,$AK146))))</f>
        <v/>
      </c>
      <c r="G146" t="str">
        <f>IF($AK146="","",IF($AK146=0,"",IF(INDEX(LookupData!G:G,$AK146)="","",INDEX(LookupData!G:G,$AK146))))</f>
        <v/>
      </c>
      <c r="H146" t="str">
        <f>IF($AK146="","",IF($AK146=0,"",IF(INDEX(LookupData!H:H,$AK146)="","",INDEX(LookupData!H:H,$AK146))))</f>
        <v/>
      </c>
      <c r="I146" s="7" t="str">
        <f>IF($AK146="","",IF($AK146=0,"",IF(INDEX(LookupData!I:I,$AK146)="","",INDEX(LookupData!I:I,$AK146))))</f>
        <v/>
      </c>
      <c r="J146" s="7" t="str">
        <f>IF($AK146="","",IF($AK146=0,"",IF(INDEX(LookupData!J:J,$AK146)="","",INDEX(LookupData!J:J,$AK146))))</f>
        <v/>
      </c>
      <c r="K146" s="7" t="str">
        <f>IF($AK146="","",IF($AK146=0,"",IF(INDEX(LookupData!K:K,$AK146)="","",INDEX(LookupData!K:K,$AK146))))</f>
        <v/>
      </c>
      <c r="L146" s="7" t="str">
        <f>IF($AK146="","",IF($AK146=0,"",IF(INDEX(LookupData!L:L,$AK146)="","",INDEX(LookupData!L:L,$AK146))))</f>
        <v/>
      </c>
      <c r="M146" s="7" t="str">
        <f>IF($AK146="","",IF($AK146=0,"",IF(INDEX(LookupData!M:M,$AK146)="","",INDEX(LookupData!M:M,$AK146))))</f>
        <v/>
      </c>
      <c r="N146" s="7" t="str">
        <f>IF($AK146="","",IF($AK146=0,"",IF(INDEX(LookupData!N:N,$AK146)="","",INDEX(LookupData!N:N,$AK146))))</f>
        <v/>
      </c>
      <c r="O146" s="7" t="str">
        <f>IF($AK146="","",IF($AK146=0,"",IF(INDEX(LookupData!O:O,$AK146)="","",INDEX(LookupData!O:O,$AK146))))</f>
        <v/>
      </c>
      <c r="P146" s="7" t="str">
        <f>IF($AK146="","",IF($AK146=0,"",IF(INDEX(LookupData!P:P,$AK146)="","",INDEX(LookupData!P:P,$AK146))))</f>
        <v/>
      </c>
      <c r="Q146" s="7" t="str">
        <f>IF($AK146="","",IF($AK146=0,"",IF(INDEX(LookupData!Q:Q,$AK146)="","",INDEX(LookupData!Q:Q,$AK146))))</f>
        <v/>
      </c>
      <c r="R146" s="7" t="str">
        <f>IF($AK146="","",IF($AK146=0,"",IF(INDEX(LookupData!R:R,$AK146)="","",INDEX(LookupData!R:R,$AK146))))</f>
        <v/>
      </c>
      <c r="S146" s="7" t="str">
        <f>IF($AK146="","",IF($AK146=0,"",IF(INDEX(LookupData!S:S,$AK146)="","",INDEX(LookupData!S:S,$AK146))))</f>
        <v/>
      </c>
      <c r="T146" s="7" t="str">
        <f>IF($AK146="","",IF($AK146=0,"",IF(INDEX(LookupData!T:T,$AK146)="","",INDEX(LookupData!T:T,$AK146))))</f>
        <v/>
      </c>
      <c r="U146" s="7" t="str">
        <f>IF($AK146="","",IF($AK146=0,"",IF(INDEX(LookupData!U:U,$AK146)="","",INDEX(LookupData!U:U,$AK146))))</f>
        <v/>
      </c>
      <c r="V146" s="7" t="str">
        <f>IF($AK146="","",IF($AK146=0,"",IF(INDEX(LookupData!V:V,$AK146)="","",INDEX(LookupData!V:V,$AK146))))</f>
        <v/>
      </c>
      <c r="W146" t="str">
        <f>IF($AK146="","",IF($AK146=0,"",IF(INDEX(LookupData!W:W,$AK146)="","",INDEX(LookupData!W:W,$AK146))))</f>
        <v/>
      </c>
      <c r="X146" s="7" t="str">
        <f>IF($AK146="","",IF($AK146=0,"",IF(INDEX(LookupData!X:X,$AK146)="","",INDEX(LookupData!X:X,$AK146))))</f>
        <v/>
      </c>
      <c r="Y146" s="7" t="str">
        <f>IF($AK146="","",IF($AK146=0,"",IF(INDEX(LookupData!Y:Y,$AK146)="","",INDEX(LookupData!Y:Y,$AK146))))</f>
        <v/>
      </c>
      <c r="Z146" s="7" t="str">
        <f>IF($AK146="","",IF($AK146=0,"",IF(INDEX(LookupData!Z:Z,$AK146)="","",INDEX(LookupData!Z:Z,$AK146))))</f>
        <v/>
      </c>
      <c r="AA146" s="7" t="str">
        <f>IF($AK146="","",IF($AK146=0,"",IF(INDEX(LookupData!AA:AA,$AK146)="","",INDEX(LookupData!AA:AA,$AK146))))</f>
        <v/>
      </c>
      <c r="AB146" s="7" t="str">
        <f>IF($AK146="","",IF($AK146=0,"",IF(INDEX(LookupData!AB:AB,$AK146)="","",INDEX(LookupData!AB:AB,$AK146))))</f>
        <v/>
      </c>
      <c r="AC146" s="7" t="str">
        <f>IF($AK146="","",IF($AK146=0,"",IF(INDEX(LookupData!AC:AC,$AK146)="","",INDEX(LookupData!AC:AC,$AK146))))</f>
        <v/>
      </c>
      <c r="AD146" s="7" t="str">
        <f>IF($AK146="","",IF($AK146=0,"",IF(INDEX(LookupData!AD:AD,$AK146)="","",INDEX(LookupData!AD:AD,$AK146))))</f>
        <v/>
      </c>
      <c r="AE146" s="7" t="str">
        <f>IF($AK146="","",IF($AK146=0,"",IF(INDEX(LookupData!AE:AE,$AK146)="","",INDEX(LookupData!AE:AE,$AK146))))</f>
        <v/>
      </c>
      <c r="AF146" t="str">
        <f>IF($AK146="","",IF($AK146=0,"",IF(INDEX(LookupData!AF:AF,$AK146)="","",INDEX(LookupData!AF:AF,$AK146))))</f>
        <v/>
      </c>
      <c r="AG146" t="str">
        <f>IF($AK146="","",IF($AK146=0,"",IF(INDEX(LookupData!AG:AG,$AK146)="","",INDEX(LookupData!AG:AG,$AK146))))</f>
        <v/>
      </c>
      <c r="AH146" s="11" t="str">
        <f>IF($AK146="","",IF($AK146=0,"",IF(INDEX(LookupData!AH:AH,$AK146)="","",INDEX(LookupData!AH:AH,$AK146))))</f>
        <v/>
      </c>
      <c r="AI146" s="12" t="str">
        <f>IF($AK146="","",IF($AK146=0,"",IF(INDEX(LookupData!AI:AI,$AK146)="","",HYPERLINK(INDEX(LookupData!AI:AI,$AK146),"Open"))))</f>
        <v/>
      </c>
      <c r="AK146" t="str">
        <f>IF(AL146="","",IFERROR(MATCH(AL146,LookupData!$A:$A,0),0))</f>
        <v/>
      </c>
      <c r="AL146" t="str">
        <f t="shared" si="8"/>
        <v/>
      </c>
      <c r="AM146" t="str">
        <f t="shared" si="9"/>
        <v/>
      </c>
    </row>
    <row r="147" spans="1:39" x14ac:dyDescent="0.2">
      <c r="A147" s="9"/>
      <c r="B147" s="10" t="str">
        <f>IF($AK147="","",IF($AK147=0,"not in the database",IF(INDEX(LookupData!B:B,$AK147)="","",INDEX(LookupData!B:B,$AK147))))</f>
        <v/>
      </c>
      <c r="C147" t="str">
        <f>IF($AK147="","",IF($AK147=0,"",IF(INDEX(LookupData!C:C,$AK147)="","",INDEX(LookupData!C:C,$AK147))))</f>
        <v/>
      </c>
      <c r="D147" t="str">
        <f>IF($AK147="","",IF($AK147=0,"",IF(INDEX(LookupData!D:D,$AK147)="","",INDEX(LookupData!D:D,$AK147))))</f>
        <v/>
      </c>
      <c r="E147" t="str">
        <f>IF($AK147="","",IF($AK147=0,"",IF(INDEX(LookupData!E:E,$AK147)="","",INDEX(LookupData!E:E,$AK147))))</f>
        <v/>
      </c>
      <c r="F147" t="str">
        <f>IF($AK147="","",IF($AK147=0,"",IF(INDEX(LookupData!F:F,$AK147)="","",INDEX(LookupData!F:F,$AK147))))</f>
        <v/>
      </c>
      <c r="G147" t="str">
        <f>IF($AK147="","",IF($AK147=0,"",IF(INDEX(LookupData!G:G,$AK147)="","",INDEX(LookupData!G:G,$AK147))))</f>
        <v/>
      </c>
      <c r="H147" t="str">
        <f>IF($AK147="","",IF($AK147=0,"",IF(INDEX(LookupData!H:H,$AK147)="","",INDEX(LookupData!H:H,$AK147))))</f>
        <v/>
      </c>
      <c r="I147" s="7" t="str">
        <f>IF($AK147="","",IF($AK147=0,"",IF(INDEX(LookupData!I:I,$AK147)="","",INDEX(LookupData!I:I,$AK147))))</f>
        <v/>
      </c>
      <c r="J147" s="7" t="str">
        <f>IF($AK147="","",IF($AK147=0,"",IF(INDEX(LookupData!J:J,$AK147)="","",INDEX(LookupData!J:J,$AK147))))</f>
        <v/>
      </c>
      <c r="K147" s="7" t="str">
        <f>IF($AK147="","",IF($AK147=0,"",IF(INDEX(LookupData!K:K,$AK147)="","",INDEX(LookupData!K:K,$AK147))))</f>
        <v/>
      </c>
      <c r="L147" s="7" t="str">
        <f>IF($AK147="","",IF($AK147=0,"",IF(INDEX(LookupData!L:L,$AK147)="","",INDEX(LookupData!L:L,$AK147))))</f>
        <v/>
      </c>
      <c r="M147" s="7" t="str">
        <f>IF($AK147="","",IF($AK147=0,"",IF(INDEX(LookupData!M:M,$AK147)="","",INDEX(LookupData!M:M,$AK147))))</f>
        <v/>
      </c>
      <c r="N147" s="7" t="str">
        <f>IF($AK147="","",IF($AK147=0,"",IF(INDEX(LookupData!N:N,$AK147)="","",INDEX(LookupData!N:N,$AK147))))</f>
        <v/>
      </c>
      <c r="O147" s="7" t="str">
        <f>IF($AK147="","",IF($AK147=0,"",IF(INDEX(LookupData!O:O,$AK147)="","",INDEX(LookupData!O:O,$AK147))))</f>
        <v/>
      </c>
      <c r="P147" s="7" t="str">
        <f>IF($AK147="","",IF($AK147=0,"",IF(INDEX(LookupData!P:P,$AK147)="","",INDEX(LookupData!P:P,$AK147))))</f>
        <v/>
      </c>
      <c r="Q147" s="7" t="str">
        <f>IF($AK147="","",IF($AK147=0,"",IF(INDEX(LookupData!Q:Q,$AK147)="","",INDEX(LookupData!Q:Q,$AK147))))</f>
        <v/>
      </c>
      <c r="R147" s="7" t="str">
        <f>IF($AK147="","",IF($AK147=0,"",IF(INDEX(LookupData!R:R,$AK147)="","",INDEX(LookupData!R:R,$AK147))))</f>
        <v/>
      </c>
      <c r="S147" s="7" t="str">
        <f>IF($AK147="","",IF($AK147=0,"",IF(INDEX(LookupData!S:S,$AK147)="","",INDEX(LookupData!S:S,$AK147))))</f>
        <v/>
      </c>
      <c r="T147" s="7" t="str">
        <f>IF($AK147="","",IF($AK147=0,"",IF(INDEX(LookupData!T:T,$AK147)="","",INDEX(LookupData!T:T,$AK147))))</f>
        <v/>
      </c>
      <c r="U147" s="7" t="str">
        <f>IF($AK147="","",IF($AK147=0,"",IF(INDEX(LookupData!U:U,$AK147)="","",INDEX(LookupData!U:U,$AK147))))</f>
        <v/>
      </c>
      <c r="V147" s="7" t="str">
        <f>IF($AK147="","",IF($AK147=0,"",IF(INDEX(LookupData!V:V,$AK147)="","",INDEX(LookupData!V:V,$AK147))))</f>
        <v/>
      </c>
      <c r="W147" t="str">
        <f>IF($AK147="","",IF($AK147=0,"",IF(INDEX(LookupData!W:W,$AK147)="","",INDEX(LookupData!W:W,$AK147))))</f>
        <v/>
      </c>
      <c r="X147" s="7" t="str">
        <f>IF($AK147="","",IF($AK147=0,"",IF(INDEX(LookupData!X:X,$AK147)="","",INDEX(LookupData!X:X,$AK147))))</f>
        <v/>
      </c>
      <c r="Y147" s="7" t="str">
        <f>IF($AK147="","",IF($AK147=0,"",IF(INDEX(LookupData!Y:Y,$AK147)="","",INDEX(LookupData!Y:Y,$AK147))))</f>
        <v/>
      </c>
      <c r="Z147" s="7" t="str">
        <f>IF($AK147="","",IF($AK147=0,"",IF(INDEX(LookupData!Z:Z,$AK147)="","",INDEX(LookupData!Z:Z,$AK147))))</f>
        <v/>
      </c>
      <c r="AA147" s="7" t="str">
        <f>IF($AK147="","",IF($AK147=0,"",IF(INDEX(LookupData!AA:AA,$AK147)="","",INDEX(LookupData!AA:AA,$AK147))))</f>
        <v/>
      </c>
      <c r="AB147" s="7" t="str">
        <f>IF($AK147="","",IF($AK147=0,"",IF(INDEX(LookupData!AB:AB,$AK147)="","",INDEX(LookupData!AB:AB,$AK147))))</f>
        <v/>
      </c>
      <c r="AC147" s="7" t="str">
        <f>IF($AK147="","",IF($AK147=0,"",IF(INDEX(LookupData!AC:AC,$AK147)="","",INDEX(LookupData!AC:AC,$AK147))))</f>
        <v/>
      </c>
      <c r="AD147" s="7" t="str">
        <f>IF($AK147="","",IF($AK147=0,"",IF(INDEX(LookupData!AD:AD,$AK147)="","",INDEX(LookupData!AD:AD,$AK147))))</f>
        <v/>
      </c>
      <c r="AE147" s="7" t="str">
        <f>IF($AK147="","",IF($AK147=0,"",IF(INDEX(LookupData!AE:AE,$AK147)="","",INDEX(LookupData!AE:AE,$AK147))))</f>
        <v/>
      </c>
      <c r="AF147" t="str">
        <f>IF($AK147="","",IF($AK147=0,"",IF(INDEX(LookupData!AF:AF,$AK147)="","",INDEX(LookupData!AF:AF,$AK147))))</f>
        <v/>
      </c>
      <c r="AG147" t="str">
        <f>IF($AK147="","",IF($AK147=0,"",IF(INDEX(LookupData!AG:AG,$AK147)="","",INDEX(LookupData!AG:AG,$AK147))))</f>
        <v/>
      </c>
      <c r="AH147" s="11" t="str">
        <f>IF($AK147="","",IF($AK147=0,"",IF(INDEX(LookupData!AH:AH,$AK147)="","",INDEX(LookupData!AH:AH,$AK147))))</f>
        <v/>
      </c>
      <c r="AI147" s="12" t="str">
        <f>IF($AK147="","",IF($AK147=0,"",IF(INDEX(LookupData!AI:AI,$AK147)="","",HYPERLINK(INDEX(LookupData!AI:AI,$AK147),"Open"))))</f>
        <v/>
      </c>
      <c r="AK147" t="str">
        <f>IF(AL147="","",IFERROR(MATCH(AL147,LookupData!$A:$A,0),0))</f>
        <v/>
      </c>
      <c r="AL147" t="str">
        <f t="shared" si="8"/>
        <v/>
      </c>
      <c r="AM147" t="str">
        <f t="shared" si="9"/>
        <v/>
      </c>
    </row>
    <row r="148" spans="1:39" x14ac:dyDescent="0.2">
      <c r="A148" s="9"/>
      <c r="B148" s="10" t="str">
        <f>IF($AK148="","",IF($AK148=0,"not in the database",IF(INDEX(LookupData!B:B,$AK148)="","",INDEX(LookupData!B:B,$AK148))))</f>
        <v/>
      </c>
      <c r="C148" t="str">
        <f>IF($AK148="","",IF($AK148=0,"",IF(INDEX(LookupData!C:C,$AK148)="","",INDEX(LookupData!C:C,$AK148))))</f>
        <v/>
      </c>
      <c r="D148" t="str">
        <f>IF($AK148="","",IF($AK148=0,"",IF(INDEX(LookupData!D:D,$AK148)="","",INDEX(LookupData!D:D,$AK148))))</f>
        <v/>
      </c>
      <c r="E148" t="str">
        <f>IF($AK148="","",IF($AK148=0,"",IF(INDEX(LookupData!E:E,$AK148)="","",INDEX(LookupData!E:E,$AK148))))</f>
        <v/>
      </c>
      <c r="F148" t="str">
        <f>IF($AK148="","",IF($AK148=0,"",IF(INDEX(LookupData!F:F,$AK148)="","",INDEX(LookupData!F:F,$AK148))))</f>
        <v/>
      </c>
      <c r="G148" t="str">
        <f>IF($AK148="","",IF($AK148=0,"",IF(INDEX(LookupData!G:G,$AK148)="","",INDEX(LookupData!G:G,$AK148))))</f>
        <v/>
      </c>
      <c r="H148" t="str">
        <f>IF($AK148="","",IF($AK148=0,"",IF(INDEX(LookupData!H:H,$AK148)="","",INDEX(LookupData!H:H,$AK148))))</f>
        <v/>
      </c>
      <c r="I148" s="7" t="str">
        <f>IF($AK148="","",IF($AK148=0,"",IF(INDEX(LookupData!I:I,$AK148)="","",INDEX(LookupData!I:I,$AK148))))</f>
        <v/>
      </c>
      <c r="J148" s="7" t="str">
        <f>IF($AK148="","",IF($AK148=0,"",IF(INDEX(LookupData!J:J,$AK148)="","",INDEX(LookupData!J:J,$AK148))))</f>
        <v/>
      </c>
      <c r="K148" s="7" t="str">
        <f>IF($AK148="","",IF($AK148=0,"",IF(INDEX(LookupData!K:K,$AK148)="","",INDEX(LookupData!K:K,$AK148))))</f>
        <v/>
      </c>
      <c r="L148" s="7" t="str">
        <f>IF($AK148="","",IF($AK148=0,"",IF(INDEX(LookupData!L:L,$AK148)="","",INDEX(LookupData!L:L,$AK148))))</f>
        <v/>
      </c>
      <c r="M148" s="7" t="str">
        <f>IF($AK148="","",IF($AK148=0,"",IF(INDEX(LookupData!M:M,$AK148)="","",INDEX(LookupData!M:M,$AK148))))</f>
        <v/>
      </c>
      <c r="N148" s="7" t="str">
        <f>IF($AK148="","",IF($AK148=0,"",IF(INDEX(LookupData!N:N,$AK148)="","",INDEX(LookupData!N:N,$AK148))))</f>
        <v/>
      </c>
      <c r="O148" s="7" t="str">
        <f>IF($AK148="","",IF($AK148=0,"",IF(INDEX(LookupData!O:O,$AK148)="","",INDEX(LookupData!O:O,$AK148))))</f>
        <v/>
      </c>
      <c r="P148" s="7" t="str">
        <f>IF($AK148="","",IF($AK148=0,"",IF(INDEX(LookupData!P:P,$AK148)="","",INDEX(LookupData!P:P,$AK148))))</f>
        <v/>
      </c>
      <c r="Q148" s="7" t="str">
        <f>IF($AK148="","",IF($AK148=0,"",IF(INDEX(LookupData!Q:Q,$AK148)="","",INDEX(LookupData!Q:Q,$AK148))))</f>
        <v/>
      </c>
      <c r="R148" s="7" t="str">
        <f>IF($AK148="","",IF($AK148=0,"",IF(INDEX(LookupData!R:R,$AK148)="","",INDEX(LookupData!R:R,$AK148))))</f>
        <v/>
      </c>
      <c r="S148" s="7" t="str">
        <f>IF($AK148="","",IF($AK148=0,"",IF(INDEX(LookupData!S:S,$AK148)="","",INDEX(LookupData!S:S,$AK148))))</f>
        <v/>
      </c>
      <c r="T148" s="7" t="str">
        <f>IF($AK148="","",IF($AK148=0,"",IF(INDEX(LookupData!T:T,$AK148)="","",INDEX(LookupData!T:T,$AK148))))</f>
        <v/>
      </c>
      <c r="U148" s="7" t="str">
        <f>IF($AK148="","",IF($AK148=0,"",IF(INDEX(LookupData!U:U,$AK148)="","",INDEX(LookupData!U:U,$AK148))))</f>
        <v/>
      </c>
      <c r="V148" s="7" t="str">
        <f>IF($AK148="","",IF($AK148=0,"",IF(INDEX(LookupData!V:V,$AK148)="","",INDEX(LookupData!V:V,$AK148))))</f>
        <v/>
      </c>
      <c r="W148" t="str">
        <f>IF($AK148="","",IF($AK148=0,"",IF(INDEX(LookupData!W:W,$AK148)="","",INDEX(LookupData!W:W,$AK148))))</f>
        <v/>
      </c>
      <c r="X148" s="7" t="str">
        <f>IF($AK148="","",IF($AK148=0,"",IF(INDEX(LookupData!X:X,$AK148)="","",INDEX(LookupData!X:X,$AK148))))</f>
        <v/>
      </c>
      <c r="Y148" s="7" t="str">
        <f>IF($AK148="","",IF($AK148=0,"",IF(INDEX(LookupData!Y:Y,$AK148)="","",INDEX(LookupData!Y:Y,$AK148))))</f>
        <v/>
      </c>
      <c r="Z148" s="7" t="str">
        <f>IF($AK148="","",IF($AK148=0,"",IF(INDEX(LookupData!Z:Z,$AK148)="","",INDEX(LookupData!Z:Z,$AK148))))</f>
        <v/>
      </c>
      <c r="AA148" s="7" t="str">
        <f>IF($AK148="","",IF($AK148=0,"",IF(INDEX(LookupData!AA:AA,$AK148)="","",INDEX(LookupData!AA:AA,$AK148))))</f>
        <v/>
      </c>
      <c r="AB148" s="7" t="str">
        <f>IF($AK148="","",IF($AK148=0,"",IF(INDEX(LookupData!AB:AB,$AK148)="","",INDEX(LookupData!AB:AB,$AK148))))</f>
        <v/>
      </c>
      <c r="AC148" s="7" t="str">
        <f>IF($AK148="","",IF($AK148=0,"",IF(INDEX(LookupData!AC:AC,$AK148)="","",INDEX(LookupData!AC:AC,$AK148))))</f>
        <v/>
      </c>
      <c r="AD148" s="7" t="str">
        <f>IF($AK148="","",IF($AK148=0,"",IF(INDEX(LookupData!AD:AD,$AK148)="","",INDEX(LookupData!AD:AD,$AK148))))</f>
        <v/>
      </c>
      <c r="AE148" s="7" t="str">
        <f>IF($AK148="","",IF($AK148=0,"",IF(INDEX(LookupData!AE:AE,$AK148)="","",INDEX(LookupData!AE:AE,$AK148))))</f>
        <v/>
      </c>
      <c r="AF148" t="str">
        <f>IF($AK148="","",IF($AK148=0,"",IF(INDEX(LookupData!AF:AF,$AK148)="","",INDEX(LookupData!AF:AF,$AK148))))</f>
        <v/>
      </c>
      <c r="AG148" t="str">
        <f>IF($AK148="","",IF($AK148=0,"",IF(INDEX(LookupData!AG:AG,$AK148)="","",INDEX(LookupData!AG:AG,$AK148))))</f>
        <v/>
      </c>
      <c r="AH148" s="11" t="str">
        <f>IF($AK148="","",IF($AK148=0,"",IF(INDEX(LookupData!AH:AH,$AK148)="","",INDEX(LookupData!AH:AH,$AK148))))</f>
        <v/>
      </c>
      <c r="AI148" s="12" t="str">
        <f>IF($AK148="","",IF($AK148=0,"",IF(INDEX(LookupData!AI:AI,$AK148)="","",HYPERLINK(INDEX(LookupData!AI:AI,$AK148),"Open"))))</f>
        <v/>
      </c>
      <c r="AK148" t="str">
        <f>IF(AL148="","",IFERROR(MATCH(AL148,LookupData!$A:$A,0),0))</f>
        <v/>
      </c>
      <c r="AL148" t="str">
        <f t="shared" si="8"/>
        <v/>
      </c>
      <c r="AM148" t="str">
        <f t="shared" si="9"/>
        <v/>
      </c>
    </row>
    <row r="149" spans="1:39" x14ac:dyDescent="0.2">
      <c r="A149" s="9"/>
      <c r="B149" s="10" t="str">
        <f>IF($AK149="","",IF($AK149=0,"not in the database",IF(INDEX(LookupData!B:B,$AK149)="","",INDEX(LookupData!B:B,$AK149))))</f>
        <v/>
      </c>
      <c r="C149" t="str">
        <f>IF($AK149="","",IF($AK149=0,"",IF(INDEX(LookupData!C:C,$AK149)="","",INDEX(LookupData!C:C,$AK149))))</f>
        <v/>
      </c>
      <c r="D149" t="str">
        <f>IF($AK149="","",IF($AK149=0,"",IF(INDEX(LookupData!D:D,$AK149)="","",INDEX(LookupData!D:D,$AK149))))</f>
        <v/>
      </c>
      <c r="E149" t="str">
        <f>IF($AK149="","",IF($AK149=0,"",IF(INDEX(LookupData!E:E,$AK149)="","",INDEX(LookupData!E:E,$AK149))))</f>
        <v/>
      </c>
      <c r="F149" t="str">
        <f>IF($AK149="","",IF($AK149=0,"",IF(INDEX(LookupData!F:F,$AK149)="","",INDEX(LookupData!F:F,$AK149))))</f>
        <v/>
      </c>
      <c r="G149" t="str">
        <f>IF($AK149="","",IF($AK149=0,"",IF(INDEX(LookupData!G:G,$AK149)="","",INDEX(LookupData!G:G,$AK149))))</f>
        <v/>
      </c>
      <c r="H149" t="str">
        <f>IF($AK149="","",IF($AK149=0,"",IF(INDEX(LookupData!H:H,$AK149)="","",INDEX(LookupData!H:H,$AK149))))</f>
        <v/>
      </c>
      <c r="I149" s="7" t="str">
        <f>IF($AK149="","",IF($AK149=0,"",IF(INDEX(LookupData!I:I,$AK149)="","",INDEX(LookupData!I:I,$AK149))))</f>
        <v/>
      </c>
      <c r="J149" s="7" t="str">
        <f>IF($AK149="","",IF($AK149=0,"",IF(INDEX(LookupData!J:J,$AK149)="","",INDEX(LookupData!J:J,$AK149))))</f>
        <v/>
      </c>
      <c r="K149" s="7" t="str">
        <f>IF($AK149="","",IF($AK149=0,"",IF(INDEX(LookupData!K:K,$AK149)="","",INDEX(LookupData!K:K,$AK149))))</f>
        <v/>
      </c>
      <c r="L149" s="7" t="str">
        <f>IF($AK149="","",IF($AK149=0,"",IF(INDEX(LookupData!L:L,$AK149)="","",INDEX(LookupData!L:L,$AK149))))</f>
        <v/>
      </c>
      <c r="M149" s="7" t="str">
        <f>IF($AK149="","",IF($AK149=0,"",IF(INDEX(LookupData!M:M,$AK149)="","",INDEX(LookupData!M:M,$AK149))))</f>
        <v/>
      </c>
      <c r="N149" s="7" t="str">
        <f>IF($AK149="","",IF($AK149=0,"",IF(INDEX(LookupData!N:N,$AK149)="","",INDEX(LookupData!N:N,$AK149))))</f>
        <v/>
      </c>
      <c r="O149" s="7" t="str">
        <f>IF($AK149="","",IF($AK149=0,"",IF(INDEX(LookupData!O:O,$AK149)="","",INDEX(LookupData!O:O,$AK149))))</f>
        <v/>
      </c>
      <c r="P149" s="7" t="str">
        <f>IF($AK149="","",IF($AK149=0,"",IF(INDEX(LookupData!P:P,$AK149)="","",INDEX(LookupData!P:P,$AK149))))</f>
        <v/>
      </c>
      <c r="Q149" s="7" t="str">
        <f>IF($AK149="","",IF($AK149=0,"",IF(INDEX(LookupData!Q:Q,$AK149)="","",INDEX(LookupData!Q:Q,$AK149))))</f>
        <v/>
      </c>
      <c r="R149" s="7" t="str">
        <f>IF($AK149="","",IF($AK149=0,"",IF(INDEX(LookupData!R:R,$AK149)="","",INDEX(LookupData!R:R,$AK149))))</f>
        <v/>
      </c>
      <c r="S149" s="7" t="str">
        <f>IF($AK149="","",IF($AK149=0,"",IF(INDEX(LookupData!S:S,$AK149)="","",INDEX(LookupData!S:S,$AK149))))</f>
        <v/>
      </c>
      <c r="T149" s="7" t="str">
        <f>IF($AK149="","",IF($AK149=0,"",IF(INDEX(LookupData!T:T,$AK149)="","",INDEX(LookupData!T:T,$AK149))))</f>
        <v/>
      </c>
      <c r="U149" s="7" t="str">
        <f>IF($AK149="","",IF($AK149=0,"",IF(INDEX(LookupData!U:U,$AK149)="","",INDEX(LookupData!U:U,$AK149))))</f>
        <v/>
      </c>
      <c r="V149" s="7" t="str">
        <f>IF($AK149="","",IF($AK149=0,"",IF(INDEX(LookupData!V:V,$AK149)="","",INDEX(LookupData!V:V,$AK149))))</f>
        <v/>
      </c>
      <c r="W149" t="str">
        <f>IF($AK149="","",IF($AK149=0,"",IF(INDEX(LookupData!W:W,$AK149)="","",INDEX(LookupData!W:W,$AK149))))</f>
        <v/>
      </c>
      <c r="X149" s="7" t="str">
        <f>IF($AK149="","",IF($AK149=0,"",IF(INDEX(LookupData!X:X,$AK149)="","",INDEX(LookupData!X:X,$AK149))))</f>
        <v/>
      </c>
      <c r="Y149" s="7" t="str">
        <f>IF($AK149="","",IF($AK149=0,"",IF(INDEX(LookupData!Y:Y,$AK149)="","",INDEX(LookupData!Y:Y,$AK149))))</f>
        <v/>
      </c>
      <c r="Z149" s="7" t="str">
        <f>IF($AK149="","",IF($AK149=0,"",IF(INDEX(LookupData!Z:Z,$AK149)="","",INDEX(LookupData!Z:Z,$AK149))))</f>
        <v/>
      </c>
      <c r="AA149" s="7" t="str">
        <f>IF($AK149="","",IF($AK149=0,"",IF(INDEX(LookupData!AA:AA,$AK149)="","",INDEX(LookupData!AA:AA,$AK149))))</f>
        <v/>
      </c>
      <c r="AB149" s="7" t="str">
        <f>IF($AK149="","",IF($AK149=0,"",IF(INDEX(LookupData!AB:AB,$AK149)="","",INDEX(LookupData!AB:AB,$AK149))))</f>
        <v/>
      </c>
      <c r="AC149" s="7" t="str">
        <f>IF($AK149="","",IF($AK149=0,"",IF(INDEX(LookupData!AC:AC,$AK149)="","",INDEX(LookupData!AC:AC,$AK149))))</f>
        <v/>
      </c>
      <c r="AD149" s="7" t="str">
        <f>IF($AK149="","",IF($AK149=0,"",IF(INDEX(LookupData!AD:AD,$AK149)="","",INDEX(LookupData!AD:AD,$AK149))))</f>
        <v/>
      </c>
      <c r="AE149" s="7" t="str">
        <f>IF($AK149="","",IF($AK149=0,"",IF(INDEX(LookupData!AE:AE,$AK149)="","",INDEX(LookupData!AE:AE,$AK149))))</f>
        <v/>
      </c>
      <c r="AF149" t="str">
        <f>IF($AK149="","",IF($AK149=0,"",IF(INDEX(LookupData!AF:AF,$AK149)="","",INDEX(LookupData!AF:AF,$AK149))))</f>
        <v/>
      </c>
      <c r="AG149" t="str">
        <f>IF($AK149="","",IF($AK149=0,"",IF(INDEX(LookupData!AG:AG,$AK149)="","",INDEX(LookupData!AG:AG,$AK149))))</f>
        <v/>
      </c>
      <c r="AH149" s="11" t="str">
        <f>IF($AK149="","",IF($AK149=0,"",IF(INDEX(LookupData!AH:AH,$AK149)="","",INDEX(LookupData!AH:AH,$AK149))))</f>
        <v/>
      </c>
      <c r="AI149" s="12" t="str">
        <f>IF($AK149="","",IF($AK149=0,"",IF(INDEX(LookupData!AI:AI,$AK149)="","",HYPERLINK(INDEX(LookupData!AI:AI,$AK149),"Open"))))</f>
        <v/>
      </c>
      <c r="AK149" t="str">
        <f>IF(AL149="","",IFERROR(MATCH(AL149,LookupData!$A:$A,0),0))</f>
        <v/>
      </c>
      <c r="AL149" t="str">
        <f t="shared" si="8"/>
        <v/>
      </c>
      <c r="AM149" t="str">
        <f t="shared" si="9"/>
        <v/>
      </c>
    </row>
    <row r="150" spans="1:39" x14ac:dyDescent="0.2">
      <c r="A150" s="9"/>
      <c r="B150" s="10" t="str">
        <f>IF($AK150="","",IF($AK150=0,"not in the database",IF(INDEX(LookupData!B:B,$AK150)="","",INDEX(LookupData!B:B,$AK150))))</f>
        <v/>
      </c>
      <c r="C150" t="str">
        <f>IF($AK150="","",IF($AK150=0,"",IF(INDEX(LookupData!C:C,$AK150)="","",INDEX(LookupData!C:C,$AK150))))</f>
        <v/>
      </c>
      <c r="D150" t="str">
        <f>IF($AK150="","",IF($AK150=0,"",IF(INDEX(LookupData!D:D,$AK150)="","",INDEX(LookupData!D:D,$AK150))))</f>
        <v/>
      </c>
      <c r="E150" t="str">
        <f>IF($AK150="","",IF($AK150=0,"",IF(INDEX(LookupData!E:E,$AK150)="","",INDEX(LookupData!E:E,$AK150))))</f>
        <v/>
      </c>
      <c r="F150" t="str">
        <f>IF($AK150="","",IF($AK150=0,"",IF(INDEX(LookupData!F:F,$AK150)="","",INDEX(LookupData!F:F,$AK150))))</f>
        <v/>
      </c>
      <c r="G150" t="str">
        <f>IF($AK150="","",IF($AK150=0,"",IF(INDEX(LookupData!G:G,$AK150)="","",INDEX(LookupData!G:G,$AK150))))</f>
        <v/>
      </c>
      <c r="H150" t="str">
        <f>IF($AK150="","",IF($AK150=0,"",IF(INDEX(LookupData!H:H,$AK150)="","",INDEX(LookupData!H:H,$AK150))))</f>
        <v/>
      </c>
      <c r="I150" s="7" t="str">
        <f>IF($AK150="","",IF($AK150=0,"",IF(INDEX(LookupData!I:I,$AK150)="","",INDEX(LookupData!I:I,$AK150))))</f>
        <v/>
      </c>
      <c r="J150" s="7" t="str">
        <f>IF($AK150="","",IF($AK150=0,"",IF(INDEX(LookupData!J:J,$AK150)="","",INDEX(LookupData!J:J,$AK150))))</f>
        <v/>
      </c>
      <c r="K150" s="7" t="str">
        <f>IF($AK150="","",IF($AK150=0,"",IF(INDEX(LookupData!K:K,$AK150)="","",INDEX(LookupData!K:K,$AK150))))</f>
        <v/>
      </c>
      <c r="L150" s="7" t="str">
        <f>IF($AK150="","",IF($AK150=0,"",IF(INDEX(LookupData!L:L,$AK150)="","",INDEX(LookupData!L:L,$AK150))))</f>
        <v/>
      </c>
      <c r="M150" s="7" t="str">
        <f>IF($AK150="","",IF($AK150=0,"",IF(INDEX(LookupData!M:M,$AK150)="","",INDEX(LookupData!M:M,$AK150))))</f>
        <v/>
      </c>
      <c r="N150" s="7" t="str">
        <f>IF($AK150="","",IF($AK150=0,"",IF(INDEX(LookupData!N:N,$AK150)="","",INDEX(LookupData!N:N,$AK150))))</f>
        <v/>
      </c>
      <c r="O150" s="7" t="str">
        <f>IF($AK150="","",IF($AK150=0,"",IF(INDEX(LookupData!O:O,$AK150)="","",INDEX(LookupData!O:O,$AK150))))</f>
        <v/>
      </c>
      <c r="P150" s="7" t="str">
        <f>IF($AK150="","",IF($AK150=0,"",IF(INDEX(LookupData!P:P,$AK150)="","",INDEX(LookupData!P:P,$AK150))))</f>
        <v/>
      </c>
      <c r="Q150" s="7" t="str">
        <f>IF($AK150="","",IF($AK150=0,"",IF(INDEX(LookupData!Q:Q,$AK150)="","",INDEX(LookupData!Q:Q,$AK150))))</f>
        <v/>
      </c>
      <c r="R150" s="7" t="str">
        <f>IF($AK150="","",IF($AK150=0,"",IF(INDEX(LookupData!R:R,$AK150)="","",INDEX(LookupData!R:R,$AK150))))</f>
        <v/>
      </c>
      <c r="S150" s="7" t="str">
        <f>IF($AK150="","",IF($AK150=0,"",IF(INDEX(LookupData!S:S,$AK150)="","",INDEX(LookupData!S:S,$AK150))))</f>
        <v/>
      </c>
      <c r="T150" s="7" t="str">
        <f>IF($AK150="","",IF($AK150=0,"",IF(INDEX(LookupData!T:T,$AK150)="","",INDEX(LookupData!T:T,$AK150))))</f>
        <v/>
      </c>
      <c r="U150" s="7" t="str">
        <f>IF($AK150="","",IF($AK150=0,"",IF(INDEX(LookupData!U:U,$AK150)="","",INDEX(LookupData!U:U,$AK150))))</f>
        <v/>
      </c>
      <c r="V150" s="7" t="str">
        <f>IF($AK150="","",IF($AK150=0,"",IF(INDEX(LookupData!V:V,$AK150)="","",INDEX(LookupData!V:V,$AK150))))</f>
        <v/>
      </c>
      <c r="W150" t="str">
        <f>IF($AK150="","",IF($AK150=0,"",IF(INDEX(LookupData!W:W,$AK150)="","",INDEX(LookupData!W:W,$AK150))))</f>
        <v/>
      </c>
      <c r="X150" s="7" t="str">
        <f>IF($AK150="","",IF($AK150=0,"",IF(INDEX(LookupData!X:X,$AK150)="","",INDEX(LookupData!X:X,$AK150))))</f>
        <v/>
      </c>
      <c r="Y150" s="7" t="str">
        <f>IF($AK150="","",IF($AK150=0,"",IF(INDEX(LookupData!Y:Y,$AK150)="","",INDEX(LookupData!Y:Y,$AK150))))</f>
        <v/>
      </c>
      <c r="Z150" s="7" t="str">
        <f>IF($AK150="","",IF($AK150=0,"",IF(INDEX(LookupData!Z:Z,$AK150)="","",INDEX(LookupData!Z:Z,$AK150))))</f>
        <v/>
      </c>
      <c r="AA150" s="7" t="str">
        <f>IF($AK150="","",IF($AK150=0,"",IF(INDEX(LookupData!AA:AA,$AK150)="","",INDEX(LookupData!AA:AA,$AK150))))</f>
        <v/>
      </c>
      <c r="AB150" s="7" t="str">
        <f>IF($AK150="","",IF($AK150=0,"",IF(INDEX(LookupData!AB:AB,$AK150)="","",INDEX(LookupData!AB:AB,$AK150))))</f>
        <v/>
      </c>
      <c r="AC150" s="7" t="str">
        <f>IF($AK150="","",IF($AK150=0,"",IF(INDEX(LookupData!AC:AC,$AK150)="","",INDEX(LookupData!AC:AC,$AK150))))</f>
        <v/>
      </c>
      <c r="AD150" s="7" t="str">
        <f>IF($AK150="","",IF($AK150=0,"",IF(INDEX(LookupData!AD:AD,$AK150)="","",INDEX(LookupData!AD:AD,$AK150))))</f>
        <v/>
      </c>
      <c r="AE150" s="7" t="str">
        <f>IF($AK150="","",IF($AK150=0,"",IF(INDEX(LookupData!AE:AE,$AK150)="","",INDEX(LookupData!AE:AE,$AK150))))</f>
        <v/>
      </c>
      <c r="AF150" t="str">
        <f>IF($AK150="","",IF($AK150=0,"",IF(INDEX(LookupData!AF:AF,$AK150)="","",INDEX(LookupData!AF:AF,$AK150))))</f>
        <v/>
      </c>
      <c r="AG150" t="str">
        <f>IF($AK150="","",IF($AK150=0,"",IF(INDEX(LookupData!AG:AG,$AK150)="","",INDEX(LookupData!AG:AG,$AK150))))</f>
        <v/>
      </c>
      <c r="AH150" s="11" t="str">
        <f>IF($AK150="","",IF($AK150=0,"",IF(INDEX(LookupData!AH:AH,$AK150)="","",INDEX(LookupData!AH:AH,$AK150))))</f>
        <v/>
      </c>
      <c r="AI150" s="12" t="str">
        <f>IF($AK150="","",IF($AK150=0,"",IF(INDEX(LookupData!AI:AI,$AK150)="","",HYPERLINK(INDEX(LookupData!AI:AI,$AK150),"Open"))))</f>
        <v/>
      </c>
      <c r="AK150" t="str">
        <f>IF(AL150="","",IFERROR(MATCH(AL150,LookupData!$A:$A,0),0))</f>
        <v/>
      </c>
      <c r="AL150" t="str">
        <f t="shared" si="8"/>
        <v/>
      </c>
      <c r="AM150" t="str">
        <f t="shared" si="9"/>
        <v/>
      </c>
    </row>
    <row r="151" spans="1:39" x14ac:dyDescent="0.2">
      <c r="A151" s="9"/>
      <c r="B151" s="10" t="str">
        <f>IF($AK151="","",IF($AK151=0,"not in the database",IF(INDEX(LookupData!B:B,$AK151)="","",INDEX(LookupData!B:B,$AK151))))</f>
        <v/>
      </c>
      <c r="C151" t="str">
        <f>IF($AK151="","",IF($AK151=0,"",IF(INDEX(LookupData!C:C,$AK151)="","",INDEX(LookupData!C:C,$AK151))))</f>
        <v/>
      </c>
      <c r="D151" t="str">
        <f>IF($AK151="","",IF($AK151=0,"",IF(INDEX(LookupData!D:D,$AK151)="","",INDEX(LookupData!D:D,$AK151))))</f>
        <v/>
      </c>
      <c r="E151" t="str">
        <f>IF($AK151="","",IF($AK151=0,"",IF(INDEX(LookupData!E:E,$AK151)="","",INDEX(LookupData!E:E,$AK151))))</f>
        <v/>
      </c>
      <c r="F151" t="str">
        <f>IF($AK151="","",IF($AK151=0,"",IF(INDEX(LookupData!F:F,$AK151)="","",INDEX(LookupData!F:F,$AK151))))</f>
        <v/>
      </c>
      <c r="G151" t="str">
        <f>IF($AK151="","",IF($AK151=0,"",IF(INDEX(LookupData!G:G,$AK151)="","",INDEX(LookupData!G:G,$AK151))))</f>
        <v/>
      </c>
      <c r="H151" t="str">
        <f>IF($AK151="","",IF($AK151=0,"",IF(INDEX(LookupData!H:H,$AK151)="","",INDEX(LookupData!H:H,$AK151))))</f>
        <v/>
      </c>
      <c r="I151" s="7" t="str">
        <f>IF($AK151="","",IF($AK151=0,"",IF(INDEX(LookupData!I:I,$AK151)="","",INDEX(LookupData!I:I,$AK151))))</f>
        <v/>
      </c>
      <c r="J151" s="7" t="str">
        <f>IF($AK151="","",IF($AK151=0,"",IF(INDEX(LookupData!J:J,$AK151)="","",INDEX(LookupData!J:J,$AK151))))</f>
        <v/>
      </c>
      <c r="K151" s="7" t="str">
        <f>IF($AK151="","",IF($AK151=0,"",IF(INDEX(LookupData!K:K,$AK151)="","",INDEX(LookupData!K:K,$AK151))))</f>
        <v/>
      </c>
      <c r="L151" s="7" t="str">
        <f>IF($AK151="","",IF($AK151=0,"",IF(INDEX(LookupData!L:L,$AK151)="","",INDEX(LookupData!L:L,$AK151))))</f>
        <v/>
      </c>
      <c r="M151" s="7" t="str">
        <f>IF($AK151="","",IF($AK151=0,"",IF(INDEX(LookupData!M:M,$AK151)="","",INDEX(LookupData!M:M,$AK151))))</f>
        <v/>
      </c>
      <c r="N151" s="7" t="str">
        <f>IF($AK151="","",IF($AK151=0,"",IF(INDEX(LookupData!N:N,$AK151)="","",INDEX(LookupData!N:N,$AK151))))</f>
        <v/>
      </c>
      <c r="O151" s="7" t="str">
        <f>IF($AK151="","",IF($AK151=0,"",IF(INDEX(LookupData!O:O,$AK151)="","",INDEX(LookupData!O:O,$AK151))))</f>
        <v/>
      </c>
      <c r="P151" s="7" t="str">
        <f>IF($AK151="","",IF($AK151=0,"",IF(INDEX(LookupData!P:P,$AK151)="","",INDEX(LookupData!P:P,$AK151))))</f>
        <v/>
      </c>
      <c r="Q151" s="7" t="str">
        <f>IF($AK151="","",IF($AK151=0,"",IF(INDEX(LookupData!Q:Q,$AK151)="","",INDEX(LookupData!Q:Q,$AK151))))</f>
        <v/>
      </c>
      <c r="R151" s="7" t="str">
        <f>IF($AK151="","",IF($AK151=0,"",IF(INDEX(LookupData!R:R,$AK151)="","",INDEX(LookupData!R:R,$AK151))))</f>
        <v/>
      </c>
      <c r="S151" s="7" t="str">
        <f>IF($AK151="","",IF($AK151=0,"",IF(INDEX(LookupData!S:S,$AK151)="","",INDEX(LookupData!S:S,$AK151))))</f>
        <v/>
      </c>
      <c r="T151" s="7" t="str">
        <f>IF($AK151="","",IF($AK151=0,"",IF(INDEX(LookupData!T:T,$AK151)="","",INDEX(LookupData!T:T,$AK151))))</f>
        <v/>
      </c>
      <c r="U151" s="7" t="str">
        <f>IF($AK151="","",IF($AK151=0,"",IF(INDEX(LookupData!U:U,$AK151)="","",INDEX(LookupData!U:U,$AK151))))</f>
        <v/>
      </c>
      <c r="V151" s="7" t="str">
        <f>IF($AK151="","",IF($AK151=0,"",IF(INDEX(LookupData!V:V,$AK151)="","",INDEX(LookupData!V:V,$AK151))))</f>
        <v/>
      </c>
      <c r="W151" t="str">
        <f>IF($AK151="","",IF($AK151=0,"",IF(INDEX(LookupData!W:W,$AK151)="","",INDEX(LookupData!W:W,$AK151))))</f>
        <v/>
      </c>
      <c r="X151" s="7" t="str">
        <f>IF($AK151="","",IF($AK151=0,"",IF(INDEX(LookupData!X:X,$AK151)="","",INDEX(LookupData!X:X,$AK151))))</f>
        <v/>
      </c>
      <c r="Y151" s="7" t="str">
        <f>IF($AK151="","",IF($AK151=0,"",IF(INDEX(LookupData!Y:Y,$AK151)="","",INDEX(LookupData!Y:Y,$AK151))))</f>
        <v/>
      </c>
      <c r="Z151" s="7" t="str">
        <f>IF($AK151="","",IF($AK151=0,"",IF(INDEX(LookupData!Z:Z,$AK151)="","",INDEX(LookupData!Z:Z,$AK151))))</f>
        <v/>
      </c>
      <c r="AA151" s="7" t="str">
        <f>IF($AK151="","",IF($AK151=0,"",IF(INDEX(LookupData!AA:AA,$AK151)="","",INDEX(LookupData!AA:AA,$AK151))))</f>
        <v/>
      </c>
      <c r="AB151" s="7" t="str">
        <f>IF($AK151="","",IF($AK151=0,"",IF(INDEX(LookupData!AB:AB,$AK151)="","",INDEX(LookupData!AB:AB,$AK151))))</f>
        <v/>
      </c>
      <c r="AC151" s="7" t="str">
        <f>IF($AK151="","",IF($AK151=0,"",IF(INDEX(LookupData!AC:AC,$AK151)="","",INDEX(LookupData!AC:AC,$AK151))))</f>
        <v/>
      </c>
      <c r="AD151" s="7" t="str">
        <f>IF($AK151="","",IF($AK151=0,"",IF(INDEX(LookupData!AD:AD,$AK151)="","",INDEX(LookupData!AD:AD,$AK151))))</f>
        <v/>
      </c>
      <c r="AE151" s="7" t="str">
        <f>IF($AK151="","",IF($AK151=0,"",IF(INDEX(LookupData!AE:AE,$AK151)="","",INDEX(LookupData!AE:AE,$AK151))))</f>
        <v/>
      </c>
      <c r="AF151" t="str">
        <f>IF($AK151="","",IF($AK151=0,"",IF(INDEX(LookupData!AF:AF,$AK151)="","",INDEX(LookupData!AF:AF,$AK151))))</f>
        <v/>
      </c>
      <c r="AG151" t="str">
        <f>IF($AK151="","",IF($AK151=0,"",IF(INDEX(LookupData!AG:AG,$AK151)="","",INDEX(LookupData!AG:AG,$AK151))))</f>
        <v/>
      </c>
      <c r="AH151" s="11" t="str">
        <f>IF($AK151="","",IF($AK151=0,"",IF(INDEX(LookupData!AH:AH,$AK151)="","",INDEX(LookupData!AH:AH,$AK151))))</f>
        <v/>
      </c>
      <c r="AI151" s="12" t="str">
        <f>IF($AK151="","",IF($AK151=0,"",IF(INDEX(LookupData!AI:AI,$AK151)="","",HYPERLINK(INDEX(LookupData!AI:AI,$AK151),"Open"))))</f>
        <v/>
      </c>
      <c r="AK151" t="str">
        <f>IF(AL151="","",IFERROR(MATCH(AL151,LookupData!$A:$A,0),0))</f>
        <v/>
      </c>
      <c r="AL151" t="str">
        <f t="shared" si="8"/>
        <v/>
      </c>
      <c r="AM151" t="str">
        <f t="shared" si="9"/>
        <v/>
      </c>
    </row>
    <row r="152" spans="1:39" x14ac:dyDescent="0.2">
      <c r="A152" s="9"/>
      <c r="B152" s="10" t="str">
        <f>IF($AK152="","",IF($AK152=0,"not in the database",IF(INDEX(LookupData!B:B,$AK152)="","",INDEX(LookupData!B:B,$AK152))))</f>
        <v/>
      </c>
      <c r="C152" t="str">
        <f>IF($AK152="","",IF($AK152=0,"",IF(INDEX(LookupData!C:C,$AK152)="","",INDEX(LookupData!C:C,$AK152))))</f>
        <v/>
      </c>
      <c r="D152" t="str">
        <f>IF($AK152="","",IF($AK152=0,"",IF(INDEX(LookupData!D:D,$AK152)="","",INDEX(LookupData!D:D,$AK152))))</f>
        <v/>
      </c>
      <c r="E152" t="str">
        <f>IF($AK152="","",IF($AK152=0,"",IF(INDEX(LookupData!E:E,$AK152)="","",INDEX(LookupData!E:E,$AK152))))</f>
        <v/>
      </c>
      <c r="F152" t="str">
        <f>IF($AK152="","",IF($AK152=0,"",IF(INDEX(LookupData!F:F,$AK152)="","",INDEX(LookupData!F:F,$AK152))))</f>
        <v/>
      </c>
      <c r="G152" t="str">
        <f>IF($AK152="","",IF($AK152=0,"",IF(INDEX(LookupData!G:G,$AK152)="","",INDEX(LookupData!G:G,$AK152))))</f>
        <v/>
      </c>
      <c r="H152" t="str">
        <f>IF($AK152="","",IF($AK152=0,"",IF(INDEX(LookupData!H:H,$AK152)="","",INDEX(LookupData!H:H,$AK152))))</f>
        <v/>
      </c>
      <c r="I152" s="7" t="str">
        <f>IF($AK152="","",IF($AK152=0,"",IF(INDEX(LookupData!I:I,$AK152)="","",INDEX(LookupData!I:I,$AK152))))</f>
        <v/>
      </c>
      <c r="J152" s="7" t="str">
        <f>IF($AK152="","",IF($AK152=0,"",IF(INDEX(LookupData!J:J,$AK152)="","",INDEX(LookupData!J:J,$AK152))))</f>
        <v/>
      </c>
      <c r="K152" s="7" t="str">
        <f>IF($AK152="","",IF($AK152=0,"",IF(INDEX(LookupData!K:K,$AK152)="","",INDEX(LookupData!K:K,$AK152))))</f>
        <v/>
      </c>
      <c r="L152" s="7" t="str">
        <f>IF($AK152="","",IF($AK152=0,"",IF(INDEX(LookupData!L:L,$AK152)="","",INDEX(LookupData!L:L,$AK152))))</f>
        <v/>
      </c>
      <c r="M152" s="7" t="str">
        <f>IF($AK152="","",IF($AK152=0,"",IF(INDEX(LookupData!M:M,$AK152)="","",INDEX(LookupData!M:M,$AK152))))</f>
        <v/>
      </c>
      <c r="N152" s="7" t="str">
        <f>IF($AK152="","",IF($AK152=0,"",IF(INDEX(LookupData!N:N,$AK152)="","",INDEX(LookupData!N:N,$AK152))))</f>
        <v/>
      </c>
      <c r="O152" s="7" t="str">
        <f>IF($AK152="","",IF($AK152=0,"",IF(INDEX(LookupData!O:O,$AK152)="","",INDEX(LookupData!O:O,$AK152))))</f>
        <v/>
      </c>
      <c r="P152" s="7" t="str">
        <f>IF($AK152="","",IF($AK152=0,"",IF(INDEX(LookupData!P:P,$AK152)="","",INDEX(LookupData!P:P,$AK152))))</f>
        <v/>
      </c>
      <c r="Q152" s="7" t="str">
        <f>IF($AK152="","",IF($AK152=0,"",IF(INDEX(LookupData!Q:Q,$AK152)="","",INDEX(LookupData!Q:Q,$AK152))))</f>
        <v/>
      </c>
      <c r="R152" s="7" t="str">
        <f>IF($AK152="","",IF($AK152=0,"",IF(INDEX(LookupData!R:R,$AK152)="","",INDEX(LookupData!R:R,$AK152))))</f>
        <v/>
      </c>
      <c r="S152" s="7" t="str">
        <f>IF($AK152="","",IF($AK152=0,"",IF(INDEX(LookupData!S:S,$AK152)="","",INDEX(LookupData!S:S,$AK152))))</f>
        <v/>
      </c>
      <c r="T152" s="7" t="str">
        <f>IF($AK152="","",IF($AK152=0,"",IF(INDEX(LookupData!T:T,$AK152)="","",INDEX(LookupData!T:T,$AK152))))</f>
        <v/>
      </c>
      <c r="U152" s="7" t="str">
        <f>IF($AK152="","",IF($AK152=0,"",IF(INDEX(LookupData!U:U,$AK152)="","",INDEX(LookupData!U:U,$AK152))))</f>
        <v/>
      </c>
      <c r="V152" s="7" t="str">
        <f>IF($AK152="","",IF($AK152=0,"",IF(INDEX(LookupData!V:V,$AK152)="","",INDEX(LookupData!V:V,$AK152))))</f>
        <v/>
      </c>
      <c r="W152" t="str">
        <f>IF($AK152="","",IF($AK152=0,"",IF(INDEX(LookupData!W:W,$AK152)="","",INDEX(LookupData!W:W,$AK152))))</f>
        <v/>
      </c>
      <c r="X152" s="7" t="str">
        <f>IF($AK152="","",IF($AK152=0,"",IF(INDEX(LookupData!X:X,$AK152)="","",INDEX(LookupData!X:X,$AK152))))</f>
        <v/>
      </c>
      <c r="Y152" s="7" t="str">
        <f>IF($AK152="","",IF($AK152=0,"",IF(INDEX(LookupData!Y:Y,$AK152)="","",INDEX(LookupData!Y:Y,$AK152))))</f>
        <v/>
      </c>
      <c r="Z152" s="7" t="str">
        <f>IF($AK152="","",IF($AK152=0,"",IF(INDEX(LookupData!Z:Z,$AK152)="","",INDEX(LookupData!Z:Z,$AK152))))</f>
        <v/>
      </c>
      <c r="AA152" s="7" t="str">
        <f>IF($AK152="","",IF($AK152=0,"",IF(INDEX(LookupData!AA:AA,$AK152)="","",INDEX(LookupData!AA:AA,$AK152))))</f>
        <v/>
      </c>
      <c r="AB152" s="7" t="str">
        <f>IF($AK152="","",IF($AK152=0,"",IF(INDEX(LookupData!AB:AB,$AK152)="","",INDEX(LookupData!AB:AB,$AK152))))</f>
        <v/>
      </c>
      <c r="AC152" s="7" t="str">
        <f>IF($AK152="","",IF($AK152=0,"",IF(INDEX(LookupData!AC:AC,$AK152)="","",INDEX(LookupData!AC:AC,$AK152))))</f>
        <v/>
      </c>
      <c r="AD152" s="7" t="str">
        <f>IF($AK152="","",IF($AK152=0,"",IF(INDEX(LookupData!AD:AD,$AK152)="","",INDEX(LookupData!AD:AD,$AK152))))</f>
        <v/>
      </c>
      <c r="AE152" s="7" t="str">
        <f>IF($AK152="","",IF($AK152=0,"",IF(INDEX(LookupData!AE:AE,$AK152)="","",INDEX(LookupData!AE:AE,$AK152))))</f>
        <v/>
      </c>
      <c r="AF152" t="str">
        <f>IF($AK152="","",IF($AK152=0,"",IF(INDEX(LookupData!AF:AF,$AK152)="","",INDEX(LookupData!AF:AF,$AK152))))</f>
        <v/>
      </c>
      <c r="AG152" t="str">
        <f>IF($AK152="","",IF($AK152=0,"",IF(INDEX(LookupData!AG:AG,$AK152)="","",INDEX(LookupData!AG:AG,$AK152))))</f>
        <v/>
      </c>
      <c r="AH152" s="11" t="str">
        <f>IF($AK152="","",IF($AK152=0,"",IF(INDEX(LookupData!AH:AH,$AK152)="","",INDEX(LookupData!AH:AH,$AK152))))</f>
        <v/>
      </c>
      <c r="AI152" s="12" t="str">
        <f>IF($AK152="","",IF($AK152=0,"",IF(INDEX(LookupData!AI:AI,$AK152)="","",HYPERLINK(INDEX(LookupData!AI:AI,$AK152),"Open"))))</f>
        <v/>
      </c>
      <c r="AK152" t="str">
        <f>IF(AL152="","",IFERROR(MATCH(AL152,LookupData!$A:$A,0),0))</f>
        <v/>
      </c>
      <c r="AL152" t="str">
        <f t="shared" si="8"/>
        <v/>
      </c>
      <c r="AM152" t="str">
        <f t="shared" si="9"/>
        <v/>
      </c>
    </row>
    <row r="153" spans="1:39" x14ac:dyDescent="0.2">
      <c r="A153" s="9"/>
      <c r="B153" s="10" t="str">
        <f>IF($AK153="","",IF($AK153=0,"not in the database",IF(INDEX(LookupData!B:B,$AK153)="","",INDEX(LookupData!B:B,$AK153))))</f>
        <v/>
      </c>
      <c r="C153" t="str">
        <f>IF($AK153="","",IF($AK153=0,"",IF(INDEX(LookupData!C:C,$AK153)="","",INDEX(LookupData!C:C,$AK153))))</f>
        <v/>
      </c>
      <c r="D153" t="str">
        <f>IF($AK153="","",IF($AK153=0,"",IF(INDEX(LookupData!D:D,$AK153)="","",INDEX(LookupData!D:D,$AK153))))</f>
        <v/>
      </c>
      <c r="E153" t="str">
        <f>IF($AK153="","",IF($AK153=0,"",IF(INDEX(LookupData!E:E,$AK153)="","",INDEX(LookupData!E:E,$AK153))))</f>
        <v/>
      </c>
      <c r="F153" t="str">
        <f>IF($AK153="","",IF($AK153=0,"",IF(INDEX(LookupData!F:F,$AK153)="","",INDEX(LookupData!F:F,$AK153))))</f>
        <v/>
      </c>
      <c r="G153" t="str">
        <f>IF($AK153="","",IF($AK153=0,"",IF(INDEX(LookupData!G:G,$AK153)="","",INDEX(LookupData!G:G,$AK153))))</f>
        <v/>
      </c>
      <c r="H153" t="str">
        <f>IF($AK153="","",IF($AK153=0,"",IF(INDEX(LookupData!H:H,$AK153)="","",INDEX(LookupData!H:H,$AK153))))</f>
        <v/>
      </c>
      <c r="I153" s="7" t="str">
        <f>IF($AK153="","",IF($AK153=0,"",IF(INDEX(LookupData!I:I,$AK153)="","",INDEX(LookupData!I:I,$AK153))))</f>
        <v/>
      </c>
      <c r="J153" s="7" t="str">
        <f>IF($AK153="","",IF($AK153=0,"",IF(INDEX(LookupData!J:J,$AK153)="","",INDEX(LookupData!J:J,$AK153))))</f>
        <v/>
      </c>
      <c r="K153" s="7" t="str">
        <f>IF($AK153="","",IF($AK153=0,"",IF(INDEX(LookupData!K:K,$AK153)="","",INDEX(LookupData!K:K,$AK153))))</f>
        <v/>
      </c>
      <c r="L153" s="7" t="str">
        <f>IF($AK153="","",IF($AK153=0,"",IF(INDEX(LookupData!L:L,$AK153)="","",INDEX(LookupData!L:L,$AK153))))</f>
        <v/>
      </c>
      <c r="M153" s="7" t="str">
        <f>IF($AK153="","",IF($AK153=0,"",IF(INDEX(LookupData!M:M,$AK153)="","",INDEX(LookupData!M:M,$AK153))))</f>
        <v/>
      </c>
      <c r="N153" s="7" t="str">
        <f>IF($AK153="","",IF($AK153=0,"",IF(INDEX(LookupData!N:N,$AK153)="","",INDEX(LookupData!N:N,$AK153))))</f>
        <v/>
      </c>
      <c r="O153" s="7" t="str">
        <f>IF($AK153="","",IF($AK153=0,"",IF(INDEX(LookupData!O:O,$AK153)="","",INDEX(LookupData!O:O,$AK153))))</f>
        <v/>
      </c>
      <c r="P153" s="7" t="str">
        <f>IF($AK153="","",IF($AK153=0,"",IF(INDEX(LookupData!P:P,$AK153)="","",INDEX(LookupData!P:P,$AK153))))</f>
        <v/>
      </c>
      <c r="Q153" s="7" t="str">
        <f>IF($AK153="","",IF($AK153=0,"",IF(INDEX(LookupData!Q:Q,$AK153)="","",INDEX(LookupData!Q:Q,$AK153))))</f>
        <v/>
      </c>
      <c r="R153" s="7" t="str">
        <f>IF($AK153="","",IF($AK153=0,"",IF(INDEX(LookupData!R:R,$AK153)="","",INDEX(LookupData!R:R,$AK153))))</f>
        <v/>
      </c>
      <c r="S153" s="7" t="str">
        <f>IF($AK153="","",IF($AK153=0,"",IF(INDEX(LookupData!S:S,$AK153)="","",INDEX(LookupData!S:S,$AK153))))</f>
        <v/>
      </c>
      <c r="T153" s="7" t="str">
        <f>IF($AK153="","",IF($AK153=0,"",IF(INDEX(LookupData!T:T,$AK153)="","",INDEX(LookupData!T:T,$AK153))))</f>
        <v/>
      </c>
      <c r="U153" s="7" t="str">
        <f>IF($AK153="","",IF($AK153=0,"",IF(INDEX(LookupData!U:U,$AK153)="","",INDEX(LookupData!U:U,$AK153))))</f>
        <v/>
      </c>
      <c r="V153" s="7" t="str">
        <f>IF($AK153="","",IF($AK153=0,"",IF(INDEX(LookupData!V:V,$AK153)="","",INDEX(LookupData!V:V,$AK153))))</f>
        <v/>
      </c>
      <c r="W153" t="str">
        <f>IF($AK153="","",IF($AK153=0,"",IF(INDEX(LookupData!W:W,$AK153)="","",INDEX(LookupData!W:W,$AK153))))</f>
        <v/>
      </c>
      <c r="X153" s="7" t="str">
        <f>IF($AK153="","",IF($AK153=0,"",IF(INDEX(LookupData!X:X,$AK153)="","",INDEX(LookupData!X:X,$AK153))))</f>
        <v/>
      </c>
      <c r="Y153" s="7" t="str">
        <f>IF($AK153="","",IF($AK153=0,"",IF(INDEX(LookupData!Y:Y,$AK153)="","",INDEX(LookupData!Y:Y,$AK153))))</f>
        <v/>
      </c>
      <c r="Z153" s="7" t="str">
        <f>IF($AK153="","",IF($AK153=0,"",IF(INDEX(LookupData!Z:Z,$AK153)="","",INDEX(LookupData!Z:Z,$AK153))))</f>
        <v/>
      </c>
      <c r="AA153" s="7" t="str">
        <f>IF($AK153="","",IF($AK153=0,"",IF(INDEX(LookupData!AA:AA,$AK153)="","",INDEX(LookupData!AA:AA,$AK153))))</f>
        <v/>
      </c>
      <c r="AB153" s="7" t="str">
        <f>IF($AK153="","",IF($AK153=0,"",IF(INDEX(LookupData!AB:AB,$AK153)="","",INDEX(LookupData!AB:AB,$AK153))))</f>
        <v/>
      </c>
      <c r="AC153" s="7" t="str">
        <f>IF($AK153="","",IF($AK153=0,"",IF(INDEX(LookupData!AC:AC,$AK153)="","",INDEX(LookupData!AC:AC,$AK153))))</f>
        <v/>
      </c>
      <c r="AD153" s="7" t="str">
        <f>IF($AK153="","",IF($AK153=0,"",IF(INDEX(LookupData!AD:AD,$AK153)="","",INDEX(LookupData!AD:AD,$AK153))))</f>
        <v/>
      </c>
      <c r="AE153" s="7" t="str">
        <f>IF($AK153="","",IF($AK153=0,"",IF(INDEX(LookupData!AE:AE,$AK153)="","",INDEX(LookupData!AE:AE,$AK153))))</f>
        <v/>
      </c>
      <c r="AF153" t="str">
        <f>IF($AK153="","",IF($AK153=0,"",IF(INDEX(LookupData!AF:AF,$AK153)="","",INDEX(LookupData!AF:AF,$AK153))))</f>
        <v/>
      </c>
      <c r="AG153" t="str">
        <f>IF($AK153="","",IF($AK153=0,"",IF(INDEX(LookupData!AG:AG,$AK153)="","",INDEX(LookupData!AG:AG,$AK153))))</f>
        <v/>
      </c>
      <c r="AH153" s="11" t="str">
        <f>IF($AK153="","",IF($AK153=0,"",IF(INDEX(LookupData!AH:AH,$AK153)="","",INDEX(LookupData!AH:AH,$AK153))))</f>
        <v/>
      </c>
      <c r="AI153" s="12" t="str">
        <f>IF($AK153="","",IF($AK153=0,"",IF(INDEX(LookupData!AI:AI,$AK153)="","",HYPERLINK(INDEX(LookupData!AI:AI,$AK153),"Open"))))</f>
        <v/>
      </c>
      <c r="AK153" t="str">
        <f>IF(AL153="","",IFERROR(MATCH(AL153,LookupData!$A:$A,0),0))</f>
        <v/>
      </c>
      <c r="AL153" t="str">
        <f t="shared" si="8"/>
        <v/>
      </c>
      <c r="AM153" t="str">
        <f t="shared" si="9"/>
        <v/>
      </c>
    </row>
    <row r="154" spans="1:39" x14ac:dyDescent="0.2">
      <c r="A154" s="9"/>
      <c r="B154" s="10" t="str">
        <f>IF($AK154="","",IF($AK154=0,"not in the database",IF(INDEX(LookupData!B:B,$AK154)="","",INDEX(LookupData!B:B,$AK154))))</f>
        <v/>
      </c>
      <c r="C154" t="str">
        <f>IF($AK154="","",IF($AK154=0,"",IF(INDEX(LookupData!C:C,$AK154)="","",INDEX(LookupData!C:C,$AK154))))</f>
        <v/>
      </c>
      <c r="D154" t="str">
        <f>IF($AK154="","",IF($AK154=0,"",IF(INDEX(LookupData!D:D,$AK154)="","",INDEX(LookupData!D:D,$AK154))))</f>
        <v/>
      </c>
      <c r="E154" t="str">
        <f>IF($AK154="","",IF($AK154=0,"",IF(INDEX(LookupData!E:E,$AK154)="","",INDEX(LookupData!E:E,$AK154))))</f>
        <v/>
      </c>
      <c r="F154" t="str">
        <f>IF($AK154="","",IF($AK154=0,"",IF(INDEX(LookupData!F:F,$AK154)="","",INDEX(LookupData!F:F,$AK154))))</f>
        <v/>
      </c>
      <c r="G154" t="str">
        <f>IF($AK154="","",IF($AK154=0,"",IF(INDEX(LookupData!G:G,$AK154)="","",INDEX(LookupData!G:G,$AK154))))</f>
        <v/>
      </c>
      <c r="H154" t="str">
        <f>IF($AK154="","",IF($AK154=0,"",IF(INDEX(LookupData!H:H,$AK154)="","",INDEX(LookupData!H:H,$AK154))))</f>
        <v/>
      </c>
      <c r="I154" s="7" t="str">
        <f>IF($AK154="","",IF($AK154=0,"",IF(INDEX(LookupData!I:I,$AK154)="","",INDEX(LookupData!I:I,$AK154))))</f>
        <v/>
      </c>
      <c r="J154" s="7" t="str">
        <f>IF($AK154="","",IF($AK154=0,"",IF(INDEX(LookupData!J:J,$AK154)="","",INDEX(LookupData!J:J,$AK154))))</f>
        <v/>
      </c>
      <c r="K154" s="7" t="str">
        <f>IF($AK154="","",IF($AK154=0,"",IF(INDEX(LookupData!K:K,$AK154)="","",INDEX(LookupData!K:K,$AK154))))</f>
        <v/>
      </c>
      <c r="L154" s="7" t="str">
        <f>IF($AK154="","",IF($AK154=0,"",IF(INDEX(LookupData!L:L,$AK154)="","",INDEX(LookupData!L:L,$AK154))))</f>
        <v/>
      </c>
      <c r="M154" s="7" t="str">
        <f>IF($AK154="","",IF($AK154=0,"",IF(INDEX(LookupData!M:M,$AK154)="","",INDEX(LookupData!M:M,$AK154))))</f>
        <v/>
      </c>
      <c r="N154" s="7" t="str">
        <f>IF($AK154="","",IF($AK154=0,"",IF(INDEX(LookupData!N:N,$AK154)="","",INDEX(LookupData!N:N,$AK154))))</f>
        <v/>
      </c>
      <c r="O154" s="7" t="str">
        <f>IF($AK154="","",IF($AK154=0,"",IF(INDEX(LookupData!O:O,$AK154)="","",INDEX(LookupData!O:O,$AK154))))</f>
        <v/>
      </c>
      <c r="P154" s="7" t="str">
        <f>IF($AK154="","",IF($AK154=0,"",IF(INDEX(LookupData!P:P,$AK154)="","",INDEX(LookupData!P:P,$AK154))))</f>
        <v/>
      </c>
      <c r="Q154" s="7" t="str">
        <f>IF($AK154="","",IF($AK154=0,"",IF(INDEX(LookupData!Q:Q,$AK154)="","",INDEX(LookupData!Q:Q,$AK154))))</f>
        <v/>
      </c>
      <c r="R154" s="7" t="str">
        <f>IF($AK154="","",IF($AK154=0,"",IF(INDEX(LookupData!R:R,$AK154)="","",INDEX(LookupData!R:R,$AK154))))</f>
        <v/>
      </c>
      <c r="S154" s="7" t="str">
        <f>IF($AK154="","",IF($AK154=0,"",IF(INDEX(LookupData!S:S,$AK154)="","",INDEX(LookupData!S:S,$AK154))))</f>
        <v/>
      </c>
      <c r="T154" s="7" t="str">
        <f>IF($AK154="","",IF($AK154=0,"",IF(INDEX(LookupData!T:T,$AK154)="","",INDEX(LookupData!T:T,$AK154))))</f>
        <v/>
      </c>
      <c r="U154" s="7" t="str">
        <f>IF($AK154="","",IF($AK154=0,"",IF(INDEX(LookupData!U:U,$AK154)="","",INDEX(LookupData!U:U,$AK154))))</f>
        <v/>
      </c>
      <c r="V154" s="7" t="str">
        <f>IF($AK154="","",IF($AK154=0,"",IF(INDEX(LookupData!V:V,$AK154)="","",INDEX(LookupData!V:V,$AK154))))</f>
        <v/>
      </c>
      <c r="W154" t="str">
        <f>IF($AK154="","",IF($AK154=0,"",IF(INDEX(LookupData!W:W,$AK154)="","",INDEX(LookupData!W:W,$AK154))))</f>
        <v/>
      </c>
      <c r="X154" s="7" t="str">
        <f>IF($AK154="","",IF($AK154=0,"",IF(INDEX(LookupData!X:X,$AK154)="","",INDEX(LookupData!X:X,$AK154))))</f>
        <v/>
      </c>
      <c r="Y154" s="7" t="str">
        <f>IF($AK154="","",IF($AK154=0,"",IF(INDEX(LookupData!Y:Y,$AK154)="","",INDEX(LookupData!Y:Y,$AK154))))</f>
        <v/>
      </c>
      <c r="Z154" s="7" t="str">
        <f>IF($AK154="","",IF($AK154=0,"",IF(INDEX(LookupData!Z:Z,$AK154)="","",INDEX(LookupData!Z:Z,$AK154))))</f>
        <v/>
      </c>
      <c r="AA154" s="7" t="str">
        <f>IF($AK154="","",IF($AK154=0,"",IF(INDEX(LookupData!AA:AA,$AK154)="","",INDEX(LookupData!AA:AA,$AK154))))</f>
        <v/>
      </c>
      <c r="AB154" s="7" t="str">
        <f>IF($AK154="","",IF($AK154=0,"",IF(INDEX(LookupData!AB:AB,$AK154)="","",INDEX(LookupData!AB:AB,$AK154))))</f>
        <v/>
      </c>
      <c r="AC154" s="7" t="str">
        <f>IF($AK154="","",IF($AK154=0,"",IF(INDEX(LookupData!AC:AC,$AK154)="","",INDEX(LookupData!AC:AC,$AK154))))</f>
        <v/>
      </c>
      <c r="AD154" s="7" t="str">
        <f>IF($AK154="","",IF($AK154=0,"",IF(INDEX(LookupData!AD:AD,$AK154)="","",INDEX(LookupData!AD:AD,$AK154))))</f>
        <v/>
      </c>
      <c r="AE154" s="7" t="str">
        <f>IF($AK154="","",IF($AK154=0,"",IF(INDEX(LookupData!AE:AE,$AK154)="","",INDEX(LookupData!AE:AE,$AK154))))</f>
        <v/>
      </c>
      <c r="AF154" t="str">
        <f>IF($AK154="","",IF($AK154=0,"",IF(INDEX(LookupData!AF:AF,$AK154)="","",INDEX(LookupData!AF:AF,$AK154))))</f>
        <v/>
      </c>
      <c r="AG154" t="str">
        <f>IF($AK154="","",IF($AK154=0,"",IF(INDEX(LookupData!AG:AG,$AK154)="","",INDEX(LookupData!AG:AG,$AK154))))</f>
        <v/>
      </c>
      <c r="AH154" s="11" t="str">
        <f>IF($AK154="","",IF($AK154=0,"",IF(INDEX(LookupData!AH:AH,$AK154)="","",INDEX(LookupData!AH:AH,$AK154))))</f>
        <v/>
      </c>
      <c r="AI154" s="12" t="str">
        <f>IF($AK154="","",IF($AK154=0,"",IF(INDEX(LookupData!AI:AI,$AK154)="","",HYPERLINK(INDEX(LookupData!AI:AI,$AK154),"Open"))))</f>
        <v/>
      </c>
      <c r="AK154" t="str">
        <f>IF(AL154="","",IFERROR(MATCH(AL154,LookupData!$A:$A,0),0))</f>
        <v/>
      </c>
      <c r="AL154" t="str">
        <f t="shared" si="8"/>
        <v/>
      </c>
      <c r="AM154" t="str">
        <f t="shared" si="9"/>
        <v/>
      </c>
    </row>
    <row r="155" spans="1:39" x14ac:dyDescent="0.2">
      <c r="A155" s="9"/>
      <c r="B155" s="10" t="str">
        <f>IF($AK155="","",IF($AK155=0,"not in the database",IF(INDEX(LookupData!B:B,$AK155)="","",INDEX(LookupData!B:B,$AK155))))</f>
        <v/>
      </c>
      <c r="C155" t="str">
        <f>IF($AK155="","",IF($AK155=0,"",IF(INDEX(LookupData!C:C,$AK155)="","",INDEX(LookupData!C:C,$AK155))))</f>
        <v/>
      </c>
      <c r="D155" t="str">
        <f>IF($AK155="","",IF($AK155=0,"",IF(INDEX(LookupData!D:D,$AK155)="","",INDEX(LookupData!D:D,$AK155))))</f>
        <v/>
      </c>
      <c r="E155" t="str">
        <f>IF($AK155="","",IF($AK155=0,"",IF(INDEX(LookupData!E:E,$AK155)="","",INDEX(LookupData!E:E,$AK155))))</f>
        <v/>
      </c>
      <c r="F155" t="str">
        <f>IF($AK155="","",IF($AK155=0,"",IF(INDEX(LookupData!F:F,$AK155)="","",INDEX(LookupData!F:F,$AK155))))</f>
        <v/>
      </c>
      <c r="G155" t="str">
        <f>IF($AK155="","",IF($AK155=0,"",IF(INDEX(LookupData!G:G,$AK155)="","",INDEX(LookupData!G:G,$AK155))))</f>
        <v/>
      </c>
      <c r="H155" t="str">
        <f>IF($AK155="","",IF($AK155=0,"",IF(INDEX(LookupData!H:H,$AK155)="","",INDEX(LookupData!H:H,$AK155))))</f>
        <v/>
      </c>
      <c r="I155" s="7" t="str">
        <f>IF($AK155="","",IF($AK155=0,"",IF(INDEX(LookupData!I:I,$AK155)="","",INDEX(LookupData!I:I,$AK155))))</f>
        <v/>
      </c>
      <c r="J155" s="7" t="str">
        <f>IF($AK155="","",IF($AK155=0,"",IF(INDEX(LookupData!J:J,$AK155)="","",INDEX(LookupData!J:J,$AK155))))</f>
        <v/>
      </c>
      <c r="K155" s="7" t="str">
        <f>IF($AK155="","",IF($AK155=0,"",IF(INDEX(LookupData!K:K,$AK155)="","",INDEX(LookupData!K:K,$AK155))))</f>
        <v/>
      </c>
      <c r="L155" s="7" t="str">
        <f>IF($AK155="","",IF($AK155=0,"",IF(INDEX(LookupData!L:L,$AK155)="","",INDEX(LookupData!L:L,$AK155))))</f>
        <v/>
      </c>
      <c r="M155" s="7" t="str">
        <f>IF($AK155="","",IF($AK155=0,"",IF(INDEX(LookupData!M:M,$AK155)="","",INDEX(LookupData!M:M,$AK155))))</f>
        <v/>
      </c>
      <c r="N155" s="7" t="str">
        <f>IF($AK155="","",IF($AK155=0,"",IF(INDEX(LookupData!N:N,$AK155)="","",INDEX(LookupData!N:N,$AK155))))</f>
        <v/>
      </c>
      <c r="O155" s="7" t="str">
        <f>IF($AK155="","",IF($AK155=0,"",IF(INDEX(LookupData!O:O,$AK155)="","",INDEX(LookupData!O:O,$AK155))))</f>
        <v/>
      </c>
      <c r="P155" s="7" t="str">
        <f>IF($AK155="","",IF($AK155=0,"",IF(INDEX(LookupData!P:P,$AK155)="","",INDEX(LookupData!P:P,$AK155))))</f>
        <v/>
      </c>
      <c r="Q155" s="7" t="str">
        <f>IF($AK155="","",IF($AK155=0,"",IF(INDEX(LookupData!Q:Q,$AK155)="","",INDEX(LookupData!Q:Q,$AK155))))</f>
        <v/>
      </c>
      <c r="R155" s="7" t="str">
        <f>IF($AK155="","",IF($AK155=0,"",IF(INDEX(LookupData!R:R,$AK155)="","",INDEX(LookupData!R:R,$AK155))))</f>
        <v/>
      </c>
      <c r="S155" s="7" t="str">
        <f>IF($AK155="","",IF($AK155=0,"",IF(INDEX(LookupData!S:S,$AK155)="","",INDEX(LookupData!S:S,$AK155))))</f>
        <v/>
      </c>
      <c r="T155" s="7" t="str">
        <f>IF($AK155="","",IF($AK155=0,"",IF(INDEX(LookupData!T:T,$AK155)="","",INDEX(LookupData!T:T,$AK155))))</f>
        <v/>
      </c>
      <c r="U155" s="7" t="str">
        <f>IF($AK155="","",IF($AK155=0,"",IF(INDEX(LookupData!U:U,$AK155)="","",INDEX(LookupData!U:U,$AK155))))</f>
        <v/>
      </c>
      <c r="V155" s="7" t="str">
        <f>IF($AK155="","",IF($AK155=0,"",IF(INDEX(LookupData!V:V,$AK155)="","",INDEX(LookupData!V:V,$AK155))))</f>
        <v/>
      </c>
      <c r="W155" t="str">
        <f>IF($AK155="","",IF($AK155=0,"",IF(INDEX(LookupData!W:W,$AK155)="","",INDEX(LookupData!W:W,$AK155))))</f>
        <v/>
      </c>
      <c r="X155" s="7" t="str">
        <f>IF($AK155="","",IF($AK155=0,"",IF(INDEX(LookupData!X:X,$AK155)="","",INDEX(LookupData!X:X,$AK155))))</f>
        <v/>
      </c>
      <c r="Y155" s="7" t="str">
        <f>IF($AK155="","",IF($AK155=0,"",IF(INDEX(LookupData!Y:Y,$AK155)="","",INDEX(LookupData!Y:Y,$AK155))))</f>
        <v/>
      </c>
      <c r="Z155" s="7" t="str">
        <f>IF($AK155="","",IF($AK155=0,"",IF(INDEX(LookupData!Z:Z,$AK155)="","",INDEX(LookupData!Z:Z,$AK155))))</f>
        <v/>
      </c>
      <c r="AA155" s="7" t="str">
        <f>IF($AK155="","",IF($AK155=0,"",IF(INDEX(LookupData!AA:AA,$AK155)="","",INDEX(LookupData!AA:AA,$AK155))))</f>
        <v/>
      </c>
      <c r="AB155" s="7" t="str">
        <f>IF($AK155="","",IF($AK155=0,"",IF(INDEX(LookupData!AB:AB,$AK155)="","",INDEX(LookupData!AB:AB,$AK155))))</f>
        <v/>
      </c>
      <c r="AC155" s="7" t="str">
        <f>IF($AK155="","",IF($AK155=0,"",IF(INDEX(LookupData!AC:AC,$AK155)="","",INDEX(LookupData!AC:AC,$AK155))))</f>
        <v/>
      </c>
      <c r="AD155" s="7" t="str">
        <f>IF($AK155="","",IF($AK155=0,"",IF(INDEX(LookupData!AD:AD,$AK155)="","",INDEX(LookupData!AD:AD,$AK155))))</f>
        <v/>
      </c>
      <c r="AE155" s="7" t="str">
        <f>IF($AK155="","",IF($AK155=0,"",IF(INDEX(LookupData!AE:AE,$AK155)="","",INDEX(LookupData!AE:AE,$AK155))))</f>
        <v/>
      </c>
      <c r="AF155" t="str">
        <f>IF($AK155="","",IF($AK155=0,"",IF(INDEX(LookupData!AF:AF,$AK155)="","",INDEX(LookupData!AF:AF,$AK155))))</f>
        <v/>
      </c>
      <c r="AG155" t="str">
        <f>IF($AK155="","",IF($AK155=0,"",IF(INDEX(LookupData!AG:AG,$AK155)="","",INDEX(LookupData!AG:AG,$AK155))))</f>
        <v/>
      </c>
      <c r="AH155" s="11" t="str">
        <f>IF($AK155="","",IF($AK155=0,"",IF(INDEX(LookupData!AH:AH,$AK155)="","",INDEX(LookupData!AH:AH,$AK155))))</f>
        <v/>
      </c>
      <c r="AI155" s="12" t="str">
        <f>IF($AK155="","",IF($AK155=0,"",IF(INDEX(LookupData!AI:AI,$AK155)="","",HYPERLINK(INDEX(LookupData!AI:AI,$AK155),"Open"))))</f>
        <v/>
      </c>
      <c r="AK155" t="str">
        <f>IF(AL155="","",IFERROR(MATCH(AL155,LookupData!$A:$A,0),0))</f>
        <v/>
      </c>
      <c r="AL155" t="str">
        <f t="shared" si="8"/>
        <v/>
      </c>
      <c r="AM155" t="str">
        <f t="shared" si="9"/>
        <v/>
      </c>
    </row>
    <row r="156" spans="1:39" x14ac:dyDescent="0.2">
      <c r="A156" s="9"/>
      <c r="B156" s="10" t="str">
        <f>IF($AK156="","",IF($AK156=0,"not in the database",IF(INDEX(LookupData!B:B,$AK156)="","",INDEX(LookupData!B:B,$AK156))))</f>
        <v/>
      </c>
      <c r="C156" t="str">
        <f>IF($AK156="","",IF($AK156=0,"",IF(INDEX(LookupData!C:C,$AK156)="","",INDEX(LookupData!C:C,$AK156))))</f>
        <v/>
      </c>
      <c r="D156" t="str">
        <f>IF($AK156="","",IF($AK156=0,"",IF(INDEX(LookupData!D:D,$AK156)="","",INDEX(LookupData!D:D,$AK156))))</f>
        <v/>
      </c>
      <c r="E156" t="str">
        <f>IF($AK156="","",IF($AK156=0,"",IF(INDEX(LookupData!E:E,$AK156)="","",INDEX(LookupData!E:E,$AK156))))</f>
        <v/>
      </c>
      <c r="F156" t="str">
        <f>IF($AK156="","",IF($AK156=0,"",IF(INDEX(LookupData!F:F,$AK156)="","",INDEX(LookupData!F:F,$AK156))))</f>
        <v/>
      </c>
      <c r="G156" t="str">
        <f>IF($AK156="","",IF($AK156=0,"",IF(INDEX(LookupData!G:G,$AK156)="","",INDEX(LookupData!G:G,$AK156))))</f>
        <v/>
      </c>
      <c r="H156" t="str">
        <f>IF($AK156="","",IF($AK156=0,"",IF(INDEX(LookupData!H:H,$AK156)="","",INDEX(LookupData!H:H,$AK156))))</f>
        <v/>
      </c>
      <c r="I156" s="7" t="str">
        <f>IF($AK156="","",IF($AK156=0,"",IF(INDEX(LookupData!I:I,$AK156)="","",INDEX(LookupData!I:I,$AK156))))</f>
        <v/>
      </c>
      <c r="J156" s="7" t="str">
        <f>IF($AK156="","",IF($AK156=0,"",IF(INDEX(LookupData!J:J,$AK156)="","",INDEX(LookupData!J:J,$AK156))))</f>
        <v/>
      </c>
      <c r="K156" s="7" t="str">
        <f>IF($AK156="","",IF($AK156=0,"",IF(INDEX(LookupData!K:K,$AK156)="","",INDEX(LookupData!K:K,$AK156))))</f>
        <v/>
      </c>
      <c r="L156" s="7" t="str">
        <f>IF($AK156="","",IF($AK156=0,"",IF(INDEX(LookupData!L:L,$AK156)="","",INDEX(LookupData!L:L,$AK156))))</f>
        <v/>
      </c>
      <c r="M156" s="7" t="str">
        <f>IF($AK156="","",IF($AK156=0,"",IF(INDEX(LookupData!M:M,$AK156)="","",INDEX(LookupData!M:M,$AK156))))</f>
        <v/>
      </c>
      <c r="N156" s="7" t="str">
        <f>IF($AK156="","",IF($AK156=0,"",IF(INDEX(LookupData!N:N,$AK156)="","",INDEX(LookupData!N:N,$AK156))))</f>
        <v/>
      </c>
      <c r="O156" s="7" t="str">
        <f>IF($AK156="","",IF($AK156=0,"",IF(INDEX(LookupData!O:O,$AK156)="","",INDEX(LookupData!O:O,$AK156))))</f>
        <v/>
      </c>
      <c r="P156" s="7" t="str">
        <f>IF($AK156="","",IF($AK156=0,"",IF(INDEX(LookupData!P:P,$AK156)="","",INDEX(LookupData!P:P,$AK156))))</f>
        <v/>
      </c>
      <c r="Q156" s="7" t="str">
        <f>IF($AK156="","",IF($AK156=0,"",IF(INDEX(LookupData!Q:Q,$AK156)="","",INDEX(LookupData!Q:Q,$AK156))))</f>
        <v/>
      </c>
      <c r="R156" s="7" t="str">
        <f>IF($AK156="","",IF($AK156=0,"",IF(INDEX(LookupData!R:R,$AK156)="","",INDEX(LookupData!R:R,$AK156))))</f>
        <v/>
      </c>
      <c r="S156" s="7" t="str">
        <f>IF($AK156="","",IF($AK156=0,"",IF(INDEX(LookupData!S:S,$AK156)="","",INDEX(LookupData!S:S,$AK156))))</f>
        <v/>
      </c>
      <c r="T156" s="7" t="str">
        <f>IF($AK156="","",IF($AK156=0,"",IF(INDEX(LookupData!T:T,$AK156)="","",INDEX(LookupData!T:T,$AK156))))</f>
        <v/>
      </c>
      <c r="U156" s="7" t="str">
        <f>IF($AK156="","",IF($AK156=0,"",IF(INDEX(LookupData!U:U,$AK156)="","",INDEX(LookupData!U:U,$AK156))))</f>
        <v/>
      </c>
      <c r="V156" s="7" t="str">
        <f>IF($AK156="","",IF($AK156=0,"",IF(INDEX(LookupData!V:V,$AK156)="","",INDEX(LookupData!V:V,$AK156))))</f>
        <v/>
      </c>
      <c r="W156" t="str">
        <f>IF($AK156="","",IF($AK156=0,"",IF(INDEX(LookupData!W:W,$AK156)="","",INDEX(LookupData!W:W,$AK156))))</f>
        <v/>
      </c>
      <c r="X156" s="7" t="str">
        <f>IF($AK156="","",IF($AK156=0,"",IF(INDEX(LookupData!X:X,$AK156)="","",INDEX(LookupData!X:X,$AK156))))</f>
        <v/>
      </c>
      <c r="Y156" s="7" t="str">
        <f>IF($AK156="","",IF($AK156=0,"",IF(INDEX(LookupData!Y:Y,$AK156)="","",INDEX(LookupData!Y:Y,$AK156))))</f>
        <v/>
      </c>
      <c r="Z156" s="7" t="str">
        <f>IF($AK156="","",IF($AK156=0,"",IF(INDEX(LookupData!Z:Z,$AK156)="","",INDEX(LookupData!Z:Z,$AK156))))</f>
        <v/>
      </c>
      <c r="AA156" s="7" t="str">
        <f>IF($AK156="","",IF($AK156=0,"",IF(INDEX(LookupData!AA:AA,$AK156)="","",INDEX(LookupData!AA:AA,$AK156))))</f>
        <v/>
      </c>
      <c r="AB156" s="7" t="str">
        <f>IF($AK156="","",IF($AK156=0,"",IF(INDEX(LookupData!AB:AB,$AK156)="","",INDEX(LookupData!AB:AB,$AK156))))</f>
        <v/>
      </c>
      <c r="AC156" s="7" t="str">
        <f>IF($AK156="","",IF($AK156=0,"",IF(INDEX(LookupData!AC:AC,$AK156)="","",INDEX(LookupData!AC:AC,$AK156))))</f>
        <v/>
      </c>
      <c r="AD156" s="7" t="str">
        <f>IF($AK156="","",IF($AK156=0,"",IF(INDEX(LookupData!AD:AD,$AK156)="","",INDEX(LookupData!AD:AD,$AK156))))</f>
        <v/>
      </c>
      <c r="AE156" s="7" t="str">
        <f>IF($AK156="","",IF($AK156=0,"",IF(INDEX(LookupData!AE:AE,$AK156)="","",INDEX(LookupData!AE:AE,$AK156))))</f>
        <v/>
      </c>
      <c r="AF156" t="str">
        <f>IF($AK156="","",IF($AK156=0,"",IF(INDEX(LookupData!AF:AF,$AK156)="","",INDEX(LookupData!AF:AF,$AK156))))</f>
        <v/>
      </c>
      <c r="AG156" t="str">
        <f>IF($AK156="","",IF($AK156=0,"",IF(INDEX(LookupData!AG:AG,$AK156)="","",INDEX(LookupData!AG:AG,$AK156))))</f>
        <v/>
      </c>
      <c r="AH156" s="11" t="str">
        <f>IF($AK156="","",IF($AK156=0,"",IF(INDEX(LookupData!AH:AH,$AK156)="","",INDEX(LookupData!AH:AH,$AK156))))</f>
        <v/>
      </c>
      <c r="AI156" s="12" t="str">
        <f>IF($AK156="","",IF($AK156=0,"",IF(INDEX(LookupData!AI:AI,$AK156)="","",HYPERLINK(INDEX(LookupData!AI:AI,$AK156),"Open"))))</f>
        <v/>
      </c>
      <c r="AK156" t="str">
        <f>IF(AL156="","",IFERROR(MATCH(AL156,LookupData!$A:$A,0),0))</f>
        <v/>
      </c>
      <c r="AL156" t="str">
        <f t="shared" si="8"/>
        <v/>
      </c>
      <c r="AM156" t="str">
        <f t="shared" si="9"/>
        <v/>
      </c>
    </row>
    <row r="157" spans="1:39" x14ac:dyDescent="0.2">
      <c r="A157" s="9"/>
      <c r="B157" s="10" t="str">
        <f>IF($AK157="","",IF($AK157=0,"not in the database",IF(INDEX(LookupData!B:B,$AK157)="","",INDEX(LookupData!B:B,$AK157))))</f>
        <v/>
      </c>
      <c r="C157" t="str">
        <f>IF($AK157="","",IF($AK157=0,"",IF(INDEX(LookupData!C:C,$AK157)="","",INDEX(LookupData!C:C,$AK157))))</f>
        <v/>
      </c>
      <c r="D157" t="str">
        <f>IF($AK157="","",IF($AK157=0,"",IF(INDEX(LookupData!D:D,$AK157)="","",INDEX(LookupData!D:D,$AK157))))</f>
        <v/>
      </c>
      <c r="E157" t="str">
        <f>IF($AK157="","",IF($AK157=0,"",IF(INDEX(LookupData!E:E,$AK157)="","",INDEX(LookupData!E:E,$AK157))))</f>
        <v/>
      </c>
      <c r="F157" t="str">
        <f>IF($AK157="","",IF($AK157=0,"",IF(INDEX(LookupData!F:F,$AK157)="","",INDEX(LookupData!F:F,$AK157))))</f>
        <v/>
      </c>
      <c r="G157" t="str">
        <f>IF($AK157="","",IF($AK157=0,"",IF(INDEX(LookupData!G:G,$AK157)="","",INDEX(LookupData!G:G,$AK157))))</f>
        <v/>
      </c>
      <c r="H157" t="str">
        <f>IF($AK157="","",IF($AK157=0,"",IF(INDEX(LookupData!H:H,$AK157)="","",INDEX(LookupData!H:H,$AK157))))</f>
        <v/>
      </c>
      <c r="I157" s="7" t="str">
        <f>IF($AK157="","",IF($AK157=0,"",IF(INDEX(LookupData!I:I,$AK157)="","",INDEX(LookupData!I:I,$AK157))))</f>
        <v/>
      </c>
      <c r="J157" s="7" t="str">
        <f>IF($AK157="","",IF($AK157=0,"",IF(INDEX(LookupData!J:J,$AK157)="","",INDEX(LookupData!J:J,$AK157))))</f>
        <v/>
      </c>
      <c r="K157" s="7" t="str">
        <f>IF($AK157="","",IF($AK157=0,"",IF(INDEX(LookupData!K:K,$AK157)="","",INDEX(LookupData!K:K,$AK157))))</f>
        <v/>
      </c>
      <c r="L157" s="7" t="str">
        <f>IF($AK157="","",IF($AK157=0,"",IF(INDEX(LookupData!L:L,$AK157)="","",INDEX(LookupData!L:L,$AK157))))</f>
        <v/>
      </c>
      <c r="M157" s="7" t="str">
        <f>IF($AK157="","",IF($AK157=0,"",IF(INDEX(LookupData!M:M,$AK157)="","",INDEX(LookupData!M:M,$AK157))))</f>
        <v/>
      </c>
      <c r="N157" s="7" t="str">
        <f>IF($AK157="","",IF($AK157=0,"",IF(INDEX(LookupData!N:N,$AK157)="","",INDEX(LookupData!N:N,$AK157))))</f>
        <v/>
      </c>
      <c r="O157" s="7" t="str">
        <f>IF($AK157="","",IF($AK157=0,"",IF(INDEX(LookupData!O:O,$AK157)="","",INDEX(LookupData!O:O,$AK157))))</f>
        <v/>
      </c>
      <c r="P157" s="7" t="str">
        <f>IF($AK157="","",IF($AK157=0,"",IF(INDEX(LookupData!P:P,$AK157)="","",INDEX(LookupData!P:P,$AK157))))</f>
        <v/>
      </c>
      <c r="Q157" s="7" t="str">
        <f>IF($AK157="","",IF($AK157=0,"",IF(INDEX(LookupData!Q:Q,$AK157)="","",INDEX(LookupData!Q:Q,$AK157))))</f>
        <v/>
      </c>
      <c r="R157" s="7" t="str">
        <f>IF($AK157="","",IF($AK157=0,"",IF(INDEX(LookupData!R:R,$AK157)="","",INDEX(LookupData!R:R,$AK157))))</f>
        <v/>
      </c>
      <c r="S157" s="7" t="str">
        <f>IF($AK157="","",IF($AK157=0,"",IF(INDEX(LookupData!S:S,$AK157)="","",INDEX(LookupData!S:S,$AK157))))</f>
        <v/>
      </c>
      <c r="T157" s="7" t="str">
        <f>IF($AK157="","",IF($AK157=0,"",IF(INDEX(LookupData!T:T,$AK157)="","",INDEX(LookupData!T:T,$AK157))))</f>
        <v/>
      </c>
      <c r="U157" s="7" t="str">
        <f>IF($AK157="","",IF($AK157=0,"",IF(INDEX(LookupData!U:U,$AK157)="","",INDEX(LookupData!U:U,$AK157))))</f>
        <v/>
      </c>
      <c r="V157" s="7" t="str">
        <f>IF($AK157="","",IF($AK157=0,"",IF(INDEX(LookupData!V:V,$AK157)="","",INDEX(LookupData!V:V,$AK157))))</f>
        <v/>
      </c>
      <c r="W157" t="str">
        <f>IF($AK157="","",IF($AK157=0,"",IF(INDEX(LookupData!W:W,$AK157)="","",INDEX(LookupData!W:W,$AK157))))</f>
        <v/>
      </c>
      <c r="X157" s="7" t="str">
        <f>IF($AK157="","",IF($AK157=0,"",IF(INDEX(LookupData!X:X,$AK157)="","",INDEX(LookupData!X:X,$AK157))))</f>
        <v/>
      </c>
      <c r="Y157" s="7" t="str">
        <f>IF($AK157="","",IF($AK157=0,"",IF(INDEX(LookupData!Y:Y,$AK157)="","",INDEX(LookupData!Y:Y,$AK157))))</f>
        <v/>
      </c>
      <c r="Z157" s="7" t="str">
        <f>IF($AK157="","",IF($AK157=0,"",IF(INDEX(LookupData!Z:Z,$AK157)="","",INDEX(LookupData!Z:Z,$AK157))))</f>
        <v/>
      </c>
      <c r="AA157" s="7" t="str">
        <f>IF($AK157="","",IF($AK157=0,"",IF(INDEX(LookupData!AA:AA,$AK157)="","",INDEX(LookupData!AA:AA,$AK157))))</f>
        <v/>
      </c>
      <c r="AB157" s="7" t="str">
        <f>IF($AK157="","",IF($AK157=0,"",IF(INDEX(LookupData!AB:AB,$AK157)="","",INDEX(LookupData!AB:AB,$AK157))))</f>
        <v/>
      </c>
      <c r="AC157" s="7" t="str">
        <f>IF($AK157="","",IF($AK157=0,"",IF(INDEX(LookupData!AC:AC,$AK157)="","",INDEX(LookupData!AC:AC,$AK157))))</f>
        <v/>
      </c>
      <c r="AD157" s="7" t="str">
        <f>IF($AK157="","",IF($AK157=0,"",IF(INDEX(LookupData!AD:AD,$AK157)="","",INDEX(LookupData!AD:AD,$AK157))))</f>
        <v/>
      </c>
      <c r="AE157" s="7" t="str">
        <f>IF($AK157="","",IF($AK157=0,"",IF(INDEX(LookupData!AE:AE,$AK157)="","",INDEX(LookupData!AE:AE,$AK157))))</f>
        <v/>
      </c>
      <c r="AF157" t="str">
        <f>IF($AK157="","",IF($AK157=0,"",IF(INDEX(LookupData!AF:AF,$AK157)="","",INDEX(LookupData!AF:AF,$AK157))))</f>
        <v/>
      </c>
      <c r="AG157" t="str">
        <f>IF($AK157="","",IF($AK157=0,"",IF(INDEX(LookupData!AG:AG,$AK157)="","",INDEX(LookupData!AG:AG,$AK157))))</f>
        <v/>
      </c>
      <c r="AH157" s="11" t="str">
        <f>IF($AK157="","",IF($AK157=0,"",IF(INDEX(LookupData!AH:AH,$AK157)="","",INDEX(LookupData!AH:AH,$AK157))))</f>
        <v/>
      </c>
      <c r="AI157" s="12" t="str">
        <f>IF($AK157="","",IF($AK157=0,"",IF(INDEX(LookupData!AI:AI,$AK157)="","",HYPERLINK(INDEX(LookupData!AI:AI,$AK157),"Open"))))</f>
        <v/>
      </c>
      <c r="AK157" t="str">
        <f>IF(AL157="","",IFERROR(MATCH(AL157,LookupData!$A:$A,0),0))</f>
        <v/>
      </c>
      <c r="AL157" t="str">
        <f t="shared" si="8"/>
        <v/>
      </c>
      <c r="AM157" t="str">
        <f t="shared" si="9"/>
        <v/>
      </c>
    </row>
    <row r="158" spans="1:39" x14ac:dyDescent="0.2">
      <c r="A158" s="9"/>
      <c r="B158" s="10" t="str">
        <f>IF($AK158="","",IF($AK158=0,"not in the database",IF(INDEX(LookupData!B:B,$AK158)="","",INDEX(LookupData!B:B,$AK158))))</f>
        <v/>
      </c>
      <c r="C158" t="str">
        <f>IF($AK158="","",IF($AK158=0,"",IF(INDEX(LookupData!C:C,$AK158)="","",INDEX(LookupData!C:C,$AK158))))</f>
        <v/>
      </c>
      <c r="D158" t="str">
        <f>IF($AK158="","",IF($AK158=0,"",IF(INDEX(LookupData!D:D,$AK158)="","",INDEX(LookupData!D:D,$AK158))))</f>
        <v/>
      </c>
      <c r="E158" t="str">
        <f>IF($AK158="","",IF($AK158=0,"",IF(INDEX(LookupData!E:E,$AK158)="","",INDEX(LookupData!E:E,$AK158))))</f>
        <v/>
      </c>
      <c r="F158" t="str">
        <f>IF($AK158="","",IF($AK158=0,"",IF(INDEX(LookupData!F:F,$AK158)="","",INDEX(LookupData!F:F,$AK158))))</f>
        <v/>
      </c>
      <c r="G158" t="str">
        <f>IF($AK158="","",IF($AK158=0,"",IF(INDEX(LookupData!G:G,$AK158)="","",INDEX(LookupData!G:G,$AK158))))</f>
        <v/>
      </c>
      <c r="H158" t="str">
        <f>IF($AK158="","",IF($AK158=0,"",IF(INDEX(LookupData!H:H,$AK158)="","",INDEX(LookupData!H:H,$AK158))))</f>
        <v/>
      </c>
      <c r="I158" s="7" t="str">
        <f>IF($AK158="","",IF($AK158=0,"",IF(INDEX(LookupData!I:I,$AK158)="","",INDEX(LookupData!I:I,$AK158))))</f>
        <v/>
      </c>
      <c r="J158" s="7" t="str">
        <f>IF($AK158="","",IF($AK158=0,"",IF(INDEX(LookupData!J:J,$AK158)="","",INDEX(LookupData!J:J,$AK158))))</f>
        <v/>
      </c>
      <c r="K158" s="7" t="str">
        <f>IF($AK158="","",IF($AK158=0,"",IF(INDEX(LookupData!K:K,$AK158)="","",INDEX(LookupData!K:K,$AK158))))</f>
        <v/>
      </c>
      <c r="L158" s="7" t="str">
        <f>IF($AK158="","",IF($AK158=0,"",IF(INDEX(LookupData!L:L,$AK158)="","",INDEX(LookupData!L:L,$AK158))))</f>
        <v/>
      </c>
      <c r="M158" s="7" t="str">
        <f>IF($AK158="","",IF($AK158=0,"",IF(INDEX(LookupData!M:M,$AK158)="","",INDEX(LookupData!M:M,$AK158))))</f>
        <v/>
      </c>
      <c r="N158" s="7" t="str">
        <f>IF($AK158="","",IF($AK158=0,"",IF(INDEX(LookupData!N:N,$AK158)="","",INDEX(LookupData!N:N,$AK158))))</f>
        <v/>
      </c>
      <c r="O158" s="7" t="str">
        <f>IF($AK158="","",IF($AK158=0,"",IF(INDEX(LookupData!O:O,$AK158)="","",INDEX(LookupData!O:O,$AK158))))</f>
        <v/>
      </c>
      <c r="P158" s="7" t="str">
        <f>IF($AK158="","",IF($AK158=0,"",IF(INDEX(LookupData!P:P,$AK158)="","",INDEX(LookupData!P:P,$AK158))))</f>
        <v/>
      </c>
      <c r="Q158" s="7" t="str">
        <f>IF($AK158="","",IF($AK158=0,"",IF(INDEX(LookupData!Q:Q,$AK158)="","",INDEX(LookupData!Q:Q,$AK158))))</f>
        <v/>
      </c>
      <c r="R158" s="7" t="str">
        <f>IF($AK158="","",IF($AK158=0,"",IF(INDEX(LookupData!R:R,$AK158)="","",INDEX(LookupData!R:R,$AK158))))</f>
        <v/>
      </c>
      <c r="S158" s="7" t="str">
        <f>IF($AK158="","",IF($AK158=0,"",IF(INDEX(LookupData!S:S,$AK158)="","",INDEX(LookupData!S:S,$AK158))))</f>
        <v/>
      </c>
      <c r="T158" s="7" t="str">
        <f>IF($AK158="","",IF($AK158=0,"",IF(INDEX(LookupData!T:T,$AK158)="","",INDEX(LookupData!T:T,$AK158))))</f>
        <v/>
      </c>
      <c r="U158" s="7" t="str">
        <f>IF($AK158="","",IF($AK158=0,"",IF(INDEX(LookupData!U:U,$AK158)="","",INDEX(LookupData!U:U,$AK158))))</f>
        <v/>
      </c>
      <c r="V158" s="7" t="str">
        <f>IF($AK158="","",IF($AK158=0,"",IF(INDEX(LookupData!V:V,$AK158)="","",INDEX(LookupData!V:V,$AK158))))</f>
        <v/>
      </c>
      <c r="W158" t="str">
        <f>IF($AK158="","",IF($AK158=0,"",IF(INDEX(LookupData!W:W,$AK158)="","",INDEX(LookupData!W:W,$AK158))))</f>
        <v/>
      </c>
      <c r="X158" s="7" t="str">
        <f>IF($AK158="","",IF($AK158=0,"",IF(INDEX(LookupData!X:X,$AK158)="","",INDEX(LookupData!X:X,$AK158))))</f>
        <v/>
      </c>
      <c r="Y158" s="7" t="str">
        <f>IF($AK158="","",IF($AK158=0,"",IF(INDEX(LookupData!Y:Y,$AK158)="","",INDEX(LookupData!Y:Y,$AK158))))</f>
        <v/>
      </c>
      <c r="Z158" s="7" t="str">
        <f>IF($AK158="","",IF($AK158=0,"",IF(INDEX(LookupData!Z:Z,$AK158)="","",INDEX(LookupData!Z:Z,$AK158))))</f>
        <v/>
      </c>
      <c r="AA158" s="7" t="str">
        <f>IF($AK158="","",IF($AK158=0,"",IF(INDEX(LookupData!AA:AA,$AK158)="","",INDEX(LookupData!AA:AA,$AK158))))</f>
        <v/>
      </c>
      <c r="AB158" s="7" t="str">
        <f>IF($AK158="","",IF($AK158=0,"",IF(INDEX(LookupData!AB:AB,$AK158)="","",INDEX(LookupData!AB:AB,$AK158))))</f>
        <v/>
      </c>
      <c r="AC158" s="7" t="str">
        <f>IF($AK158="","",IF($AK158=0,"",IF(INDEX(LookupData!AC:AC,$AK158)="","",INDEX(LookupData!AC:AC,$AK158))))</f>
        <v/>
      </c>
      <c r="AD158" s="7" t="str">
        <f>IF($AK158="","",IF($AK158=0,"",IF(INDEX(LookupData!AD:AD,$AK158)="","",INDEX(LookupData!AD:AD,$AK158))))</f>
        <v/>
      </c>
      <c r="AE158" s="7" t="str">
        <f>IF($AK158="","",IF($AK158=0,"",IF(INDEX(LookupData!AE:AE,$AK158)="","",INDEX(LookupData!AE:AE,$AK158))))</f>
        <v/>
      </c>
      <c r="AF158" t="str">
        <f>IF($AK158="","",IF($AK158=0,"",IF(INDEX(LookupData!AF:AF,$AK158)="","",INDEX(LookupData!AF:AF,$AK158))))</f>
        <v/>
      </c>
      <c r="AG158" t="str">
        <f>IF($AK158="","",IF($AK158=0,"",IF(INDEX(LookupData!AG:AG,$AK158)="","",INDEX(LookupData!AG:AG,$AK158))))</f>
        <v/>
      </c>
      <c r="AH158" s="11" t="str">
        <f>IF($AK158="","",IF($AK158=0,"",IF(INDEX(LookupData!AH:AH,$AK158)="","",INDEX(LookupData!AH:AH,$AK158))))</f>
        <v/>
      </c>
      <c r="AI158" s="12" t="str">
        <f>IF($AK158="","",IF($AK158=0,"",IF(INDEX(LookupData!AI:AI,$AK158)="","",HYPERLINK(INDEX(LookupData!AI:AI,$AK158),"Open"))))</f>
        <v/>
      </c>
      <c r="AK158" t="str">
        <f>IF(AL158="","",IFERROR(MATCH(AL158,LookupData!$A:$A,0),0))</f>
        <v/>
      </c>
      <c r="AL158" t="str">
        <f t="shared" si="8"/>
        <v/>
      </c>
      <c r="AM158" t="str">
        <f t="shared" si="9"/>
        <v/>
      </c>
    </row>
    <row r="159" spans="1:39" x14ac:dyDescent="0.2">
      <c r="A159" s="9"/>
      <c r="B159" s="10" t="str">
        <f>IF($AK159="","",IF($AK159=0,"not in the database",IF(INDEX(LookupData!B:B,$AK159)="","",INDEX(LookupData!B:B,$AK159))))</f>
        <v/>
      </c>
      <c r="C159" t="str">
        <f>IF($AK159="","",IF($AK159=0,"",IF(INDEX(LookupData!C:C,$AK159)="","",INDEX(LookupData!C:C,$AK159))))</f>
        <v/>
      </c>
      <c r="D159" t="str">
        <f>IF($AK159="","",IF($AK159=0,"",IF(INDEX(LookupData!D:D,$AK159)="","",INDEX(LookupData!D:D,$AK159))))</f>
        <v/>
      </c>
      <c r="E159" t="str">
        <f>IF($AK159="","",IF($AK159=0,"",IF(INDEX(LookupData!E:E,$AK159)="","",INDEX(LookupData!E:E,$AK159))))</f>
        <v/>
      </c>
      <c r="F159" t="str">
        <f>IF($AK159="","",IF($AK159=0,"",IF(INDEX(LookupData!F:F,$AK159)="","",INDEX(LookupData!F:F,$AK159))))</f>
        <v/>
      </c>
      <c r="G159" t="str">
        <f>IF($AK159="","",IF($AK159=0,"",IF(INDEX(LookupData!G:G,$AK159)="","",INDEX(LookupData!G:G,$AK159))))</f>
        <v/>
      </c>
      <c r="H159" t="str">
        <f>IF($AK159="","",IF($AK159=0,"",IF(INDEX(LookupData!H:H,$AK159)="","",INDEX(LookupData!H:H,$AK159))))</f>
        <v/>
      </c>
      <c r="I159" s="7" t="str">
        <f>IF($AK159="","",IF($AK159=0,"",IF(INDEX(LookupData!I:I,$AK159)="","",INDEX(LookupData!I:I,$AK159))))</f>
        <v/>
      </c>
      <c r="J159" s="7" t="str">
        <f>IF($AK159="","",IF($AK159=0,"",IF(INDEX(LookupData!J:J,$AK159)="","",INDEX(LookupData!J:J,$AK159))))</f>
        <v/>
      </c>
      <c r="K159" s="7" t="str">
        <f>IF($AK159="","",IF($AK159=0,"",IF(INDEX(LookupData!K:K,$AK159)="","",INDEX(LookupData!K:K,$AK159))))</f>
        <v/>
      </c>
      <c r="L159" s="7" t="str">
        <f>IF($AK159="","",IF($AK159=0,"",IF(INDEX(LookupData!L:L,$AK159)="","",INDEX(LookupData!L:L,$AK159))))</f>
        <v/>
      </c>
      <c r="M159" s="7" t="str">
        <f>IF($AK159="","",IF($AK159=0,"",IF(INDEX(LookupData!M:M,$AK159)="","",INDEX(LookupData!M:M,$AK159))))</f>
        <v/>
      </c>
      <c r="N159" s="7" t="str">
        <f>IF($AK159="","",IF($AK159=0,"",IF(INDEX(LookupData!N:N,$AK159)="","",INDEX(LookupData!N:N,$AK159))))</f>
        <v/>
      </c>
      <c r="O159" s="7" t="str">
        <f>IF($AK159="","",IF($AK159=0,"",IF(INDEX(LookupData!O:O,$AK159)="","",INDEX(LookupData!O:O,$AK159))))</f>
        <v/>
      </c>
      <c r="P159" s="7" t="str">
        <f>IF($AK159="","",IF($AK159=0,"",IF(INDEX(LookupData!P:P,$AK159)="","",INDEX(LookupData!P:P,$AK159))))</f>
        <v/>
      </c>
      <c r="Q159" s="7" t="str">
        <f>IF($AK159="","",IF($AK159=0,"",IF(INDEX(LookupData!Q:Q,$AK159)="","",INDEX(LookupData!Q:Q,$AK159))))</f>
        <v/>
      </c>
      <c r="R159" s="7" t="str">
        <f>IF($AK159="","",IF($AK159=0,"",IF(INDEX(LookupData!R:R,$AK159)="","",INDEX(LookupData!R:R,$AK159))))</f>
        <v/>
      </c>
      <c r="S159" s="7" t="str">
        <f>IF($AK159="","",IF($AK159=0,"",IF(INDEX(LookupData!S:S,$AK159)="","",INDEX(LookupData!S:S,$AK159))))</f>
        <v/>
      </c>
      <c r="T159" s="7" t="str">
        <f>IF($AK159="","",IF($AK159=0,"",IF(INDEX(LookupData!T:T,$AK159)="","",INDEX(LookupData!T:T,$AK159))))</f>
        <v/>
      </c>
      <c r="U159" s="7" t="str">
        <f>IF($AK159="","",IF($AK159=0,"",IF(INDEX(LookupData!U:U,$AK159)="","",INDEX(LookupData!U:U,$AK159))))</f>
        <v/>
      </c>
      <c r="V159" s="7" t="str">
        <f>IF($AK159="","",IF($AK159=0,"",IF(INDEX(LookupData!V:V,$AK159)="","",INDEX(LookupData!V:V,$AK159))))</f>
        <v/>
      </c>
      <c r="W159" t="str">
        <f>IF($AK159="","",IF($AK159=0,"",IF(INDEX(LookupData!W:W,$AK159)="","",INDEX(LookupData!W:W,$AK159))))</f>
        <v/>
      </c>
      <c r="X159" s="7" t="str">
        <f>IF($AK159="","",IF($AK159=0,"",IF(INDEX(LookupData!X:X,$AK159)="","",INDEX(LookupData!X:X,$AK159))))</f>
        <v/>
      </c>
      <c r="Y159" s="7" t="str">
        <f>IF($AK159="","",IF($AK159=0,"",IF(INDEX(LookupData!Y:Y,$AK159)="","",INDEX(LookupData!Y:Y,$AK159))))</f>
        <v/>
      </c>
      <c r="Z159" s="7" t="str">
        <f>IF($AK159="","",IF($AK159=0,"",IF(INDEX(LookupData!Z:Z,$AK159)="","",INDEX(LookupData!Z:Z,$AK159))))</f>
        <v/>
      </c>
      <c r="AA159" s="7" t="str">
        <f>IF($AK159="","",IF($AK159=0,"",IF(INDEX(LookupData!AA:AA,$AK159)="","",INDEX(LookupData!AA:AA,$AK159))))</f>
        <v/>
      </c>
      <c r="AB159" s="7" t="str">
        <f>IF($AK159="","",IF($AK159=0,"",IF(INDEX(LookupData!AB:AB,$AK159)="","",INDEX(LookupData!AB:AB,$AK159))))</f>
        <v/>
      </c>
      <c r="AC159" s="7" t="str">
        <f>IF($AK159="","",IF($AK159=0,"",IF(INDEX(LookupData!AC:AC,$AK159)="","",INDEX(LookupData!AC:AC,$AK159))))</f>
        <v/>
      </c>
      <c r="AD159" s="7" t="str">
        <f>IF($AK159="","",IF($AK159=0,"",IF(INDEX(LookupData!AD:AD,$AK159)="","",INDEX(LookupData!AD:AD,$AK159))))</f>
        <v/>
      </c>
      <c r="AE159" s="7" t="str">
        <f>IF($AK159="","",IF($AK159=0,"",IF(INDEX(LookupData!AE:AE,$AK159)="","",INDEX(LookupData!AE:AE,$AK159))))</f>
        <v/>
      </c>
      <c r="AF159" t="str">
        <f>IF($AK159="","",IF($AK159=0,"",IF(INDEX(LookupData!AF:AF,$AK159)="","",INDEX(LookupData!AF:AF,$AK159))))</f>
        <v/>
      </c>
      <c r="AG159" t="str">
        <f>IF($AK159="","",IF($AK159=0,"",IF(INDEX(LookupData!AG:AG,$AK159)="","",INDEX(LookupData!AG:AG,$AK159))))</f>
        <v/>
      </c>
      <c r="AH159" s="11" t="str">
        <f>IF($AK159="","",IF($AK159=0,"",IF(INDEX(LookupData!AH:AH,$AK159)="","",INDEX(LookupData!AH:AH,$AK159))))</f>
        <v/>
      </c>
      <c r="AI159" s="12" t="str">
        <f>IF($AK159="","",IF($AK159=0,"",IF(INDEX(LookupData!AI:AI,$AK159)="","",HYPERLINK(INDEX(LookupData!AI:AI,$AK159),"Open"))))</f>
        <v/>
      </c>
      <c r="AK159" t="str">
        <f>IF(AL159="","",IFERROR(MATCH(AL159,LookupData!$A:$A,0),0))</f>
        <v/>
      </c>
      <c r="AL159" t="str">
        <f t="shared" si="8"/>
        <v/>
      </c>
      <c r="AM159" t="str">
        <f t="shared" si="9"/>
        <v/>
      </c>
    </row>
    <row r="160" spans="1:39" x14ac:dyDescent="0.2">
      <c r="A160" s="9"/>
      <c r="B160" s="10" t="str">
        <f>IF($AK160="","",IF($AK160=0,"not in the database",IF(INDEX(LookupData!B:B,$AK160)="","",INDEX(LookupData!B:B,$AK160))))</f>
        <v/>
      </c>
      <c r="C160" t="str">
        <f>IF($AK160="","",IF($AK160=0,"",IF(INDEX(LookupData!C:C,$AK160)="","",INDEX(LookupData!C:C,$AK160))))</f>
        <v/>
      </c>
      <c r="D160" t="str">
        <f>IF($AK160="","",IF($AK160=0,"",IF(INDEX(LookupData!D:D,$AK160)="","",INDEX(LookupData!D:D,$AK160))))</f>
        <v/>
      </c>
      <c r="E160" t="str">
        <f>IF($AK160="","",IF($AK160=0,"",IF(INDEX(LookupData!E:E,$AK160)="","",INDEX(LookupData!E:E,$AK160))))</f>
        <v/>
      </c>
      <c r="F160" t="str">
        <f>IF($AK160="","",IF($AK160=0,"",IF(INDEX(LookupData!F:F,$AK160)="","",INDEX(LookupData!F:F,$AK160))))</f>
        <v/>
      </c>
      <c r="G160" t="str">
        <f>IF($AK160="","",IF($AK160=0,"",IF(INDEX(LookupData!G:G,$AK160)="","",INDEX(LookupData!G:G,$AK160))))</f>
        <v/>
      </c>
      <c r="H160" t="str">
        <f>IF($AK160="","",IF($AK160=0,"",IF(INDEX(LookupData!H:H,$AK160)="","",INDEX(LookupData!H:H,$AK160))))</f>
        <v/>
      </c>
      <c r="I160" s="7" t="str">
        <f>IF($AK160="","",IF($AK160=0,"",IF(INDEX(LookupData!I:I,$AK160)="","",INDEX(LookupData!I:I,$AK160))))</f>
        <v/>
      </c>
      <c r="J160" s="7" t="str">
        <f>IF($AK160="","",IF($AK160=0,"",IF(INDEX(LookupData!J:J,$AK160)="","",INDEX(LookupData!J:J,$AK160))))</f>
        <v/>
      </c>
      <c r="K160" s="7" t="str">
        <f>IF($AK160="","",IF($AK160=0,"",IF(INDEX(LookupData!K:K,$AK160)="","",INDEX(LookupData!K:K,$AK160))))</f>
        <v/>
      </c>
      <c r="L160" s="7" t="str">
        <f>IF($AK160="","",IF($AK160=0,"",IF(INDEX(LookupData!L:L,$AK160)="","",INDEX(LookupData!L:L,$AK160))))</f>
        <v/>
      </c>
      <c r="M160" s="7" t="str">
        <f>IF($AK160="","",IF($AK160=0,"",IF(INDEX(LookupData!M:M,$AK160)="","",INDEX(LookupData!M:M,$AK160))))</f>
        <v/>
      </c>
      <c r="N160" s="7" t="str">
        <f>IF($AK160="","",IF($AK160=0,"",IF(INDEX(LookupData!N:N,$AK160)="","",INDEX(LookupData!N:N,$AK160))))</f>
        <v/>
      </c>
      <c r="O160" s="7" t="str">
        <f>IF($AK160="","",IF($AK160=0,"",IF(INDEX(LookupData!O:O,$AK160)="","",INDEX(LookupData!O:O,$AK160))))</f>
        <v/>
      </c>
      <c r="P160" s="7" t="str">
        <f>IF($AK160="","",IF($AK160=0,"",IF(INDEX(LookupData!P:P,$AK160)="","",INDEX(LookupData!P:P,$AK160))))</f>
        <v/>
      </c>
      <c r="Q160" s="7" t="str">
        <f>IF($AK160="","",IF($AK160=0,"",IF(INDEX(LookupData!Q:Q,$AK160)="","",INDEX(LookupData!Q:Q,$AK160))))</f>
        <v/>
      </c>
      <c r="R160" s="7" t="str">
        <f>IF($AK160="","",IF($AK160=0,"",IF(INDEX(LookupData!R:R,$AK160)="","",INDEX(LookupData!R:R,$AK160))))</f>
        <v/>
      </c>
      <c r="S160" s="7" t="str">
        <f>IF($AK160="","",IF($AK160=0,"",IF(INDEX(LookupData!S:S,$AK160)="","",INDEX(LookupData!S:S,$AK160))))</f>
        <v/>
      </c>
      <c r="T160" s="7" t="str">
        <f>IF($AK160="","",IF($AK160=0,"",IF(INDEX(LookupData!T:T,$AK160)="","",INDEX(LookupData!T:T,$AK160))))</f>
        <v/>
      </c>
      <c r="U160" s="7" t="str">
        <f>IF($AK160="","",IF($AK160=0,"",IF(INDEX(LookupData!U:U,$AK160)="","",INDEX(LookupData!U:U,$AK160))))</f>
        <v/>
      </c>
      <c r="V160" s="7" t="str">
        <f>IF($AK160="","",IF($AK160=0,"",IF(INDEX(LookupData!V:V,$AK160)="","",INDEX(LookupData!V:V,$AK160))))</f>
        <v/>
      </c>
      <c r="W160" t="str">
        <f>IF($AK160="","",IF($AK160=0,"",IF(INDEX(LookupData!W:W,$AK160)="","",INDEX(LookupData!W:W,$AK160))))</f>
        <v/>
      </c>
      <c r="X160" s="7" t="str">
        <f>IF($AK160="","",IF($AK160=0,"",IF(INDEX(LookupData!X:X,$AK160)="","",INDEX(LookupData!X:X,$AK160))))</f>
        <v/>
      </c>
      <c r="Y160" s="7" t="str">
        <f>IF($AK160="","",IF($AK160=0,"",IF(INDEX(LookupData!Y:Y,$AK160)="","",INDEX(LookupData!Y:Y,$AK160))))</f>
        <v/>
      </c>
      <c r="Z160" s="7" t="str">
        <f>IF($AK160="","",IF($AK160=0,"",IF(INDEX(LookupData!Z:Z,$AK160)="","",INDEX(LookupData!Z:Z,$AK160))))</f>
        <v/>
      </c>
      <c r="AA160" s="7" t="str">
        <f>IF($AK160="","",IF($AK160=0,"",IF(INDEX(LookupData!AA:AA,$AK160)="","",INDEX(LookupData!AA:AA,$AK160))))</f>
        <v/>
      </c>
      <c r="AB160" s="7" t="str">
        <f>IF($AK160="","",IF($AK160=0,"",IF(INDEX(LookupData!AB:AB,$AK160)="","",INDEX(LookupData!AB:AB,$AK160))))</f>
        <v/>
      </c>
      <c r="AC160" s="7" t="str">
        <f>IF($AK160="","",IF($AK160=0,"",IF(INDEX(LookupData!AC:AC,$AK160)="","",INDEX(LookupData!AC:AC,$AK160))))</f>
        <v/>
      </c>
      <c r="AD160" s="7" t="str">
        <f>IF($AK160="","",IF($AK160=0,"",IF(INDEX(LookupData!AD:AD,$AK160)="","",INDEX(LookupData!AD:AD,$AK160))))</f>
        <v/>
      </c>
      <c r="AE160" s="7" t="str">
        <f>IF($AK160="","",IF($AK160=0,"",IF(INDEX(LookupData!AE:AE,$AK160)="","",INDEX(LookupData!AE:AE,$AK160))))</f>
        <v/>
      </c>
      <c r="AF160" t="str">
        <f>IF($AK160="","",IF($AK160=0,"",IF(INDEX(LookupData!AF:AF,$AK160)="","",INDEX(LookupData!AF:AF,$AK160))))</f>
        <v/>
      </c>
      <c r="AG160" t="str">
        <f>IF($AK160="","",IF($AK160=0,"",IF(INDEX(LookupData!AG:AG,$AK160)="","",INDEX(LookupData!AG:AG,$AK160))))</f>
        <v/>
      </c>
      <c r="AH160" s="11" t="str">
        <f>IF($AK160="","",IF($AK160=0,"",IF(INDEX(LookupData!AH:AH,$AK160)="","",INDEX(LookupData!AH:AH,$AK160))))</f>
        <v/>
      </c>
      <c r="AI160" s="12" t="str">
        <f>IF($AK160="","",IF($AK160=0,"",IF(INDEX(LookupData!AI:AI,$AK160)="","",HYPERLINK(INDEX(LookupData!AI:AI,$AK160),"Open"))))</f>
        <v/>
      </c>
      <c r="AK160" t="str">
        <f>IF(AL160="","",IFERROR(MATCH(AL160,LookupData!$A:$A,0),0))</f>
        <v/>
      </c>
      <c r="AL160" t="str">
        <f t="shared" si="8"/>
        <v/>
      </c>
      <c r="AM160" t="str">
        <f t="shared" si="9"/>
        <v/>
      </c>
    </row>
    <row r="161" spans="1:39" x14ac:dyDescent="0.2">
      <c r="A161" s="9"/>
      <c r="B161" s="10" t="str">
        <f>IF($AK161="","",IF($AK161=0,"not in the database",IF(INDEX(LookupData!B:B,$AK161)="","",INDEX(LookupData!B:B,$AK161))))</f>
        <v/>
      </c>
      <c r="C161" t="str">
        <f>IF($AK161="","",IF($AK161=0,"",IF(INDEX(LookupData!C:C,$AK161)="","",INDEX(LookupData!C:C,$AK161))))</f>
        <v/>
      </c>
      <c r="D161" t="str">
        <f>IF($AK161="","",IF($AK161=0,"",IF(INDEX(LookupData!D:D,$AK161)="","",INDEX(LookupData!D:D,$AK161))))</f>
        <v/>
      </c>
      <c r="E161" t="str">
        <f>IF($AK161="","",IF($AK161=0,"",IF(INDEX(LookupData!E:E,$AK161)="","",INDEX(LookupData!E:E,$AK161))))</f>
        <v/>
      </c>
      <c r="F161" t="str">
        <f>IF($AK161="","",IF($AK161=0,"",IF(INDEX(LookupData!F:F,$AK161)="","",INDEX(LookupData!F:F,$AK161))))</f>
        <v/>
      </c>
      <c r="G161" t="str">
        <f>IF($AK161="","",IF($AK161=0,"",IF(INDEX(LookupData!G:G,$AK161)="","",INDEX(LookupData!G:G,$AK161))))</f>
        <v/>
      </c>
      <c r="H161" t="str">
        <f>IF($AK161="","",IF($AK161=0,"",IF(INDEX(LookupData!H:H,$AK161)="","",INDEX(LookupData!H:H,$AK161))))</f>
        <v/>
      </c>
      <c r="I161" s="7" t="str">
        <f>IF($AK161="","",IF($AK161=0,"",IF(INDEX(LookupData!I:I,$AK161)="","",INDEX(LookupData!I:I,$AK161))))</f>
        <v/>
      </c>
      <c r="J161" s="7" t="str">
        <f>IF($AK161="","",IF($AK161=0,"",IF(INDEX(LookupData!J:J,$AK161)="","",INDEX(LookupData!J:J,$AK161))))</f>
        <v/>
      </c>
      <c r="K161" s="7" t="str">
        <f>IF($AK161="","",IF($AK161=0,"",IF(INDEX(LookupData!K:K,$AK161)="","",INDEX(LookupData!K:K,$AK161))))</f>
        <v/>
      </c>
      <c r="L161" s="7" t="str">
        <f>IF($AK161="","",IF($AK161=0,"",IF(INDEX(LookupData!L:L,$AK161)="","",INDEX(LookupData!L:L,$AK161))))</f>
        <v/>
      </c>
      <c r="M161" s="7" t="str">
        <f>IF($AK161="","",IF($AK161=0,"",IF(INDEX(LookupData!M:M,$AK161)="","",INDEX(LookupData!M:M,$AK161))))</f>
        <v/>
      </c>
      <c r="N161" s="7" t="str">
        <f>IF($AK161="","",IF($AK161=0,"",IF(INDEX(LookupData!N:N,$AK161)="","",INDEX(LookupData!N:N,$AK161))))</f>
        <v/>
      </c>
      <c r="O161" s="7" t="str">
        <f>IF($AK161="","",IF($AK161=0,"",IF(INDEX(LookupData!O:O,$AK161)="","",INDEX(LookupData!O:O,$AK161))))</f>
        <v/>
      </c>
      <c r="P161" s="7" t="str">
        <f>IF($AK161="","",IF($AK161=0,"",IF(INDEX(LookupData!P:P,$AK161)="","",INDEX(LookupData!P:P,$AK161))))</f>
        <v/>
      </c>
      <c r="Q161" s="7" t="str">
        <f>IF($AK161="","",IF($AK161=0,"",IF(INDEX(LookupData!Q:Q,$AK161)="","",INDEX(LookupData!Q:Q,$AK161))))</f>
        <v/>
      </c>
      <c r="R161" s="7" t="str">
        <f>IF($AK161="","",IF($AK161=0,"",IF(INDEX(LookupData!R:R,$AK161)="","",INDEX(LookupData!R:R,$AK161))))</f>
        <v/>
      </c>
      <c r="S161" s="7" t="str">
        <f>IF($AK161="","",IF($AK161=0,"",IF(INDEX(LookupData!S:S,$AK161)="","",INDEX(LookupData!S:S,$AK161))))</f>
        <v/>
      </c>
      <c r="T161" s="7" t="str">
        <f>IF($AK161="","",IF($AK161=0,"",IF(INDEX(LookupData!T:T,$AK161)="","",INDEX(LookupData!T:T,$AK161))))</f>
        <v/>
      </c>
      <c r="U161" s="7" t="str">
        <f>IF($AK161="","",IF($AK161=0,"",IF(INDEX(LookupData!U:U,$AK161)="","",INDEX(LookupData!U:U,$AK161))))</f>
        <v/>
      </c>
      <c r="V161" s="7" t="str">
        <f>IF($AK161="","",IF($AK161=0,"",IF(INDEX(LookupData!V:V,$AK161)="","",INDEX(LookupData!V:V,$AK161))))</f>
        <v/>
      </c>
      <c r="W161" t="str">
        <f>IF($AK161="","",IF($AK161=0,"",IF(INDEX(LookupData!W:W,$AK161)="","",INDEX(LookupData!W:W,$AK161))))</f>
        <v/>
      </c>
      <c r="X161" s="7" t="str">
        <f>IF($AK161="","",IF($AK161=0,"",IF(INDEX(LookupData!X:X,$AK161)="","",INDEX(LookupData!X:X,$AK161))))</f>
        <v/>
      </c>
      <c r="Y161" s="7" t="str">
        <f>IF($AK161="","",IF($AK161=0,"",IF(INDEX(LookupData!Y:Y,$AK161)="","",INDEX(LookupData!Y:Y,$AK161))))</f>
        <v/>
      </c>
      <c r="Z161" s="7" t="str">
        <f>IF($AK161="","",IF($AK161=0,"",IF(INDEX(LookupData!Z:Z,$AK161)="","",INDEX(LookupData!Z:Z,$AK161))))</f>
        <v/>
      </c>
      <c r="AA161" s="7" t="str">
        <f>IF($AK161="","",IF($AK161=0,"",IF(INDEX(LookupData!AA:AA,$AK161)="","",INDEX(LookupData!AA:AA,$AK161))))</f>
        <v/>
      </c>
      <c r="AB161" s="7" t="str">
        <f>IF($AK161="","",IF($AK161=0,"",IF(INDEX(LookupData!AB:AB,$AK161)="","",INDEX(LookupData!AB:AB,$AK161))))</f>
        <v/>
      </c>
      <c r="AC161" s="7" t="str">
        <f>IF($AK161="","",IF($AK161=0,"",IF(INDEX(LookupData!AC:AC,$AK161)="","",INDEX(LookupData!AC:AC,$AK161))))</f>
        <v/>
      </c>
      <c r="AD161" s="7" t="str">
        <f>IF($AK161="","",IF($AK161=0,"",IF(INDEX(LookupData!AD:AD,$AK161)="","",INDEX(LookupData!AD:AD,$AK161))))</f>
        <v/>
      </c>
      <c r="AE161" s="7" t="str">
        <f>IF($AK161="","",IF($AK161=0,"",IF(INDEX(LookupData!AE:AE,$AK161)="","",INDEX(LookupData!AE:AE,$AK161))))</f>
        <v/>
      </c>
      <c r="AF161" t="str">
        <f>IF($AK161="","",IF($AK161=0,"",IF(INDEX(LookupData!AF:AF,$AK161)="","",INDEX(LookupData!AF:AF,$AK161))))</f>
        <v/>
      </c>
      <c r="AG161" t="str">
        <f>IF($AK161="","",IF($AK161=0,"",IF(INDEX(LookupData!AG:AG,$AK161)="","",INDEX(LookupData!AG:AG,$AK161))))</f>
        <v/>
      </c>
      <c r="AH161" s="11" t="str">
        <f>IF($AK161="","",IF($AK161=0,"",IF(INDEX(LookupData!AH:AH,$AK161)="","",INDEX(LookupData!AH:AH,$AK161))))</f>
        <v/>
      </c>
      <c r="AI161" s="12" t="str">
        <f>IF($AK161="","",IF($AK161=0,"",IF(INDEX(LookupData!AI:AI,$AK161)="","",HYPERLINK(INDEX(LookupData!AI:AI,$AK161),"Open"))))</f>
        <v/>
      </c>
      <c r="AK161" t="str">
        <f>IF(AL161="","",IFERROR(MATCH(AL161,LookupData!$A:$A,0),0))</f>
        <v/>
      </c>
      <c r="AL161" t="str">
        <f t="shared" si="8"/>
        <v/>
      </c>
      <c r="AM161" t="str">
        <f t="shared" si="9"/>
        <v/>
      </c>
    </row>
    <row r="162" spans="1:39" x14ac:dyDescent="0.2">
      <c r="A162" s="9"/>
      <c r="B162" s="10" t="str">
        <f>IF($AK162="","",IF($AK162=0,"not in the database",IF(INDEX(LookupData!B:B,$AK162)="","",INDEX(LookupData!B:B,$AK162))))</f>
        <v/>
      </c>
      <c r="C162" t="str">
        <f>IF($AK162="","",IF($AK162=0,"",IF(INDEX(LookupData!C:C,$AK162)="","",INDEX(LookupData!C:C,$AK162))))</f>
        <v/>
      </c>
      <c r="D162" t="str">
        <f>IF($AK162="","",IF($AK162=0,"",IF(INDEX(LookupData!D:D,$AK162)="","",INDEX(LookupData!D:D,$AK162))))</f>
        <v/>
      </c>
      <c r="E162" t="str">
        <f>IF($AK162="","",IF($AK162=0,"",IF(INDEX(LookupData!E:E,$AK162)="","",INDEX(LookupData!E:E,$AK162))))</f>
        <v/>
      </c>
      <c r="F162" t="str">
        <f>IF($AK162="","",IF($AK162=0,"",IF(INDEX(LookupData!F:F,$AK162)="","",INDEX(LookupData!F:F,$AK162))))</f>
        <v/>
      </c>
      <c r="G162" t="str">
        <f>IF($AK162="","",IF($AK162=0,"",IF(INDEX(LookupData!G:G,$AK162)="","",INDEX(LookupData!G:G,$AK162))))</f>
        <v/>
      </c>
      <c r="H162" t="str">
        <f>IF($AK162="","",IF($AK162=0,"",IF(INDEX(LookupData!H:H,$AK162)="","",INDEX(LookupData!H:H,$AK162))))</f>
        <v/>
      </c>
      <c r="I162" s="7" t="str">
        <f>IF($AK162="","",IF($AK162=0,"",IF(INDEX(LookupData!I:I,$AK162)="","",INDEX(LookupData!I:I,$AK162))))</f>
        <v/>
      </c>
      <c r="J162" s="7" t="str">
        <f>IF($AK162="","",IF($AK162=0,"",IF(INDEX(LookupData!J:J,$AK162)="","",INDEX(LookupData!J:J,$AK162))))</f>
        <v/>
      </c>
      <c r="K162" s="7" t="str">
        <f>IF($AK162="","",IF($AK162=0,"",IF(INDEX(LookupData!K:K,$AK162)="","",INDEX(LookupData!K:K,$AK162))))</f>
        <v/>
      </c>
      <c r="L162" s="7" t="str">
        <f>IF($AK162="","",IF($AK162=0,"",IF(INDEX(LookupData!L:L,$AK162)="","",INDEX(LookupData!L:L,$AK162))))</f>
        <v/>
      </c>
      <c r="M162" s="7" t="str">
        <f>IF($AK162="","",IF($AK162=0,"",IF(INDEX(LookupData!M:M,$AK162)="","",INDEX(LookupData!M:M,$AK162))))</f>
        <v/>
      </c>
      <c r="N162" s="7" t="str">
        <f>IF($AK162="","",IF($AK162=0,"",IF(INDEX(LookupData!N:N,$AK162)="","",INDEX(LookupData!N:N,$AK162))))</f>
        <v/>
      </c>
      <c r="O162" s="7" t="str">
        <f>IF($AK162="","",IF($AK162=0,"",IF(INDEX(LookupData!O:O,$AK162)="","",INDEX(LookupData!O:O,$AK162))))</f>
        <v/>
      </c>
      <c r="P162" s="7" t="str">
        <f>IF($AK162="","",IF($AK162=0,"",IF(INDEX(LookupData!P:P,$AK162)="","",INDEX(LookupData!P:P,$AK162))))</f>
        <v/>
      </c>
      <c r="Q162" s="7" t="str">
        <f>IF($AK162="","",IF($AK162=0,"",IF(INDEX(LookupData!Q:Q,$AK162)="","",INDEX(LookupData!Q:Q,$AK162))))</f>
        <v/>
      </c>
      <c r="R162" s="7" t="str">
        <f>IF($AK162="","",IF($AK162=0,"",IF(INDEX(LookupData!R:R,$AK162)="","",INDEX(LookupData!R:R,$AK162))))</f>
        <v/>
      </c>
      <c r="S162" s="7" t="str">
        <f>IF($AK162="","",IF($AK162=0,"",IF(INDEX(LookupData!S:S,$AK162)="","",INDEX(LookupData!S:S,$AK162))))</f>
        <v/>
      </c>
      <c r="T162" s="7" t="str">
        <f>IF($AK162="","",IF($AK162=0,"",IF(INDEX(LookupData!T:T,$AK162)="","",INDEX(LookupData!T:T,$AK162))))</f>
        <v/>
      </c>
      <c r="U162" s="7" t="str">
        <f>IF($AK162="","",IF($AK162=0,"",IF(INDEX(LookupData!U:U,$AK162)="","",INDEX(LookupData!U:U,$AK162))))</f>
        <v/>
      </c>
      <c r="V162" s="7" t="str">
        <f>IF($AK162="","",IF($AK162=0,"",IF(INDEX(LookupData!V:V,$AK162)="","",INDEX(LookupData!V:V,$AK162))))</f>
        <v/>
      </c>
      <c r="W162" t="str">
        <f>IF($AK162="","",IF($AK162=0,"",IF(INDEX(LookupData!W:W,$AK162)="","",INDEX(LookupData!W:W,$AK162))))</f>
        <v/>
      </c>
      <c r="X162" s="7" t="str">
        <f>IF($AK162="","",IF($AK162=0,"",IF(INDEX(LookupData!X:X,$AK162)="","",INDEX(LookupData!X:X,$AK162))))</f>
        <v/>
      </c>
      <c r="Y162" s="7" t="str">
        <f>IF($AK162="","",IF($AK162=0,"",IF(INDEX(LookupData!Y:Y,$AK162)="","",INDEX(LookupData!Y:Y,$AK162))))</f>
        <v/>
      </c>
      <c r="Z162" s="7" t="str">
        <f>IF($AK162="","",IF($AK162=0,"",IF(INDEX(LookupData!Z:Z,$AK162)="","",INDEX(LookupData!Z:Z,$AK162))))</f>
        <v/>
      </c>
      <c r="AA162" s="7" t="str">
        <f>IF($AK162="","",IF($AK162=0,"",IF(INDEX(LookupData!AA:AA,$AK162)="","",INDEX(LookupData!AA:AA,$AK162))))</f>
        <v/>
      </c>
      <c r="AB162" s="7" t="str">
        <f>IF($AK162="","",IF($AK162=0,"",IF(INDEX(LookupData!AB:AB,$AK162)="","",INDEX(LookupData!AB:AB,$AK162))))</f>
        <v/>
      </c>
      <c r="AC162" s="7" t="str">
        <f>IF($AK162="","",IF($AK162=0,"",IF(INDEX(LookupData!AC:AC,$AK162)="","",INDEX(LookupData!AC:AC,$AK162))))</f>
        <v/>
      </c>
      <c r="AD162" s="7" t="str">
        <f>IF($AK162="","",IF($AK162=0,"",IF(INDEX(LookupData!AD:AD,$AK162)="","",INDEX(LookupData!AD:AD,$AK162))))</f>
        <v/>
      </c>
      <c r="AE162" s="7" t="str">
        <f>IF($AK162="","",IF($AK162=0,"",IF(INDEX(LookupData!AE:AE,$AK162)="","",INDEX(LookupData!AE:AE,$AK162))))</f>
        <v/>
      </c>
      <c r="AF162" t="str">
        <f>IF($AK162="","",IF($AK162=0,"",IF(INDEX(LookupData!AF:AF,$AK162)="","",INDEX(LookupData!AF:AF,$AK162))))</f>
        <v/>
      </c>
      <c r="AG162" t="str">
        <f>IF($AK162="","",IF($AK162=0,"",IF(INDEX(LookupData!AG:AG,$AK162)="","",INDEX(LookupData!AG:AG,$AK162))))</f>
        <v/>
      </c>
      <c r="AH162" s="11" t="str">
        <f>IF($AK162="","",IF($AK162=0,"",IF(INDEX(LookupData!AH:AH,$AK162)="","",INDEX(LookupData!AH:AH,$AK162))))</f>
        <v/>
      </c>
      <c r="AI162" s="12" t="str">
        <f>IF($AK162="","",IF($AK162=0,"",IF(INDEX(LookupData!AI:AI,$AK162)="","",HYPERLINK(INDEX(LookupData!AI:AI,$AK162),"Open"))))</f>
        <v/>
      </c>
      <c r="AK162" t="str">
        <f>IF(AL162="","",IFERROR(MATCH(AL162,LookupData!$A:$A,0),0))</f>
        <v/>
      </c>
      <c r="AL162" t="str">
        <f t="shared" ref="AL162:AL193" si="10">IF(TRIM($A162)="","",UPPER(TRIM($A162)))</f>
        <v/>
      </c>
      <c r="AM162" t="str">
        <f t="shared" si="9"/>
        <v/>
      </c>
    </row>
    <row r="163" spans="1:39" x14ac:dyDescent="0.2">
      <c r="A163" s="9"/>
      <c r="B163" s="10" t="str">
        <f>IF($AK163="","",IF($AK163=0,"not in the database",IF(INDEX(LookupData!B:B,$AK163)="","",INDEX(LookupData!B:B,$AK163))))</f>
        <v/>
      </c>
      <c r="C163" t="str">
        <f>IF($AK163="","",IF($AK163=0,"",IF(INDEX(LookupData!C:C,$AK163)="","",INDEX(LookupData!C:C,$AK163))))</f>
        <v/>
      </c>
      <c r="D163" t="str">
        <f>IF($AK163="","",IF($AK163=0,"",IF(INDEX(LookupData!D:D,$AK163)="","",INDEX(LookupData!D:D,$AK163))))</f>
        <v/>
      </c>
      <c r="E163" t="str">
        <f>IF($AK163="","",IF($AK163=0,"",IF(INDEX(LookupData!E:E,$AK163)="","",INDEX(LookupData!E:E,$AK163))))</f>
        <v/>
      </c>
      <c r="F163" t="str">
        <f>IF($AK163="","",IF($AK163=0,"",IF(INDEX(LookupData!F:F,$AK163)="","",INDEX(LookupData!F:F,$AK163))))</f>
        <v/>
      </c>
      <c r="G163" t="str">
        <f>IF($AK163="","",IF($AK163=0,"",IF(INDEX(LookupData!G:G,$AK163)="","",INDEX(LookupData!G:G,$AK163))))</f>
        <v/>
      </c>
      <c r="H163" t="str">
        <f>IF($AK163="","",IF($AK163=0,"",IF(INDEX(LookupData!H:H,$AK163)="","",INDEX(LookupData!H:H,$AK163))))</f>
        <v/>
      </c>
      <c r="I163" s="7" t="str">
        <f>IF($AK163="","",IF($AK163=0,"",IF(INDEX(LookupData!I:I,$AK163)="","",INDEX(LookupData!I:I,$AK163))))</f>
        <v/>
      </c>
      <c r="J163" s="7" t="str">
        <f>IF($AK163="","",IF($AK163=0,"",IF(INDEX(LookupData!J:J,$AK163)="","",INDEX(LookupData!J:J,$AK163))))</f>
        <v/>
      </c>
      <c r="K163" s="7" t="str">
        <f>IF($AK163="","",IF($AK163=0,"",IF(INDEX(LookupData!K:K,$AK163)="","",INDEX(LookupData!K:K,$AK163))))</f>
        <v/>
      </c>
      <c r="L163" s="7" t="str">
        <f>IF($AK163="","",IF($AK163=0,"",IF(INDEX(LookupData!L:L,$AK163)="","",INDEX(LookupData!L:L,$AK163))))</f>
        <v/>
      </c>
      <c r="M163" s="7" t="str">
        <f>IF($AK163="","",IF($AK163=0,"",IF(INDEX(LookupData!M:M,$AK163)="","",INDEX(LookupData!M:M,$AK163))))</f>
        <v/>
      </c>
      <c r="N163" s="7" t="str">
        <f>IF($AK163="","",IF($AK163=0,"",IF(INDEX(LookupData!N:N,$AK163)="","",INDEX(LookupData!N:N,$AK163))))</f>
        <v/>
      </c>
      <c r="O163" s="7" t="str">
        <f>IF($AK163="","",IF($AK163=0,"",IF(INDEX(LookupData!O:O,$AK163)="","",INDEX(LookupData!O:O,$AK163))))</f>
        <v/>
      </c>
      <c r="P163" s="7" t="str">
        <f>IF($AK163="","",IF($AK163=0,"",IF(INDEX(LookupData!P:P,$AK163)="","",INDEX(LookupData!P:P,$AK163))))</f>
        <v/>
      </c>
      <c r="Q163" s="7" t="str">
        <f>IF($AK163="","",IF($AK163=0,"",IF(INDEX(LookupData!Q:Q,$AK163)="","",INDEX(LookupData!Q:Q,$AK163))))</f>
        <v/>
      </c>
      <c r="R163" s="7" t="str">
        <f>IF($AK163="","",IF($AK163=0,"",IF(INDEX(LookupData!R:R,$AK163)="","",INDEX(LookupData!R:R,$AK163))))</f>
        <v/>
      </c>
      <c r="S163" s="7" t="str">
        <f>IF($AK163="","",IF($AK163=0,"",IF(INDEX(LookupData!S:S,$AK163)="","",INDEX(LookupData!S:S,$AK163))))</f>
        <v/>
      </c>
      <c r="T163" s="7" t="str">
        <f>IF($AK163="","",IF($AK163=0,"",IF(INDEX(LookupData!T:T,$AK163)="","",INDEX(LookupData!T:T,$AK163))))</f>
        <v/>
      </c>
      <c r="U163" s="7" t="str">
        <f>IF($AK163="","",IF($AK163=0,"",IF(INDEX(LookupData!U:U,$AK163)="","",INDEX(LookupData!U:U,$AK163))))</f>
        <v/>
      </c>
      <c r="V163" s="7" t="str">
        <f>IF($AK163="","",IF($AK163=0,"",IF(INDEX(LookupData!V:V,$AK163)="","",INDEX(LookupData!V:V,$AK163))))</f>
        <v/>
      </c>
      <c r="W163" t="str">
        <f>IF($AK163="","",IF($AK163=0,"",IF(INDEX(LookupData!W:W,$AK163)="","",INDEX(LookupData!W:W,$AK163))))</f>
        <v/>
      </c>
      <c r="X163" s="7" t="str">
        <f>IF($AK163="","",IF($AK163=0,"",IF(INDEX(LookupData!X:X,$AK163)="","",INDEX(LookupData!X:X,$AK163))))</f>
        <v/>
      </c>
      <c r="Y163" s="7" t="str">
        <f>IF($AK163="","",IF($AK163=0,"",IF(INDEX(LookupData!Y:Y,$AK163)="","",INDEX(LookupData!Y:Y,$AK163))))</f>
        <v/>
      </c>
      <c r="Z163" s="7" t="str">
        <f>IF($AK163="","",IF($AK163=0,"",IF(INDEX(LookupData!Z:Z,$AK163)="","",INDEX(LookupData!Z:Z,$AK163))))</f>
        <v/>
      </c>
      <c r="AA163" s="7" t="str">
        <f>IF($AK163="","",IF($AK163=0,"",IF(INDEX(LookupData!AA:AA,$AK163)="","",INDEX(LookupData!AA:AA,$AK163))))</f>
        <v/>
      </c>
      <c r="AB163" s="7" t="str">
        <f>IF($AK163="","",IF($AK163=0,"",IF(INDEX(LookupData!AB:AB,$AK163)="","",INDEX(LookupData!AB:AB,$AK163))))</f>
        <v/>
      </c>
      <c r="AC163" s="7" t="str">
        <f>IF($AK163="","",IF($AK163=0,"",IF(INDEX(LookupData!AC:AC,$AK163)="","",INDEX(LookupData!AC:AC,$AK163))))</f>
        <v/>
      </c>
      <c r="AD163" s="7" t="str">
        <f>IF($AK163="","",IF($AK163=0,"",IF(INDEX(LookupData!AD:AD,$AK163)="","",INDEX(LookupData!AD:AD,$AK163))))</f>
        <v/>
      </c>
      <c r="AE163" s="7" t="str">
        <f>IF($AK163="","",IF($AK163=0,"",IF(INDEX(LookupData!AE:AE,$AK163)="","",INDEX(LookupData!AE:AE,$AK163))))</f>
        <v/>
      </c>
      <c r="AF163" t="str">
        <f>IF($AK163="","",IF($AK163=0,"",IF(INDEX(LookupData!AF:AF,$AK163)="","",INDEX(LookupData!AF:AF,$AK163))))</f>
        <v/>
      </c>
      <c r="AG163" t="str">
        <f>IF($AK163="","",IF($AK163=0,"",IF(INDEX(LookupData!AG:AG,$AK163)="","",INDEX(LookupData!AG:AG,$AK163))))</f>
        <v/>
      </c>
      <c r="AH163" s="11" t="str">
        <f>IF($AK163="","",IF($AK163=0,"",IF(INDEX(LookupData!AH:AH,$AK163)="","",INDEX(LookupData!AH:AH,$AK163))))</f>
        <v/>
      </c>
      <c r="AI163" s="12" t="str">
        <f>IF($AK163="","",IF($AK163=0,"",IF(INDEX(LookupData!AI:AI,$AK163)="","",HYPERLINK(INDEX(LookupData!AI:AI,$AK163),"Open"))))</f>
        <v/>
      </c>
      <c r="AK163" t="str">
        <f>IF(AL163="","",IFERROR(MATCH(AL163,LookupData!$A:$A,0),0))</f>
        <v/>
      </c>
      <c r="AL163" t="str">
        <f t="shared" si="10"/>
        <v/>
      </c>
      <c r="AM163" t="str">
        <f t="shared" ref="AM163:AM194" si="11">IF(AL163="",AM162,IF(AM162="",AL163,AM162&amp;"|"&amp;AL163))</f>
        <v/>
      </c>
    </row>
    <row r="164" spans="1:39" x14ac:dyDescent="0.2">
      <c r="A164" s="9"/>
      <c r="B164" s="10" t="str">
        <f>IF($AK164="","",IF($AK164=0,"not in the database",IF(INDEX(LookupData!B:B,$AK164)="","",INDEX(LookupData!B:B,$AK164))))</f>
        <v/>
      </c>
      <c r="C164" t="str">
        <f>IF($AK164="","",IF($AK164=0,"",IF(INDEX(LookupData!C:C,$AK164)="","",INDEX(LookupData!C:C,$AK164))))</f>
        <v/>
      </c>
      <c r="D164" t="str">
        <f>IF($AK164="","",IF($AK164=0,"",IF(INDEX(LookupData!D:D,$AK164)="","",INDEX(LookupData!D:D,$AK164))))</f>
        <v/>
      </c>
      <c r="E164" t="str">
        <f>IF($AK164="","",IF($AK164=0,"",IF(INDEX(LookupData!E:E,$AK164)="","",INDEX(LookupData!E:E,$AK164))))</f>
        <v/>
      </c>
      <c r="F164" t="str">
        <f>IF($AK164="","",IF($AK164=0,"",IF(INDEX(LookupData!F:F,$AK164)="","",INDEX(LookupData!F:F,$AK164))))</f>
        <v/>
      </c>
      <c r="G164" t="str">
        <f>IF($AK164="","",IF($AK164=0,"",IF(INDEX(LookupData!G:G,$AK164)="","",INDEX(LookupData!G:G,$AK164))))</f>
        <v/>
      </c>
      <c r="H164" t="str">
        <f>IF($AK164="","",IF($AK164=0,"",IF(INDEX(LookupData!H:H,$AK164)="","",INDEX(LookupData!H:H,$AK164))))</f>
        <v/>
      </c>
      <c r="I164" s="7" t="str">
        <f>IF($AK164="","",IF($AK164=0,"",IF(INDEX(LookupData!I:I,$AK164)="","",INDEX(LookupData!I:I,$AK164))))</f>
        <v/>
      </c>
      <c r="J164" s="7" t="str">
        <f>IF($AK164="","",IF($AK164=0,"",IF(INDEX(LookupData!J:J,$AK164)="","",INDEX(LookupData!J:J,$AK164))))</f>
        <v/>
      </c>
      <c r="K164" s="7" t="str">
        <f>IF($AK164="","",IF($AK164=0,"",IF(INDEX(LookupData!K:K,$AK164)="","",INDEX(LookupData!K:K,$AK164))))</f>
        <v/>
      </c>
      <c r="L164" s="7" t="str">
        <f>IF($AK164="","",IF($AK164=0,"",IF(INDEX(LookupData!L:L,$AK164)="","",INDEX(LookupData!L:L,$AK164))))</f>
        <v/>
      </c>
      <c r="M164" s="7" t="str">
        <f>IF($AK164="","",IF($AK164=0,"",IF(INDEX(LookupData!M:M,$AK164)="","",INDEX(LookupData!M:M,$AK164))))</f>
        <v/>
      </c>
      <c r="N164" s="7" t="str">
        <f>IF($AK164="","",IF($AK164=0,"",IF(INDEX(LookupData!N:N,$AK164)="","",INDEX(LookupData!N:N,$AK164))))</f>
        <v/>
      </c>
      <c r="O164" s="7" t="str">
        <f>IF($AK164="","",IF($AK164=0,"",IF(INDEX(LookupData!O:O,$AK164)="","",INDEX(LookupData!O:O,$AK164))))</f>
        <v/>
      </c>
      <c r="P164" s="7" t="str">
        <f>IF($AK164="","",IF($AK164=0,"",IF(INDEX(LookupData!P:P,$AK164)="","",INDEX(LookupData!P:P,$AK164))))</f>
        <v/>
      </c>
      <c r="Q164" s="7" t="str">
        <f>IF($AK164="","",IF($AK164=0,"",IF(INDEX(LookupData!Q:Q,$AK164)="","",INDEX(LookupData!Q:Q,$AK164))))</f>
        <v/>
      </c>
      <c r="R164" s="7" t="str">
        <f>IF($AK164="","",IF($AK164=0,"",IF(INDEX(LookupData!R:R,$AK164)="","",INDEX(LookupData!R:R,$AK164))))</f>
        <v/>
      </c>
      <c r="S164" s="7" t="str">
        <f>IF($AK164="","",IF($AK164=0,"",IF(INDEX(LookupData!S:S,$AK164)="","",INDEX(LookupData!S:S,$AK164))))</f>
        <v/>
      </c>
      <c r="T164" s="7" t="str">
        <f>IF($AK164="","",IF($AK164=0,"",IF(INDEX(LookupData!T:T,$AK164)="","",INDEX(LookupData!T:T,$AK164))))</f>
        <v/>
      </c>
      <c r="U164" s="7" t="str">
        <f>IF($AK164="","",IF($AK164=0,"",IF(INDEX(LookupData!U:U,$AK164)="","",INDEX(LookupData!U:U,$AK164))))</f>
        <v/>
      </c>
      <c r="V164" s="7" t="str">
        <f>IF($AK164="","",IF($AK164=0,"",IF(INDEX(LookupData!V:V,$AK164)="","",INDEX(LookupData!V:V,$AK164))))</f>
        <v/>
      </c>
      <c r="W164" t="str">
        <f>IF($AK164="","",IF($AK164=0,"",IF(INDEX(LookupData!W:W,$AK164)="","",INDEX(LookupData!W:W,$AK164))))</f>
        <v/>
      </c>
      <c r="X164" s="7" t="str">
        <f>IF($AK164="","",IF($AK164=0,"",IF(INDEX(LookupData!X:X,$AK164)="","",INDEX(LookupData!X:X,$AK164))))</f>
        <v/>
      </c>
      <c r="Y164" s="7" t="str">
        <f>IF($AK164="","",IF($AK164=0,"",IF(INDEX(LookupData!Y:Y,$AK164)="","",INDEX(LookupData!Y:Y,$AK164))))</f>
        <v/>
      </c>
      <c r="Z164" s="7" t="str">
        <f>IF($AK164="","",IF($AK164=0,"",IF(INDEX(LookupData!Z:Z,$AK164)="","",INDEX(LookupData!Z:Z,$AK164))))</f>
        <v/>
      </c>
      <c r="AA164" s="7" t="str">
        <f>IF($AK164="","",IF($AK164=0,"",IF(INDEX(LookupData!AA:AA,$AK164)="","",INDEX(LookupData!AA:AA,$AK164))))</f>
        <v/>
      </c>
      <c r="AB164" s="7" t="str">
        <f>IF($AK164="","",IF($AK164=0,"",IF(INDEX(LookupData!AB:AB,$AK164)="","",INDEX(LookupData!AB:AB,$AK164))))</f>
        <v/>
      </c>
      <c r="AC164" s="7" t="str">
        <f>IF($AK164="","",IF($AK164=0,"",IF(INDEX(LookupData!AC:AC,$AK164)="","",INDEX(LookupData!AC:AC,$AK164))))</f>
        <v/>
      </c>
      <c r="AD164" s="7" t="str">
        <f>IF($AK164="","",IF($AK164=0,"",IF(INDEX(LookupData!AD:AD,$AK164)="","",INDEX(LookupData!AD:AD,$AK164))))</f>
        <v/>
      </c>
      <c r="AE164" s="7" t="str">
        <f>IF($AK164="","",IF($AK164=0,"",IF(INDEX(LookupData!AE:AE,$AK164)="","",INDEX(LookupData!AE:AE,$AK164))))</f>
        <v/>
      </c>
      <c r="AF164" t="str">
        <f>IF($AK164="","",IF($AK164=0,"",IF(INDEX(LookupData!AF:AF,$AK164)="","",INDEX(LookupData!AF:AF,$AK164))))</f>
        <v/>
      </c>
      <c r="AG164" t="str">
        <f>IF($AK164="","",IF($AK164=0,"",IF(INDEX(LookupData!AG:AG,$AK164)="","",INDEX(LookupData!AG:AG,$AK164))))</f>
        <v/>
      </c>
      <c r="AH164" s="11" t="str">
        <f>IF($AK164="","",IF($AK164=0,"",IF(INDEX(LookupData!AH:AH,$AK164)="","",INDEX(LookupData!AH:AH,$AK164))))</f>
        <v/>
      </c>
      <c r="AI164" s="12" t="str">
        <f>IF($AK164="","",IF($AK164=0,"",IF(INDEX(LookupData!AI:AI,$AK164)="","",HYPERLINK(INDEX(LookupData!AI:AI,$AK164),"Open"))))</f>
        <v/>
      </c>
      <c r="AK164" t="str">
        <f>IF(AL164="","",IFERROR(MATCH(AL164,LookupData!$A:$A,0),0))</f>
        <v/>
      </c>
      <c r="AL164" t="str">
        <f t="shared" si="10"/>
        <v/>
      </c>
      <c r="AM164" t="str">
        <f t="shared" si="11"/>
        <v/>
      </c>
    </row>
    <row r="165" spans="1:39" x14ac:dyDescent="0.2">
      <c r="A165" s="9"/>
      <c r="B165" s="10" t="str">
        <f>IF($AK165="","",IF($AK165=0,"not in the database",IF(INDEX(LookupData!B:B,$AK165)="","",INDEX(LookupData!B:B,$AK165))))</f>
        <v/>
      </c>
      <c r="C165" t="str">
        <f>IF($AK165="","",IF($AK165=0,"",IF(INDEX(LookupData!C:C,$AK165)="","",INDEX(LookupData!C:C,$AK165))))</f>
        <v/>
      </c>
      <c r="D165" t="str">
        <f>IF($AK165="","",IF($AK165=0,"",IF(INDEX(LookupData!D:D,$AK165)="","",INDEX(LookupData!D:D,$AK165))))</f>
        <v/>
      </c>
      <c r="E165" t="str">
        <f>IF($AK165="","",IF($AK165=0,"",IF(INDEX(LookupData!E:E,$AK165)="","",INDEX(LookupData!E:E,$AK165))))</f>
        <v/>
      </c>
      <c r="F165" t="str">
        <f>IF($AK165="","",IF($AK165=0,"",IF(INDEX(LookupData!F:F,$AK165)="","",INDEX(LookupData!F:F,$AK165))))</f>
        <v/>
      </c>
      <c r="G165" t="str">
        <f>IF($AK165="","",IF($AK165=0,"",IF(INDEX(LookupData!G:G,$AK165)="","",INDEX(LookupData!G:G,$AK165))))</f>
        <v/>
      </c>
      <c r="H165" t="str">
        <f>IF($AK165="","",IF($AK165=0,"",IF(INDEX(LookupData!H:H,$AK165)="","",INDEX(LookupData!H:H,$AK165))))</f>
        <v/>
      </c>
      <c r="I165" s="7" t="str">
        <f>IF($AK165="","",IF($AK165=0,"",IF(INDEX(LookupData!I:I,$AK165)="","",INDEX(LookupData!I:I,$AK165))))</f>
        <v/>
      </c>
      <c r="J165" s="7" t="str">
        <f>IF($AK165="","",IF($AK165=0,"",IF(INDEX(LookupData!J:J,$AK165)="","",INDEX(LookupData!J:J,$AK165))))</f>
        <v/>
      </c>
      <c r="K165" s="7" t="str">
        <f>IF($AK165="","",IF($AK165=0,"",IF(INDEX(LookupData!K:K,$AK165)="","",INDEX(LookupData!K:K,$AK165))))</f>
        <v/>
      </c>
      <c r="L165" s="7" t="str">
        <f>IF($AK165="","",IF($AK165=0,"",IF(INDEX(LookupData!L:L,$AK165)="","",INDEX(LookupData!L:L,$AK165))))</f>
        <v/>
      </c>
      <c r="M165" s="7" t="str">
        <f>IF($AK165="","",IF($AK165=0,"",IF(INDEX(LookupData!M:M,$AK165)="","",INDEX(LookupData!M:M,$AK165))))</f>
        <v/>
      </c>
      <c r="N165" s="7" t="str">
        <f>IF($AK165="","",IF($AK165=0,"",IF(INDEX(LookupData!N:N,$AK165)="","",INDEX(LookupData!N:N,$AK165))))</f>
        <v/>
      </c>
      <c r="O165" s="7" t="str">
        <f>IF($AK165="","",IF($AK165=0,"",IF(INDEX(LookupData!O:O,$AK165)="","",INDEX(LookupData!O:O,$AK165))))</f>
        <v/>
      </c>
      <c r="P165" s="7" t="str">
        <f>IF($AK165="","",IF($AK165=0,"",IF(INDEX(LookupData!P:P,$AK165)="","",INDEX(LookupData!P:P,$AK165))))</f>
        <v/>
      </c>
      <c r="Q165" s="7" t="str">
        <f>IF($AK165="","",IF($AK165=0,"",IF(INDEX(LookupData!Q:Q,$AK165)="","",INDEX(LookupData!Q:Q,$AK165))))</f>
        <v/>
      </c>
      <c r="R165" s="7" t="str">
        <f>IF($AK165="","",IF($AK165=0,"",IF(INDEX(LookupData!R:R,$AK165)="","",INDEX(LookupData!R:R,$AK165))))</f>
        <v/>
      </c>
      <c r="S165" s="7" t="str">
        <f>IF($AK165="","",IF($AK165=0,"",IF(INDEX(LookupData!S:S,$AK165)="","",INDEX(LookupData!S:S,$AK165))))</f>
        <v/>
      </c>
      <c r="T165" s="7" t="str">
        <f>IF($AK165="","",IF($AK165=0,"",IF(INDEX(LookupData!T:T,$AK165)="","",INDEX(LookupData!T:T,$AK165))))</f>
        <v/>
      </c>
      <c r="U165" s="7" t="str">
        <f>IF($AK165="","",IF($AK165=0,"",IF(INDEX(LookupData!U:U,$AK165)="","",INDEX(LookupData!U:U,$AK165))))</f>
        <v/>
      </c>
      <c r="V165" s="7" t="str">
        <f>IF($AK165="","",IF($AK165=0,"",IF(INDEX(LookupData!V:V,$AK165)="","",INDEX(LookupData!V:V,$AK165))))</f>
        <v/>
      </c>
      <c r="W165" t="str">
        <f>IF($AK165="","",IF($AK165=0,"",IF(INDEX(LookupData!W:W,$AK165)="","",INDEX(LookupData!W:W,$AK165))))</f>
        <v/>
      </c>
      <c r="X165" s="7" t="str">
        <f>IF($AK165="","",IF($AK165=0,"",IF(INDEX(LookupData!X:X,$AK165)="","",INDEX(LookupData!X:X,$AK165))))</f>
        <v/>
      </c>
      <c r="Y165" s="7" t="str">
        <f>IF($AK165="","",IF($AK165=0,"",IF(INDEX(LookupData!Y:Y,$AK165)="","",INDEX(LookupData!Y:Y,$AK165))))</f>
        <v/>
      </c>
      <c r="Z165" s="7" t="str">
        <f>IF($AK165="","",IF($AK165=0,"",IF(INDEX(LookupData!Z:Z,$AK165)="","",INDEX(LookupData!Z:Z,$AK165))))</f>
        <v/>
      </c>
      <c r="AA165" s="7" t="str">
        <f>IF($AK165="","",IF($AK165=0,"",IF(INDEX(LookupData!AA:AA,$AK165)="","",INDEX(LookupData!AA:AA,$AK165))))</f>
        <v/>
      </c>
      <c r="AB165" s="7" t="str">
        <f>IF($AK165="","",IF($AK165=0,"",IF(INDEX(LookupData!AB:AB,$AK165)="","",INDEX(LookupData!AB:AB,$AK165))))</f>
        <v/>
      </c>
      <c r="AC165" s="7" t="str">
        <f>IF($AK165="","",IF($AK165=0,"",IF(INDEX(LookupData!AC:AC,$AK165)="","",INDEX(LookupData!AC:AC,$AK165))))</f>
        <v/>
      </c>
      <c r="AD165" s="7" t="str">
        <f>IF($AK165="","",IF($AK165=0,"",IF(INDEX(LookupData!AD:AD,$AK165)="","",INDEX(LookupData!AD:AD,$AK165))))</f>
        <v/>
      </c>
      <c r="AE165" s="7" t="str">
        <f>IF($AK165="","",IF($AK165=0,"",IF(INDEX(LookupData!AE:AE,$AK165)="","",INDEX(LookupData!AE:AE,$AK165))))</f>
        <v/>
      </c>
      <c r="AF165" t="str">
        <f>IF($AK165="","",IF($AK165=0,"",IF(INDEX(LookupData!AF:AF,$AK165)="","",INDEX(LookupData!AF:AF,$AK165))))</f>
        <v/>
      </c>
      <c r="AG165" t="str">
        <f>IF($AK165="","",IF($AK165=0,"",IF(INDEX(LookupData!AG:AG,$AK165)="","",INDEX(LookupData!AG:AG,$AK165))))</f>
        <v/>
      </c>
      <c r="AH165" s="11" t="str">
        <f>IF($AK165="","",IF($AK165=0,"",IF(INDEX(LookupData!AH:AH,$AK165)="","",INDEX(LookupData!AH:AH,$AK165))))</f>
        <v/>
      </c>
      <c r="AI165" s="12" t="str">
        <f>IF($AK165="","",IF($AK165=0,"",IF(INDEX(LookupData!AI:AI,$AK165)="","",HYPERLINK(INDEX(LookupData!AI:AI,$AK165),"Open"))))</f>
        <v/>
      </c>
      <c r="AK165" t="str">
        <f>IF(AL165="","",IFERROR(MATCH(AL165,LookupData!$A:$A,0),0))</f>
        <v/>
      </c>
      <c r="AL165" t="str">
        <f t="shared" si="10"/>
        <v/>
      </c>
      <c r="AM165" t="str">
        <f t="shared" si="11"/>
        <v/>
      </c>
    </row>
    <row r="166" spans="1:39" x14ac:dyDescent="0.2">
      <c r="A166" s="9"/>
      <c r="B166" s="10" t="str">
        <f>IF($AK166="","",IF($AK166=0,"not in the database",IF(INDEX(LookupData!B:B,$AK166)="","",INDEX(LookupData!B:B,$AK166))))</f>
        <v/>
      </c>
      <c r="C166" t="str">
        <f>IF($AK166="","",IF($AK166=0,"",IF(INDEX(LookupData!C:C,$AK166)="","",INDEX(LookupData!C:C,$AK166))))</f>
        <v/>
      </c>
      <c r="D166" t="str">
        <f>IF($AK166="","",IF($AK166=0,"",IF(INDEX(LookupData!D:D,$AK166)="","",INDEX(LookupData!D:D,$AK166))))</f>
        <v/>
      </c>
      <c r="E166" t="str">
        <f>IF($AK166="","",IF($AK166=0,"",IF(INDEX(LookupData!E:E,$AK166)="","",INDEX(LookupData!E:E,$AK166))))</f>
        <v/>
      </c>
      <c r="F166" t="str">
        <f>IF($AK166="","",IF($AK166=0,"",IF(INDEX(LookupData!F:F,$AK166)="","",INDEX(LookupData!F:F,$AK166))))</f>
        <v/>
      </c>
      <c r="G166" t="str">
        <f>IF($AK166="","",IF($AK166=0,"",IF(INDEX(LookupData!G:G,$AK166)="","",INDEX(LookupData!G:G,$AK166))))</f>
        <v/>
      </c>
      <c r="H166" t="str">
        <f>IF($AK166="","",IF($AK166=0,"",IF(INDEX(LookupData!H:H,$AK166)="","",INDEX(LookupData!H:H,$AK166))))</f>
        <v/>
      </c>
      <c r="I166" s="7" t="str">
        <f>IF($AK166="","",IF($AK166=0,"",IF(INDEX(LookupData!I:I,$AK166)="","",INDEX(LookupData!I:I,$AK166))))</f>
        <v/>
      </c>
      <c r="J166" s="7" t="str">
        <f>IF($AK166="","",IF($AK166=0,"",IF(INDEX(LookupData!J:J,$AK166)="","",INDEX(LookupData!J:J,$AK166))))</f>
        <v/>
      </c>
      <c r="K166" s="7" t="str">
        <f>IF($AK166="","",IF($AK166=0,"",IF(INDEX(LookupData!K:K,$AK166)="","",INDEX(LookupData!K:K,$AK166))))</f>
        <v/>
      </c>
      <c r="L166" s="7" t="str">
        <f>IF($AK166="","",IF($AK166=0,"",IF(INDEX(LookupData!L:L,$AK166)="","",INDEX(LookupData!L:L,$AK166))))</f>
        <v/>
      </c>
      <c r="M166" s="7" t="str">
        <f>IF($AK166="","",IF($AK166=0,"",IF(INDEX(LookupData!M:M,$AK166)="","",INDEX(LookupData!M:M,$AK166))))</f>
        <v/>
      </c>
      <c r="N166" s="7" t="str">
        <f>IF($AK166="","",IF($AK166=0,"",IF(INDEX(LookupData!N:N,$AK166)="","",INDEX(LookupData!N:N,$AK166))))</f>
        <v/>
      </c>
      <c r="O166" s="7" t="str">
        <f>IF($AK166="","",IF($AK166=0,"",IF(INDEX(LookupData!O:O,$AK166)="","",INDEX(LookupData!O:O,$AK166))))</f>
        <v/>
      </c>
      <c r="P166" s="7" t="str">
        <f>IF($AK166="","",IF($AK166=0,"",IF(INDEX(LookupData!P:P,$AK166)="","",INDEX(LookupData!P:P,$AK166))))</f>
        <v/>
      </c>
      <c r="Q166" s="7" t="str">
        <f>IF($AK166="","",IF($AK166=0,"",IF(INDEX(LookupData!Q:Q,$AK166)="","",INDEX(LookupData!Q:Q,$AK166))))</f>
        <v/>
      </c>
      <c r="R166" s="7" t="str">
        <f>IF($AK166="","",IF($AK166=0,"",IF(INDEX(LookupData!R:R,$AK166)="","",INDEX(LookupData!R:R,$AK166))))</f>
        <v/>
      </c>
      <c r="S166" s="7" t="str">
        <f>IF($AK166="","",IF($AK166=0,"",IF(INDEX(LookupData!S:S,$AK166)="","",INDEX(LookupData!S:S,$AK166))))</f>
        <v/>
      </c>
      <c r="T166" s="7" t="str">
        <f>IF($AK166="","",IF($AK166=0,"",IF(INDEX(LookupData!T:T,$AK166)="","",INDEX(LookupData!T:T,$AK166))))</f>
        <v/>
      </c>
      <c r="U166" s="7" t="str">
        <f>IF($AK166="","",IF($AK166=0,"",IF(INDEX(LookupData!U:U,$AK166)="","",INDEX(LookupData!U:U,$AK166))))</f>
        <v/>
      </c>
      <c r="V166" s="7" t="str">
        <f>IF($AK166="","",IF($AK166=0,"",IF(INDEX(LookupData!V:V,$AK166)="","",INDEX(LookupData!V:V,$AK166))))</f>
        <v/>
      </c>
      <c r="W166" t="str">
        <f>IF($AK166="","",IF($AK166=0,"",IF(INDEX(LookupData!W:W,$AK166)="","",INDEX(LookupData!W:W,$AK166))))</f>
        <v/>
      </c>
      <c r="X166" s="7" t="str">
        <f>IF($AK166="","",IF($AK166=0,"",IF(INDEX(LookupData!X:X,$AK166)="","",INDEX(LookupData!X:X,$AK166))))</f>
        <v/>
      </c>
      <c r="Y166" s="7" t="str">
        <f>IF($AK166="","",IF($AK166=0,"",IF(INDEX(LookupData!Y:Y,$AK166)="","",INDEX(LookupData!Y:Y,$AK166))))</f>
        <v/>
      </c>
      <c r="Z166" s="7" t="str">
        <f>IF($AK166="","",IF($AK166=0,"",IF(INDEX(LookupData!Z:Z,$AK166)="","",INDEX(LookupData!Z:Z,$AK166))))</f>
        <v/>
      </c>
      <c r="AA166" s="7" t="str">
        <f>IF($AK166="","",IF($AK166=0,"",IF(INDEX(LookupData!AA:AA,$AK166)="","",INDEX(LookupData!AA:AA,$AK166))))</f>
        <v/>
      </c>
      <c r="AB166" s="7" t="str">
        <f>IF($AK166="","",IF($AK166=0,"",IF(INDEX(LookupData!AB:AB,$AK166)="","",INDEX(LookupData!AB:AB,$AK166))))</f>
        <v/>
      </c>
      <c r="AC166" s="7" t="str">
        <f>IF($AK166="","",IF($AK166=0,"",IF(INDEX(LookupData!AC:AC,$AK166)="","",INDEX(LookupData!AC:AC,$AK166))))</f>
        <v/>
      </c>
      <c r="AD166" s="7" t="str">
        <f>IF($AK166="","",IF($AK166=0,"",IF(INDEX(LookupData!AD:AD,$AK166)="","",INDEX(LookupData!AD:AD,$AK166))))</f>
        <v/>
      </c>
      <c r="AE166" s="7" t="str">
        <f>IF($AK166="","",IF($AK166=0,"",IF(INDEX(LookupData!AE:AE,$AK166)="","",INDEX(LookupData!AE:AE,$AK166))))</f>
        <v/>
      </c>
      <c r="AF166" t="str">
        <f>IF($AK166="","",IF($AK166=0,"",IF(INDEX(LookupData!AF:AF,$AK166)="","",INDEX(LookupData!AF:AF,$AK166))))</f>
        <v/>
      </c>
      <c r="AG166" t="str">
        <f>IF($AK166="","",IF($AK166=0,"",IF(INDEX(LookupData!AG:AG,$AK166)="","",INDEX(LookupData!AG:AG,$AK166))))</f>
        <v/>
      </c>
      <c r="AH166" s="11" t="str">
        <f>IF($AK166="","",IF($AK166=0,"",IF(INDEX(LookupData!AH:AH,$AK166)="","",INDEX(LookupData!AH:AH,$AK166))))</f>
        <v/>
      </c>
      <c r="AI166" s="12" t="str">
        <f>IF($AK166="","",IF($AK166=0,"",IF(INDEX(LookupData!AI:AI,$AK166)="","",HYPERLINK(INDEX(LookupData!AI:AI,$AK166),"Open"))))</f>
        <v/>
      </c>
      <c r="AK166" t="str">
        <f>IF(AL166="","",IFERROR(MATCH(AL166,LookupData!$A:$A,0),0))</f>
        <v/>
      </c>
      <c r="AL166" t="str">
        <f t="shared" si="10"/>
        <v/>
      </c>
      <c r="AM166" t="str">
        <f t="shared" si="11"/>
        <v/>
      </c>
    </row>
    <row r="167" spans="1:39" x14ac:dyDescent="0.2">
      <c r="A167" s="9"/>
      <c r="B167" s="10" t="str">
        <f>IF($AK167="","",IF($AK167=0,"not in the database",IF(INDEX(LookupData!B:B,$AK167)="","",INDEX(LookupData!B:B,$AK167))))</f>
        <v/>
      </c>
      <c r="C167" t="str">
        <f>IF($AK167="","",IF($AK167=0,"",IF(INDEX(LookupData!C:C,$AK167)="","",INDEX(LookupData!C:C,$AK167))))</f>
        <v/>
      </c>
      <c r="D167" t="str">
        <f>IF($AK167="","",IF($AK167=0,"",IF(INDEX(LookupData!D:D,$AK167)="","",INDEX(LookupData!D:D,$AK167))))</f>
        <v/>
      </c>
      <c r="E167" t="str">
        <f>IF($AK167="","",IF($AK167=0,"",IF(INDEX(LookupData!E:E,$AK167)="","",INDEX(LookupData!E:E,$AK167))))</f>
        <v/>
      </c>
      <c r="F167" t="str">
        <f>IF($AK167="","",IF($AK167=0,"",IF(INDEX(LookupData!F:F,$AK167)="","",INDEX(LookupData!F:F,$AK167))))</f>
        <v/>
      </c>
      <c r="G167" t="str">
        <f>IF($AK167="","",IF($AK167=0,"",IF(INDEX(LookupData!G:G,$AK167)="","",INDEX(LookupData!G:G,$AK167))))</f>
        <v/>
      </c>
      <c r="H167" t="str">
        <f>IF($AK167="","",IF($AK167=0,"",IF(INDEX(LookupData!H:H,$AK167)="","",INDEX(LookupData!H:H,$AK167))))</f>
        <v/>
      </c>
      <c r="I167" s="7" t="str">
        <f>IF($AK167="","",IF($AK167=0,"",IF(INDEX(LookupData!I:I,$AK167)="","",INDEX(LookupData!I:I,$AK167))))</f>
        <v/>
      </c>
      <c r="J167" s="7" t="str">
        <f>IF($AK167="","",IF($AK167=0,"",IF(INDEX(LookupData!J:J,$AK167)="","",INDEX(LookupData!J:J,$AK167))))</f>
        <v/>
      </c>
      <c r="K167" s="7" t="str">
        <f>IF($AK167="","",IF($AK167=0,"",IF(INDEX(LookupData!K:K,$AK167)="","",INDEX(LookupData!K:K,$AK167))))</f>
        <v/>
      </c>
      <c r="L167" s="7" t="str">
        <f>IF($AK167="","",IF($AK167=0,"",IF(INDEX(LookupData!L:L,$AK167)="","",INDEX(LookupData!L:L,$AK167))))</f>
        <v/>
      </c>
      <c r="M167" s="7" t="str">
        <f>IF($AK167="","",IF($AK167=0,"",IF(INDEX(LookupData!M:M,$AK167)="","",INDEX(LookupData!M:M,$AK167))))</f>
        <v/>
      </c>
      <c r="N167" s="7" t="str">
        <f>IF($AK167="","",IF($AK167=0,"",IF(INDEX(LookupData!N:N,$AK167)="","",INDEX(LookupData!N:N,$AK167))))</f>
        <v/>
      </c>
      <c r="O167" s="7" t="str">
        <f>IF($AK167="","",IF($AK167=0,"",IF(INDEX(LookupData!O:O,$AK167)="","",INDEX(LookupData!O:O,$AK167))))</f>
        <v/>
      </c>
      <c r="P167" s="7" t="str">
        <f>IF($AK167="","",IF($AK167=0,"",IF(INDEX(LookupData!P:P,$AK167)="","",INDEX(LookupData!P:P,$AK167))))</f>
        <v/>
      </c>
      <c r="Q167" s="7" t="str">
        <f>IF($AK167="","",IF($AK167=0,"",IF(INDEX(LookupData!Q:Q,$AK167)="","",INDEX(LookupData!Q:Q,$AK167))))</f>
        <v/>
      </c>
      <c r="R167" s="7" t="str">
        <f>IF($AK167="","",IF($AK167=0,"",IF(INDEX(LookupData!R:R,$AK167)="","",INDEX(LookupData!R:R,$AK167))))</f>
        <v/>
      </c>
      <c r="S167" s="7" t="str">
        <f>IF($AK167="","",IF($AK167=0,"",IF(INDEX(LookupData!S:S,$AK167)="","",INDEX(LookupData!S:S,$AK167))))</f>
        <v/>
      </c>
      <c r="T167" s="7" t="str">
        <f>IF($AK167="","",IF($AK167=0,"",IF(INDEX(LookupData!T:T,$AK167)="","",INDEX(LookupData!T:T,$AK167))))</f>
        <v/>
      </c>
      <c r="U167" s="7" t="str">
        <f>IF($AK167="","",IF($AK167=0,"",IF(INDEX(LookupData!U:U,$AK167)="","",INDEX(LookupData!U:U,$AK167))))</f>
        <v/>
      </c>
      <c r="V167" s="7" t="str">
        <f>IF($AK167="","",IF($AK167=0,"",IF(INDEX(LookupData!V:V,$AK167)="","",INDEX(LookupData!V:V,$AK167))))</f>
        <v/>
      </c>
      <c r="W167" t="str">
        <f>IF($AK167="","",IF($AK167=0,"",IF(INDEX(LookupData!W:W,$AK167)="","",INDEX(LookupData!W:W,$AK167))))</f>
        <v/>
      </c>
      <c r="X167" s="7" t="str">
        <f>IF($AK167="","",IF($AK167=0,"",IF(INDEX(LookupData!X:X,$AK167)="","",INDEX(LookupData!X:X,$AK167))))</f>
        <v/>
      </c>
      <c r="Y167" s="7" t="str">
        <f>IF($AK167="","",IF($AK167=0,"",IF(INDEX(LookupData!Y:Y,$AK167)="","",INDEX(LookupData!Y:Y,$AK167))))</f>
        <v/>
      </c>
      <c r="Z167" s="7" t="str">
        <f>IF($AK167="","",IF($AK167=0,"",IF(INDEX(LookupData!Z:Z,$AK167)="","",INDEX(LookupData!Z:Z,$AK167))))</f>
        <v/>
      </c>
      <c r="AA167" s="7" t="str">
        <f>IF($AK167="","",IF($AK167=0,"",IF(INDEX(LookupData!AA:AA,$AK167)="","",INDEX(LookupData!AA:AA,$AK167))))</f>
        <v/>
      </c>
      <c r="AB167" s="7" t="str">
        <f>IF($AK167="","",IF($AK167=0,"",IF(INDEX(LookupData!AB:AB,$AK167)="","",INDEX(LookupData!AB:AB,$AK167))))</f>
        <v/>
      </c>
      <c r="AC167" s="7" t="str">
        <f>IF($AK167="","",IF($AK167=0,"",IF(INDEX(LookupData!AC:AC,$AK167)="","",INDEX(LookupData!AC:AC,$AK167))))</f>
        <v/>
      </c>
      <c r="AD167" s="7" t="str">
        <f>IF($AK167="","",IF($AK167=0,"",IF(INDEX(LookupData!AD:AD,$AK167)="","",INDEX(LookupData!AD:AD,$AK167))))</f>
        <v/>
      </c>
      <c r="AE167" s="7" t="str">
        <f>IF($AK167="","",IF($AK167=0,"",IF(INDEX(LookupData!AE:AE,$AK167)="","",INDEX(LookupData!AE:AE,$AK167))))</f>
        <v/>
      </c>
      <c r="AF167" t="str">
        <f>IF($AK167="","",IF($AK167=0,"",IF(INDEX(LookupData!AF:AF,$AK167)="","",INDEX(LookupData!AF:AF,$AK167))))</f>
        <v/>
      </c>
      <c r="AG167" t="str">
        <f>IF($AK167="","",IF($AK167=0,"",IF(INDEX(LookupData!AG:AG,$AK167)="","",INDEX(LookupData!AG:AG,$AK167))))</f>
        <v/>
      </c>
      <c r="AH167" s="11" t="str">
        <f>IF($AK167="","",IF($AK167=0,"",IF(INDEX(LookupData!AH:AH,$AK167)="","",INDEX(LookupData!AH:AH,$AK167))))</f>
        <v/>
      </c>
      <c r="AI167" s="12" t="str">
        <f>IF($AK167="","",IF($AK167=0,"",IF(INDEX(LookupData!AI:AI,$AK167)="","",HYPERLINK(INDEX(LookupData!AI:AI,$AK167),"Open"))))</f>
        <v/>
      </c>
      <c r="AK167" t="str">
        <f>IF(AL167="","",IFERROR(MATCH(AL167,LookupData!$A:$A,0),0))</f>
        <v/>
      </c>
      <c r="AL167" t="str">
        <f t="shared" si="10"/>
        <v/>
      </c>
      <c r="AM167" t="str">
        <f t="shared" si="11"/>
        <v/>
      </c>
    </row>
    <row r="168" spans="1:39" x14ac:dyDescent="0.2">
      <c r="A168" s="9"/>
      <c r="B168" s="10" t="str">
        <f>IF($AK168="","",IF($AK168=0,"not in the database",IF(INDEX(LookupData!B:B,$AK168)="","",INDEX(LookupData!B:B,$AK168))))</f>
        <v/>
      </c>
      <c r="C168" t="str">
        <f>IF($AK168="","",IF($AK168=0,"",IF(INDEX(LookupData!C:C,$AK168)="","",INDEX(LookupData!C:C,$AK168))))</f>
        <v/>
      </c>
      <c r="D168" t="str">
        <f>IF($AK168="","",IF($AK168=0,"",IF(INDEX(LookupData!D:D,$AK168)="","",INDEX(LookupData!D:D,$AK168))))</f>
        <v/>
      </c>
      <c r="E168" t="str">
        <f>IF($AK168="","",IF($AK168=0,"",IF(INDEX(LookupData!E:E,$AK168)="","",INDEX(LookupData!E:E,$AK168))))</f>
        <v/>
      </c>
      <c r="F168" t="str">
        <f>IF($AK168="","",IF($AK168=0,"",IF(INDEX(LookupData!F:F,$AK168)="","",INDEX(LookupData!F:F,$AK168))))</f>
        <v/>
      </c>
      <c r="G168" t="str">
        <f>IF($AK168="","",IF($AK168=0,"",IF(INDEX(LookupData!G:G,$AK168)="","",INDEX(LookupData!G:G,$AK168))))</f>
        <v/>
      </c>
      <c r="H168" t="str">
        <f>IF($AK168="","",IF($AK168=0,"",IF(INDEX(LookupData!H:H,$AK168)="","",INDEX(LookupData!H:H,$AK168))))</f>
        <v/>
      </c>
      <c r="I168" s="7" t="str">
        <f>IF($AK168="","",IF($AK168=0,"",IF(INDEX(LookupData!I:I,$AK168)="","",INDEX(LookupData!I:I,$AK168))))</f>
        <v/>
      </c>
      <c r="J168" s="7" t="str">
        <f>IF($AK168="","",IF($AK168=0,"",IF(INDEX(LookupData!J:J,$AK168)="","",INDEX(LookupData!J:J,$AK168))))</f>
        <v/>
      </c>
      <c r="K168" s="7" t="str">
        <f>IF($AK168="","",IF($AK168=0,"",IF(INDEX(LookupData!K:K,$AK168)="","",INDEX(LookupData!K:K,$AK168))))</f>
        <v/>
      </c>
      <c r="L168" s="7" t="str">
        <f>IF($AK168="","",IF($AK168=0,"",IF(INDEX(LookupData!L:L,$AK168)="","",INDEX(LookupData!L:L,$AK168))))</f>
        <v/>
      </c>
      <c r="M168" s="7" t="str">
        <f>IF($AK168="","",IF($AK168=0,"",IF(INDEX(LookupData!M:M,$AK168)="","",INDEX(LookupData!M:M,$AK168))))</f>
        <v/>
      </c>
      <c r="N168" s="7" t="str">
        <f>IF($AK168="","",IF($AK168=0,"",IF(INDEX(LookupData!N:N,$AK168)="","",INDEX(LookupData!N:N,$AK168))))</f>
        <v/>
      </c>
      <c r="O168" s="7" t="str">
        <f>IF($AK168="","",IF($AK168=0,"",IF(INDEX(LookupData!O:O,$AK168)="","",INDEX(LookupData!O:O,$AK168))))</f>
        <v/>
      </c>
      <c r="P168" s="7" t="str">
        <f>IF($AK168="","",IF($AK168=0,"",IF(INDEX(LookupData!P:P,$AK168)="","",INDEX(LookupData!P:P,$AK168))))</f>
        <v/>
      </c>
      <c r="Q168" s="7" t="str">
        <f>IF($AK168="","",IF($AK168=0,"",IF(INDEX(LookupData!Q:Q,$AK168)="","",INDEX(LookupData!Q:Q,$AK168))))</f>
        <v/>
      </c>
      <c r="R168" s="7" t="str">
        <f>IF($AK168="","",IF($AK168=0,"",IF(INDEX(LookupData!R:R,$AK168)="","",INDEX(LookupData!R:R,$AK168))))</f>
        <v/>
      </c>
      <c r="S168" s="7" t="str">
        <f>IF($AK168="","",IF($AK168=0,"",IF(INDEX(LookupData!S:S,$AK168)="","",INDEX(LookupData!S:S,$AK168))))</f>
        <v/>
      </c>
      <c r="T168" s="7" t="str">
        <f>IF($AK168="","",IF($AK168=0,"",IF(INDEX(LookupData!T:T,$AK168)="","",INDEX(LookupData!T:T,$AK168))))</f>
        <v/>
      </c>
      <c r="U168" s="7" t="str">
        <f>IF($AK168="","",IF($AK168=0,"",IF(INDEX(LookupData!U:U,$AK168)="","",INDEX(LookupData!U:U,$AK168))))</f>
        <v/>
      </c>
      <c r="V168" s="7" t="str">
        <f>IF($AK168="","",IF($AK168=0,"",IF(INDEX(LookupData!V:V,$AK168)="","",INDEX(LookupData!V:V,$AK168))))</f>
        <v/>
      </c>
      <c r="W168" t="str">
        <f>IF($AK168="","",IF($AK168=0,"",IF(INDEX(LookupData!W:W,$AK168)="","",INDEX(LookupData!W:W,$AK168))))</f>
        <v/>
      </c>
      <c r="X168" s="7" t="str">
        <f>IF($AK168="","",IF($AK168=0,"",IF(INDEX(LookupData!X:X,$AK168)="","",INDEX(LookupData!X:X,$AK168))))</f>
        <v/>
      </c>
      <c r="Y168" s="7" t="str">
        <f>IF($AK168="","",IF($AK168=0,"",IF(INDEX(LookupData!Y:Y,$AK168)="","",INDEX(LookupData!Y:Y,$AK168))))</f>
        <v/>
      </c>
      <c r="Z168" s="7" t="str">
        <f>IF($AK168="","",IF($AK168=0,"",IF(INDEX(LookupData!Z:Z,$AK168)="","",INDEX(LookupData!Z:Z,$AK168))))</f>
        <v/>
      </c>
      <c r="AA168" s="7" t="str">
        <f>IF($AK168="","",IF($AK168=0,"",IF(INDEX(LookupData!AA:AA,$AK168)="","",INDEX(LookupData!AA:AA,$AK168))))</f>
        <v/>
      </c>
      <c r="AB168" s="7" t="str">
        <f>IF($AK168="","",IF($AK168=0,"",IF(INDEX(LookupData!AB:AB,$AK168)="","",INDEX(LookupData!AB:AB,$AK168))))</f>
        <v/>
      </c>
      <c r="AC168" s="7" t="str">
        <f>IF($AK168="","",IF($AK168=0,"",IF(INDEX(LookupData!AC:AC,$AK168)="","",INDEX(LookupData!AC:AC,$AK168))))</f>
        <v/>
      </c>
      <c r="AD168" s="7" t="str">
        <f>IF($AK168="","",IF($AK168=0,"",IF(INDEX(LookupData!AD:AD,$AK168)="","",INDEX(LookupData!AD:AD,$AK168))))</f>
        <v/>
      </c>
      <c r="AE168" s="7" t="str">
        <f>IF($AK168="","",IF($AK168=0,"",IF(INDEX(LookupData!AE:AE,$AK168)="","",INDEX(LookupData!AE:AE,$AK168))))</f>
        <v/>
      </c>
      <c r="AF168" t="str">
        <f>IF($AK168="","",IF($AK168=0,"",IF(INDEX(LookupData!AF:AF,$AK168)="","",INDEX(LookupData!AF:AF,$AK168))))</f>
        <v/>
      </c>
      <c r="AG168" t="str">
        <f>IF($AK168="","",IF($AK168=0,"",IF(INDEX(LookupData!AG:AG,$AK168)="","",INDEX(LookupData!AG:AG,$AK168))))</f>
        <v/>
      </c>
      <c r="AH168" s="11" t="str">
        <f>IF($AK168="","",IF($AK168=0,"",IF(INDEX(LookupData!AH:AH,$AK168)="","",INDEX(LookupData!AH:AH,$AK168))))</f>
        <v/>
      </c>
      <c r="AI168" s="12" t="str">
        <f>IF($AK168="","",IF($AK168=0,"",IF(INDEX(LookupData!AI:AI,$AK168)="","",HYPERLINK(INDEX(LookupData!AI:AI,$AK168),"Open"))))</f>
        <v/>
      </c>
      <c r="AK168" t="str">
        <f>IF(AL168="","",IFERROR(MATCH(AL168,LookupData!$A:$A,0),0))</f>
        <v/>
      </c>
      <c r="AL168" t="str">
        <f t="shared" si="10"/>
        <v/>
      </c>
      <c r="AM168" t="str">
        <f t="shared" si="11"/>
        <v/>
      </c>
    </row>
    <row r="169" spans="1:39" x14ac:dyDescent="0.2">
      <c r="A169" s="9"/>
      <c r="B169" s="10" t="str">
        <f>IF($AK169="","",IF($AK169=0,"not in the database",IF(INDEX(LookupData!B:B,$AK169)="","",INDEX(LookupData!B:B,$AK169))))</f>
        <v/>
      </c>
      <c r="C169" t="str">
        <f>IF($AK169="","",IF($AK169=0,"",IF(INDEX(LookupData!C:C,$AK169)="","",INDEX(LookupData!C:C,$AK169))))</f>
        <v/>
      </c>
      <c r="D169" t="str">
        <f>IF($AK169="","",IF($AK169=0,"",IF(INDEX(LookupData!D:D,$AK169)="","",INDEX(LookupData!D:D,$AK169))))</f>
        <v/>
      </c>
      <c r="E169" t="str">
        <f>IF($AK169="","",IF($AK169=0,"",IF(INDEX(LookupData!E:E,$AK169)="","",INDEX(LookupData!E:E,$AK169))))</f>
        <v/>
      </c>
      <c r="F169" t="str">
        <f>IF($AK169="","",IF($AK169=0,"",IF(INDEX(LookupData!F:F,$AK169)="","",INDEX(LookupData!F:F,$AK169))))</f>
        <v/>
      </c>
      <c r="G169" t="str">
        <f>IF($AK169="","",IF($AK169=0,"",IF(INDEX(LookupData!G:G,$AK169)="","",INDEX(LookupData!G:G,$AK169))))</f>
        <v/>
      </c>
      <c r="H169" t="str">
        <f>IF($AK169="","",IF($AK169=0,"",IF(INDEX(LookupData!H:H,$AK169)="","",INDEX(LookupData!H:H,$AK169))))</f>
        <v/>
      </c>
      <c r="I169" s="7" t="str">
        <f>IF($AK169="","",IF($AK169=0,"",IF(INDEX(LookupData!I:I,$AK169)="","",INDEX(LookupData!I:I,$AK169))))</f>
        <v/>
      </c>
      <c r="J169" s="7" t="str">
        <f>IF($AK169="","",IF($AK169=0,"",IF(INDEX(LookupData!J:J,$AK169)="","",INDEX(LookupData!J:J,$AK169))))</f>
        <v/>
      </c>
      <c r="K169" s="7" t="str">
        <f>IF($AK169="","",IF($AK169=0,"",IF(INDEX(LookupData!K:K,$AK169)="","",INDEX(LookupData!K:K,$AK169))))</f>
        <v/>
      </c>
      <c r="L169" s="7" t="str">
        <f>IF($AK169="","",IF($AK169=0,"",IF(INDEX(LookupData!L:L,$AK169)="","",INDEX(LookupData!L:L,$AK169))))</f>
        <v/>
      </c>
      <c r="M169" s="7" t="str">
        <f>IF($AK169="","",IF($AK169=0,"",IF(INDEX(LookupData!M:M,$AK169)="","",INDEX(LookupData!M:M,$AK169))))</f>
        <v/>
      </c>
      <c r="N169" s="7" t="str">
        <f>IF($AK169="","",IF($AK169=0,"",IF(INDEX(LookupData!N:N,$AK169)="","",INDEX(LookupData!N:N,$AK169))))</f>
        <v/>
      </c>
      <c r="O169" s="7" t="str">
        <f>IF($AK169="","",IF($AK169=0,"",IF(INDEX(LookupData!O:O,$AK169)="","",INDEX(LookupData!O:O,$AK169))))</f>
        <v/>
      </c>
      <c r="P169" s="7" t="str">
        <f>IF($AK169="","",IF($AK169=0,"",IF(INDEX(LookupData!P:P,$AK169)="","",INDEX(LookupData!P:P,$AK169))))</f>
        <v/>
      </c>
      <c r="Q169" s="7" t="str">
        <f>IF($AK169="","",IF($AK169=0,"",IF(INDEX(LookupData!Q:Q,$AK169)="","",INDEX(LookupData!Q:Q,$AK169))))</f>
        <v/>
      </c>
      <c r="R169" s="7" t="str">
        <f>IF($AK169="","",IF($AK169=0,"",IF(INDEX(LookupData!R:R,$AK169)="","",INDEX(LookupData!R:R,$AK169))))</f>
        <v/>
      </c>
      <c r="S169" s="7" t="str">
        <f>IF($AK169="","",IF($AK169=0,"",IF(INDEX(LookupData!S:S,$AK169)="","",INDEX(LookupData!S:S,$AK169))))</f>
        <v/>
      </c>
      <c r="T169" s="7" t="str">
        <f>IF($AK169="","",IF($AK169=0,"",IF(INDEX(LookupData!T:T,$AK169)="","",INDEX(LookupData!T:T,$AK169))))</f>
        <v/>
      </c>
      <c r="U169" s="7" t="str">
        <f>IF($AK169="","",IF($AK169=0,"",IF(INDEX(LookupData!U:U,$AK169)="","",INDEX(LookupData!U:U,$AK169))))</f>
        <v/>
      </c>
      <c r="V169" s="7" t="str">
        <f>IF($AK169="","",IF($AK169=0,"",IF(INDEX(LookupData!V:V,$AK169)="","",INDEX(LookupData!V:V,$AK169))))</f>
        <v/>
      </c>
      <c r="W169" t="str">
        <f>IF($AK169="","",IF($AK169=0,"",IF(INDEX(LookupData!W:W,$AK169)="","",INDEX(LookupData!W:W,$AK169))))</f>
        <v/>
      </c>
      <c r="X169" s="7" t="str">
        <f>IF($AK169="","",IF($AK169=0,"",IF(INDEX(LookupData!X:X,$AK169)="","",INDEX(LookupData!X:X,$AK169))))</f>
        <v/>
      </c>
      <c r="Y169" s="7" t="str">
        <f>IF($AK169="","",IF($AK169=0,"",IF(INDEX(LookupData!Y:Y,$AK169)="","",INDEX(LookupData!Y:Y,$AK169))))</f>
        <v/>
      </c>
      <c r="Z169" s="7" t="str">
        <f>IF($AK169="","",IF($AK169=0,"",IF(INDEX(LookupData!Z:Z,$AK169)="","",INDEX(LookupData!Z:Z,$AK169))))</f>
        <v/>
      </c>
      <c r="AA169" s="7" t="str">
        <f>IF($AK169="","",IF($AK169=0,"",IF(INDEX(LookupData!AA:AA,$AK169)="","",INDEX(LookupData!AA:AA,$AK169))))</f>
        <v/>
      </c>
      <c r="AB169" s="7" t="str">
        <f>IF($AK169="","",IF($AK169=0,"",IF(INDEX(LookupData!AB:AB,$AK169)="","",INDEX(LookupData!AB:AB,$AK169))))</f>
        <v/>
      </c>
      <c r="AC169" s="7" t="str">
        <f>IF($AK169="","",IF($AK169=0,"",IF(INDEX(LookupData!AC:AC,$AK169)="","",INDEX(LookupData!AC:AC,$AK169))))</f>
        <v/>
      </c>
      <c r="AD169" s="7" t="str">
        <f>IF($AK169="","",IF($AK169=0,"",IF(INDEX(LookupData!AD:AD,$AK169)="","",INDEX(LookupData!AD:AD,$AK169))))</f>
        <v/>
      </c>
      <c r="AE169" s="7" t="str">
        <f>IF($AK169="","",IF($AK169=0,"",IF(INDEX(LookupData!AE:AE,$AK169)="","",INDEX(LookupData!AE:AE,$AK169))))</f>
        <v/>
      </c>
      <c r="AF169" t="str">
        <f>IF($AK169="","",IF($AK169=0,"",IF(INDEX(LookupData!AF:AF,$AK169)="","",INDEX(LookupData!AF:AF,$AK169))))</f>
        <v/>
      </c>
      <c r="AG169" t="str">
        <f>IF($AK169="","",IF($AK169=0,"",IF(INDEX(LookupData!AG:AG,$AK169)="","",INDEX(LookupData!AG:AG,$AK169))))</f>
        <v/>
      </c>
      <c r="AH169" s="11" t="str">
        <f>IF($AK169="","",IF($AK169=0,"",IF(INDEX(LookupData!AH:AH,$AK169)="","",INDEX(LookupData!AH:AH,$AK169))))</f>
        <v/>
      </c>
      <c r="AI169" s="12" t="str">
        <f>IF($AK169="","",IF($AK169=0,"",IF(INDEX(LookupData!AI:AI,$AK169)="","",HYPERLINK(INDEX(LookupData!AI:AI,$AK169),"Open"))))</f>
        <v/>
      </c>
      <c r="AK169" t="str">
        <f>IF(AL169="","",IFERROR(MATCH(AL169,LookupData!$A:$A,0),0))</f>
        <v/>
      </c>
      <c r="AL169" t="str">
        <f t="shared" si="10"/>
        <v/>
      </c>
      <c r="AM169" t="str">
        <f t="shared" si="11"/>
        <v/>
      </c>
    </row>
    <row r="170" spans="1:39" x14ac:dyDescent="0.2">
      <c r="A170" s="9"/>
      <c r="B170" s="10" t="str">
        <f>IF($AK170="","",IF($AK170=0,"not in the database",IF(INDEX(LookupData!B:B,$AK170)="","",INDEX(LookupData!B:B,$AK170))))</f>
        <v/>
      </c>
      <c r="C170" t="str">
        <f>IF($AK170="","",IF($AK170=0,"",IF(INDEX(LookupData!C:C,$AK170)="","",INDEX(LookupData!C:C,$AK170))))</f>
        <v/>
      </c>
      <c r="D170" t="str">
        <f>IF($AK170="","",IF($AK170=0,"",IF(INDEX(LookupData!D:D,$AK170)="","",INDEX(LookupData!D:D,$AK170))))</f>
        <v/>
      </c>
      <c r="E170" t="str">
        <f>IF($AK170="","",IF($AK170=0,"",IF(INDEX(LookupData!E:E,$AK170)="","",INDEX(LookupData!E:E,$AK170))))</f>
        <v/>
      </c>
      <c r="F170" t="str">
        <f>IF($AK170="","",IF($AK170=0,"",IF(INDEX(LookupData!F:F,$AK170)="","",INDEX(LookupData!F:F,$AK170))))</f>
        <v/>
      </c>
      <c r="G170" t="str">
        <f>IF($AK170="","",IF($AK170=0,"",IF(INDEX(LookupData!G:G,$AK170)="","",INDEX(LookupData!G:G,$AK170))))</f>
        <v/>
      </c>
      <c r="H170" t="str">
        <f>IF($AK170="","",IF($AK170=0,"",IF(INDEX(LookupData!H:H,$AK170)="","",INDEX(LookupData!H:H,$AK170))))</f>
        <v/>
      </c>
      <c r="I170" s="7" t="str">
        <f>IF($AK170="","",IF($AK170=0,"",IF(INDEX(LookupData!I:I,$AK170)="","",INDEX(LookupData!I:I,$AK170))))</f>
        <v/>
      </c>
      <c r="J170" s="7" t="str">
        <f>IF($AK170="","",IF($AK170=0,"",IF(INDEX(LookupData!J:J,$AK170)="","",INDEX(LookupData!J:J,$AK170))))</f>
        <v/>
      </c>
      <c r="K170" s="7" t="str">
        <f>IF($AK170="","",IF($AK170=0,"",IF(INDEX(LookupData!K:K,$AK170)="","",INDEX(LookupData!K:K,$AK170))))</f>
        <v/>
      </c>
      <c r="L170" s="7" t="str">
        <f>IF($AK170="","",IF($AK170=0,"",IF(INDEX(LookupData!L:L,$AK170)="","",INDEX(LookupData!L:L,$AK170))))</f>
        <v/>
      </c>
      <c r="M170" s="7" t="str">
        <f>IF($AK170="","",IF($AK170=0,"",IF(INDEX(LookupData!M:M,$AK170)="","",INDEX(LookupData!M:M,$AK170))))</f>
        <v/>
      </c>
      <c r="N170" s="7" t="str">
        <f>IF($AK170="","",IF($AK170=0,"",IF(INDEX(LookupData!N:N,$AK170)="","",INDEX(LookupData!N:N,$AK170))))</f>
        <v/>
      </c>
      <c r="O170" s="7" t="str">
        <f>IF($AK170="","",IF($AK170=0,"",IF(INDEX(LookupData!O:O,$AK170)="","",INDEX(LookupData!O:O,$AK170))))</f>
        <v/>
      </c>
      <c r="P170" s="7" t="str">
        <f>IF($AK170="","",IF($AK170=0,"",IF(INDEX(LookupData!P:P,$AK170)="","",INDEX(LookupData!P:P,$AK170))))</f>
        <v/>
      </c>
      <c r="Q170" s="7" t="str">
        <f>IF($AK170="","",IF($AK170=0,"",IF(INDEX(LookupData!Q:Q,$AK170)="","",INDEX(LookupData!Q:Q,$AK170))))</f>
        <v/>
      </c>
      <c r="R170" s="7" t="str">
        <f>IF($AK170="","",IF($AK170=0,"",IF(INDEX(LookupData!R:R,$AK170)="","",INDEX(LookupData!R:R,$AK170))))</f>
        <v/>
      </c>
      <c r="S170" s="7" t="str">
        <f>IF($AK170="","",IF($AK170=0,"",IF(INDEX(LookupData!S:S,$AK170)="","",INDEX(LookupData!S:S,$AK170))))</f>
        <v/>
      </c>
      <c r="T170" s="7" t="str">
        <f>IF($AK170="","",IF($AK170=0,"",IF(INDEX(LookupData!T:T,$AK170)="","",INDEX(LookupData!T:T,$AK170))))</f>
        <v/>
      </c>
      <c r="U170" s="7" t="str">
        <f>IF($AK170="","",IF($AK170=0,"",IF(INDEX(LookupData!U:U,$AK170)="","",INDEX(LookupData!U:U,$AK170))))</f>
        <v/>
      </c>
      <c r="V170" s="7" t="str">
        <f>IF($AK170="","",IF($AK170=0,"",IF(INDEX(LookupData!V:V,$AK170)="","",INDEX(LookupData!V:V,$AK170))))</f>
        <v/>
      </c>
      <c r="W170" t="str">
        <f>IF($AK170="","",IF($AK170=0,"",IF(INDEX(LookupData!W:W,$AK170)="","",INDEX(LookupData!W:W,$AK170))))</f>
        <v/>
      </c>
      <c r="X170" s="7" t="str">
        <f>IF($AK170="","",IF($AK170=0,"",IF(INDEX(LookupData!X:X,$AK170)="","",INDEX(LookupData!X:X,$AK170))))</f>
        <v/>
      </c>
      <c r="Y170" s="7" t="str">
        <f>IF($AK170="","",IF($AK170=0,"",IF(INDEX(LookupData!Y:Y,$AK170)="","",INDEX(LookupData!Y:Y,$AK170))))</f>
        <v/>
      </c>
      <c r="Z170" s="7" t="str">
        <f>IF($AK170="","",IF($AK170=0,"",IF(INDEX(LookupData!Z:Z,$AK170)="","",INDEX(LookupData!Z:Z,$AK170))))</f>
        <v/>
      </c>
      <c r="AA170" s="7" t="str">
        <f>IF($AK170="","",IF($AK170=0,"",IF(INDEX(LookupData!AA:AA,$AK170)="","",INDEX(LookupData!AA:AA,$AK170))))</f>
        <v/>
      </c>
      <c r="AB170" s="7" t="str">
        <f>IF($AK170="","",IF($AK170=0,"",IF(INDEX(LookupData!AB:AB,$AK170)="","",INDEX(LookupData!AB:AB,$AK170))))</f>
        <v/>
      </c>
      <c r="AC170" s="7" t="str">
        <f>IF($AK170="","",IF($AK170=0,"",IF(INDEX(LookupData!AC:AC,$AK170)="","",INDEX(LookupData!AC:AC,$AK170))))</f>
        <v/>
      </c>
      <c r="AD170" s="7" t="str">
        <f>IF($AK170="","",IF($AK170=0,"",IF(INDEX(LookupData!AD:AD,$AK170)="","",INDEX(LookupData!AD:AD,$AK170))))</f>
        <v/>
      </c>
      <c r="AE170" s="7" t="str">
        <f>IF($AK170="","",IF($AK170=0,"",IF(INDEX(LookupData!AE:AE,$AK170)="","",INDEX(LookupData!AE:AE,$AK170))))</f>
        <v/>
      </c>
      <c r="AF170" t="str">
        <f>IF($AK170="","",IF($AK170=0,"",IF(INDEX(LookupData!AF:AF,$AK170)="","",INDEX(LookupData!AF:AF,$AK170))))</f>
        <v/>
      </c>
      <c r="AG170" t="str">
        <f>IF($AK170="","",IF($AK170=0,"",IF(INDEX(LookupData!AG:AG,$AK170)="","",INDEX(LookupData!AG:AG,$AK170))))</f>
        <v/>
      </c>
      <c r="AH170" s="11" t="str">
        <f>IF($AK170="","",IF($AK170=0,"",IF(INDEX(LookupData!AH:AH,$AK170)="","",INDEX(LookupData!AH:AH,$AK170))))</f>
        <v/>
      </c>
      <c r="AI170" s="12" t="str">
        <f>IF($AK170="","",IF($AK170=0,"",IF(INDEX(LookupData!AI:AI,$AK170)="","",HYPERLINK(INDEX(LookupData!AI:AI,$AK170),"Open"))))</f>
        <v/>
      </c>
      <c r="AK170" t="str">
        <f>IF(AL170="","",IFERROR(MATCH(AL170,LookupData!$A:$A,0),0))</f>
        <v/>
      </c>
      <c r="AL170" t="str">
        <f t="shared" si="10"/>
        <v/>
      </c>
      <c r="AM170" t="str">
        <f t="shared" si="11"/>
        <v/>
      </c>
    </row>
    <row r="171" spans="1:39" x14ac:dyDescent="0.2">
      <c r="A171" s="9"/>
      <c r="B171" s="10" t="str">
        <f>IF($AK171="","",IF($AK171=0,"not in the database",IF(INDEX(LookupData!B:B,$AK171)="","",INDEX(LookupData!B:B,$AK171))))</f>
        <v/>
      </c>
      <c r="C171" t="str">
        <f>IF($AK171="","",IF($AK171=0,"",IF(INDEX(LookupData!C:C,$AK171)="","",INDEX(LookupData!C:C,$AK171))))</f>
        <v/>
      </c>
      <c r="D171" t="str">
        <f>IF($AK171="","",IF($AK171=0,"",IF(INDEX(LookupData!D:D,$AK171)="","",INDEX(LookupData!D:D,$AK171))))</f>
        <v/>
      </c>
      <c r="E171" t="str">
        <f>IF($AK171="","",IF($AK171=0,"",IF(INDEX(LookupData!E:E,$AK171)="","",INDEX(LookupData!E:E,$AK171))))</f>
        <v/>
      </c>
      <c r="F171" t="str">
        <f>IF($AK171="","",IF($AK171=0,"",IF(INDEX(LookupData!F:F,$AK171)="","",INDEX(LookupData!F:F,$AK171))))</f>
        <v/>
      </c>
      <c r="G171" t="str">
        <f>IF($AK171="","",IF($AK171=0,"",IF(INDEX(LookupData!G:G,$AK171)="","",INDEX(LookupData!G:G,$AK171))))</f>
        <v/>
      </c>
      <c r="H171" t="str">
        <f>IF($AK171="","",IF($AK171=0,"",IF(INDEX(LookupData!H:H,$AK171)="","",INDEX(LookupData!H:H,$AK171))))</f>
        <v/>
      </c>
      <c r="I171" s="7" t="str">
        <f>IF($AK171="","",IF($AK171=0,"",IF(INDEX(LookupData!I:I,$AK171)="","",INDEX(LookupData!I:I,$AK171))))</f>
        <v/>
      </c>
      <c r="J171" s="7" t="str">
        <f>IF($AK171="","",IF($AK171=0,"",IF(INDEX(LookupData!J:J,$AK171)="","",INDEX(LookupData!J:J,$AK171))))</f>
        <v/>
      </c>
      <c r="K171" s="7" t="str">
        <f>IF($AK171="","",IF($AK171=0,"",IF(INDEX(LookupData!K:K,$AK171)="","",INDEX(LookupData!K:K,$AK171))))</f>
        <v/>
      </c>
      <c r="L171" s="7" t="str">
        <f>IF($AK171="","",IF($AK171=0,"",IF(INDEX(LookupData!L:L,$AK171)="","",INDEX(LookupData!L:L,$AK171))))</f>
        <v/>
      </c>
      <c r="M171" s="7" t="str">
        <f>IF($AK171="","",IF($AK171=0,"",IF(INDEX(LookupData!M:M,$AK171)="","",INDEX(LookupData!M:M,$AK171))))</f>
        <v/>
      </c>
      <c r="N171" s="7" t="str">
        <f>IF($AK171="","",IF($AK171=0,"",IF(INDEX(LookupData!N:N,$AK171)="","",INDEX(LookupData!N:N,$AK171))))</f>
        <v/>
      </c>
      <c r="O171" s="7" t="str">
        <f>IF($AK171="","",IF($AK171=0,"",IF(INDEX(LookupData!O:O,$AK171)="","",INDEX(LookupData!O:O,$AK171))))</f>
        <v/>
      </c>
      <c r="P171" s="7" t="str">
        <f>IF($AK171="","",IF($AK171=0,"",IF(INDEX(LookupData!P:P,$AK171)="","",INDEX(LookupData!P:P,$AK171))))</f>
        <v/>
      </c>
      <c r="Q171" s="7" t="str">
        <f>IF($AK171="","",IF($AK171=0,"",IF(INDEX(LookupData!Q:Q,$AK171)="","",INDEX(LookupData!Q:Q,$AK171))))</f>
        <v/>
      </c>
      <c r="R171" s="7" t="str">
        <f>IF($AK171="","",IF($AK171=0,"",IF(INDEX(LookupData!R:R,$AK171)="","",INDEX(LookupData!R:R,$AK171))))</f>
        <v/>
      </c>
      <c r="S171" s="7" t="str">
        <f>IF($AK171="","",IF($AK171=0,"",IF(INDEX(LookupData!S:S,$AK171)="","",INDEX(LookupData!S:S,$AK171))))</f>
        <v/>
      </c>
      <c r="T171" s="7" t="str">
        <f>IF($AK171="","",IF($AK171=0,"",IF(INDEX(LookupData!T:T,$AK171)="","",INDEX(LookupData!T:T,$AK171))))</f>
        <v/>
      </c>
      <c r="U171" s="7" t="str">
        <f>IF($AK171="","",IF($AK171=0,"",IF(INDEX(LookupData!U:U,$AK171)="","",INDEX(LookupData!U:U,$AK171))))</f>
        <v/>
      </c>
      <c r="V171" s="7" t="str">
        <f>IF($AK171="","",IF($AK171=0,"",IF(INDEX(LookupData!V:V,$AK171)="","",INDEX(LookupData!V:V,$AK171))))</f>
        <v/>
      </c>
      <c r="W171" t="str">
        <f>IF($AK171="","",IF($AK171=0,"",IF(INDEX(LookupData!W:W,$AK171)="","",INDEX(LookupData!W:W,$AK171))))</f>
        <v/>
      </c>
      <c r="X171" s="7" t="str">
        <f>IF($AK171="","",IF($AK171=0,"",IF(INDEX(LookupData!X:X,$AK171)="","",INDEX(LookupData!X:X,$AK171))))</f>
        <v/>
      </c>
      <c r="Y171" s="7" t="str">
        <f>IF($AK171="","",IF($AK171=0,"",IF(INDEX(LookupData!Y:Y,$AK171)="","",INDEX(LookupData!Y:Y,$AK171))))</f>
        <v/>
      </c>
      <c r="Z171" s="7" t="str">
        <f>IF($AK171="","",IF($AK171=0,"",IF(INDEX(LookupData!Z:Z,$AK171)="","",INDEX(LookupData!Z:Z,$AK171))))</f>
        <v/>
      </c>
      <c r="AA171" s="7" t="str">
        <f>IF($AK171="","",IF($AK171=0,"",IF(INDEX(LookupData!AA:AA,$AK171)="","",INDEX(LookupData!AA:AA,$AK171))))</f>
        <v/>
      </c>
      <c r="AB171" s="7" t="str">
        <f>IF($AK171="","",IF($AK171=0,"",IF(INDEX(LookupData!AB:AB,$AK171)="","",INDEX(LookupData!AB:AB,$AK171))))</f>
        <v/>
      </c>
      <c r="AC171" s="7" t="str">
        <f>IF($AK171="","",IF($AK171=0,"",IF(INDEX(LookupData!AC:AC,$AK171)="","",INDEX(LookupData!AC:AC,$AK171))))</f>
        <v/>
      </c>
      <c r="AD171" s="7" t="str">
        <f>IF($AK171="","",IF($AK171=0,"",IF(INDEX(LookupData!AD:AD,$AK171)="","",INDEX(LookupData!AD:AD,$AK171))))</f>
        <v/>
      </c>
      <c r="AE171" s="7" t="str">
        <f>IF($AK171="","",IF($AK171=0,"",IF(INDEX(LookupData!AE:AE,$AK171)="","",INDEX(LookupData!AE:AE,$AK171))))</f>
        <v/>
      </c>
      <c r="AF171" t="str">
        <f>IF($AK171="","",IF($AK171=0,"",IF(INDEX(LookupData!AF:AF,$AK171)="","",INDEX(LookupData!AF:AF,$AK171))))</f>
        <v/>
      </c>
      <c r="AG171" t="str">
        <f>IF($AK171="","",IF($AK171=0,"",IF(INDEX(LookupData!AG:AG,$AK171)="","",INDEX(LookupData!AG:AG,$AK171))))</f>
        <v/>
      </c>
      <c r="AH171" s="11" t="str">
        <f>IF($AK171="","",IF($AK171=0,"",IF(INDEX(LookupData!AH:AH,$AK171)="","",INDEX(LookupData!AH:AH,$AK171))))</f>
        <v/>
      </c>
      <c r="AI171" s="12" t="str">
        <f>IF($AK171="","",IF($AK171=0,"",IF(INDEX(LookupData!AI:AI,$AK171)="","",HYPERLINK(INDEX(LookupData!AI:AI,$AK171),"Open"))))</f>
        <v/>
      </c>
      <c r="AK171" t="str">
        <f>IF(AL171="","",IFERROR(MATCH(AL171,LookupData!$A:$A,0),0))</f>
        <v/>
      </c>
      <c r="AL171" t="str">
        <f t="shared" si="10"/>
        <v/>
      </c>
      <c r="AM171" t="str">
        <f t="shared" si="11"/>
        <v/>
      </c>
    </row>
    <row r="172" spans="1:39" x14ac:dyDescent="0.2">
      <c r="A172" s="9"/>
      <c r="B172" s="10" t="str">
        <f>IF($AK172="","",IF($AK172=0,"not in the database",IF(INDEX(LookupData!B:B,$AK172)="","",INDEX(LookupData!B:B,$AK172))))</f>
        <v/>
      </c>
      <c r="C172" t="str">
        <f>IF($AK172="","",IF($AK172=0,"",IF(INDEX(LookupData!C:C,$AK172)="","",INDEX(LookupData!C:C,$AK172))))</f>
        <v/>
      </c>
      <c r="D172" t="str">
        <f>IF($AK172="","",IF($AK172=0,"",IF(INDEX(LookupData!D:D,$AK172)="","",INDEX(LookupData!D:D,$AK172))))</f>
        <v/>
      </c>
      <c r="E172" t="str">
        <f>IF($AK172="","",IF($AK172=0,"",IF(INDEX(LookupData!E:E,$AK172)="","",INDEX(LookupData!E:E,$AK172))))</f>
        <v/>
      </c>
      <c r="F172" t="str">
        <f>IF($AK172="","",IF($AK172=0,"",IF(INDEX(LookupData!F:F,$AK172)="","",INDEX(LookupData!F:F,$AK172))))</f>
        <v/>
      </c>
      <c r="G172" t="str">
        <f>IF($AK172="","",IF($AK172=0,"",IF(INDEX(LookupData!G:G,$AK172)="","",INDEX(LookupData!G:G,$AK172))))</f>
        <v/>
      </c>
      <c r="H172" t="str">
        <f>IF($AK172="","",IF($AK172=0,"",IF(INDEX(LookupData!H:H,$AK172)="","",INDEX(LookupData!H:H,$AK172))))</f>
        <v/>
      </c>
      <c r="I172" s="7" t="str">
        <f>IF($AK172="","",IF($AK172=0,"",IF(INDEX(LookupData!I:I,$AK172)="","",INDEX(LookupData!I:I,$AK172))))</f>
        <v/>
      </c>
      <c r="J172" s="7" t="str">
        <f>IF($AK172="","",IF($AK172=0,"",IF(INDEX(LookupData!J:J,$AK172)="","",INDEX(LookupData!J:J,$AK172))))</f>
        <v/>
      </c>
      <c r="K172" s="7" t="str">
        <f>IF($AK172="","",IF($AK172=0,"",IF(INDEX(LookupData!K:K,$AK172)="","",INDEX(LookupData!K:K,$AK172))))</f>
        <v/>
      </c>
      <c r="L172" s="7" t="str">
        <f>IF($AK172="","",IF($AK172=0,"",IF(INDEX(LookupData!L:L,$AK172)="","",INDEX(LookupData!L:L,$AK172))))</f>
        <v/>
      </c>
      <c r="M172" s="7" t="str">
        <f>IF($AK172="","",IF($AK172=0,"",IF(INDEX(LookupData!M:M,$AK172)="","",INDEX(LookupData!M:M,$AK172))))</f>
        <v/>
      </c>
      <c r="N172" s="7" t="str">
        <f>IF($AK172="","",IF($AK172=0,"",IF(INDEX(LookupData!N:N,$AK172)="","",INDEX(LookupData!N:N,$AK172))))</f>
        <v/>
      </c>
      <c r="O172" s="7" t="str">
        <f>IF($AK172="","",IF($AK172=0,"",IF(INDEX(LookupData!O:O,$AK172)="","",INDEX(LookupData!O:O,$AK172))))</f>
        <v/>
      </c>
      <c r="P172" s="7" t="str">
        <f>IF($AK172="","",IF($AK172=0,"",IF(INDEX(LookupData!P:P,$AK172)="","",INDEX(LookupData!P:P,$AK172))))</f>
        <v/>
      </c>
      <c r="Q172" s="7" t="str">
        <f>IF($AK172="","",IF($AK172=0,"",IF(INDEX(LookupData!Q:Q,$AK172)="","",INDEX(LookupData!Q:Q,$AK172))))</f>
        <v/>
      </c>
      <c r="R172" s="7" t="str">
        <f>IF($AK172="","",IF($AK172=0,"",IF(INDEX(LookupData!R:R,$AK172)="","",INDEX(LookupData!R:R,$AK172))))</f>
        <v/>
      </c>
      <c r="S172" s="7" t="str">
        <f>IF($AK172="","",IF($AK172=0,"",IF(INDEX(LookupData!S:S,$AK172)="","",INDEX(LookupData!S:S,$AK172))))</f>
        <v/>
      </c>
      <c r="T172" s="7" t="str">
        <f>IF($AK172="","",IF($AK172=0,"",IF(INDEX(LookupData!T:T,$AK172)="","",INDEX(LookupData!T:T,$AK172))))</f>
        <v/>
      </c>
      <c r="U172" s="7" t="str">
        <f>IF($AK172="","",IF($AK172=0,"",IF(INDEX(LookupData!U:U,$AK172)="","",INDEX(LookupData!U:U,$AK172))))</f>
        <v/>
      </c>
      <c r="V172" s="7" t="str">
        <f>IF($AK172="","",IF($AK172=0,"",IF(INDEX(LookupData!V:V,$AK172)="","",INDEX(LookupData!V:V,$AK172))))</f>
        <v/>
      </c>
      <c r="W172" t="str">
        <f>IF($AK172="","",IF($AK172=0,"",IF(INDEX(LookupData!W:W,$AK172)="","",INDEX(LookupData!W:W,$AK172))))</f>
        <v/>
      </c>
      <c r="X172" s="7" t="str">
        <f>IF($AK172="","",IF($AK172=0,"",IF(INDEX(LookupData!X:X,$AK172)="","",INDEX(LookupData!X:X,$AK172))))</f>
        <v/>
      </c>
      <c r="Y172" s="7" t="str">
        <f>IF($AK172="","",IF($AK172=0,"",IF(INDEX(LookupData!Y:Y,$AK172)="","",INDEX(LookupData!Y:Y,$AK172))))</f>
        <v/>
      </c>
      <c r="Z172" s="7" t="str">
        <f>IF($AK172="","",IF($AK172=0,"",IF(INDEX(LookupData!Z:Z,$AK172)="","",INDEX(LookupData!Z:Z,$AK172))))</f>
        <v/>
      </c>
      <c r="AA172" s="7" t="str">
        <f>IF($AK172="","",IF($AK172=0,"",IF(INDEX(LookupData!AA:AA,$AK172)="","",INDEX(LookupData!AA:AA,$AK172))))</f>
        <v/>
      </c>
      <c r="AB172" s="7" t="str">
        <f>IF($AK172="","",IF($AK172=0,"",IF(INDEX(LookupData!AB:AB,$AK172)="","",INDEX(LookupData!AB:AB,$AK172))))</f>
        <v/>
      </c>
      <c r="AC172" s="7" t="str">
        <f>IF($AK172="","",IF($AK172=0,"",IF(INDEX(LookupData!AC:AC,$AK172)="","",INDEX(LookupData!AC:AC,$AK172))))</f>
        <v/>
      </c>
      <c r="AD172" s="7" t="str">
        <f>IF($AK172="","",IF($AK172=0,"",IF(INDEX(LookupData!AD:AD,$AK172)="","",INDEX(LookupData!AD:AD,$AK172))))</f>
        <v/>
      </c>
      <c r="AE172" s="7" t="str">
        <f>IF($AK172="","",IF($AK172=0,"",IF(INDEX(LookupData!AE:AE,$AK172)="","",INDEX(LookupData!AE:AE,$AK172))))</f>
        <v/>
      </c>
      <c r="AF172" t="str">
        <f>IF($AK172="","",IF($AK172=0,"",IF(INDEX(LookupData!AF:AF,$AK172)="","",INDEX(LookupData!AF:AF,$AK172))))</f>
        <v/>
      </c>
      <c r="AG172" t="str">
        <f>IF($AK172="","",IF($AK172=0,"",IF(INDEX(LookupData!AG:AG,$AK172)="","",INDEX(LookupData!AG:AG,$AK172))))</f>
        <v/>
      </c>
      <c r="AH172" s="11" t="str">
        <f>IF($AK172="","",IF($AK172=0,"",IF(INDEX(LookupData!AH:AH,$AK172)="","",INDEX(LookupData!AH:AH,$AK172))))</f>
        <v/>
      </c>
      <c r="AI172" s="12" t="str">
        <f>IF($AK172="","",IF($AK172=0,"",IF(INDEX(LookupData!AI:AI,$AK172)="","",HYPERLINK(INDEX(LookupData!AI:AI,$AK172),"Open"))))</f>
        <v/>
      </c>
      <c r="AK172" t="str">
        <f>IF(AL172="","",IFERROR(MATCH(AL172,LookupData!$A:$A,0),0))</f>
        <v/>
      </c>
      <c r="AL172" t="str">
        <f t="shared" si="10"/>
        <v/>
      </c>
      <c r="AM172" t="str">
        <f t="shared" si="11"/>
        <v/>
      </c>
    </row>
    <row r="173" spans="1:39" x14ac:dyDescent="0.2">
      <c r="A173" s="9"/>
      <c r="B173" s="10" t="str">
        <f>IF($AK173="","",IF($AK173=0,"not in the database",IF(INDEX(LookupData!B:B,$AK173)="","",INDEX(LookupData!B:B,$AK173))))</f>
        <v/>
      </c>
      <c r="C173" t="str">
        <f>IF($AK173="","",IF($AK173=0,"",IF(INDEX(LookupData!C:C,$AK173)="","",INDEX(LookupData!C:C,$AK173))))</f>
        <v/>
      </c>
      <c r="D173" t="str">
        <f>IF($AK173="","",IF($AK173=0,"",IF(INDEX(LookupData!D:D,$AK173)="","",INDEX(LookupData!D:D,$AK173))))</f>
        <v/>
      </c>
      <c r="E173" t="str">
        <f>IF($AK173="","",IF($AK173=0,"",IF(INDEX(LookupData!E:E,$AK173)="","",INDEX(LookupData!E:E,$AK173))))</f>
        <v/>
      </c>
      <c r="F173" t="str">
        <f>IF($AK173="","",IF($AK173=0,"",IF(INDEX(LookupData!F:F,$AK173)="","",INDEX(LookupData!F:F,$AK173))))</f>
        <v/>
      </c>
      <c r="G173" t="str">
        <f>IF($AK173="","",IF($AK173=0,"",IF(INDEX(LookupData!G:G,$AK173)="","",INDEX(LookupData!G:G,$AK173))))</f>
        <v/>
      </c>
      <c r="H173" t="str">
        <f>IF($AK173="","",IF($AK173=0,"",IF(INDEX(LookupData!H:H,$AK173)="","",INDEX(LookupData!H:H,$AK173))))</f>
        <v/>
      </c>
      <c r="I173" s="7" t="str">
        <f>IF($AK173="","",IF($AK173=0,"",IF(INDEX(LookupData!I:I,$AK173)="","",INDEX(LookupData!I:I,$AK173))))</f>
        <v/>
      </c>
      <c r="J173" s="7" t="str">
        <f>IF($AK173="","",IF($AK173=0,"",IF(INDEX(LookupData!J:J,$AK173)="","",INDEX(LookupData!J:J,$AK173))))</f>
        <v/>
      </c>
      <c r="K173" s="7" t="str">
        <f>IF($AK173="","",IF($AK173=0,"",IF(INDEX(LookupData!K:K,$AK173)="","",INDEX(LookupData!K:K,$AK173))))</f>
        <v/>
      </c>
      <c r="L173" s="7" t="str">
        <f>IF($AK173="","",IF($AK173=0,"",IF(INDEX(LookupData!L:L,$AK173)="","",INDEX(LookupData!L:L,$AK173))))</f>
        <v/>
      </c>
      <c r="M173" s="7" t="str">
        <f>IF($AK173="","",IF($AK173=0,"",IF(INDEX(LookupData!M:M,$AK173)="","",INDEX(LookupData!M:M,$AK173))))</f>
        <v/>
      </c>
      <c r="N173" s="7" t="str">
        <f>IF($AK173="","",IF($AK173=0,"",IF(INDEX(LookupData!N:N,$AK173)="","",INDEX(LookupData!N:N,$AK173))))</f>
        <v/>
      </c>
      <c r="O173" s="7" t="str">
        <f>IF($AK173="","",IF($AK173=0,"",IF(INDEX(LookupData!O:O,$AK173)="","",INDEX(LookupData!O:O,$AK173))))</f>
        <v/>
      </c>
      <c r="P173" s="7" t="str">
        <f>IF($AK173="","",IF($AK173=0,"",IF(INDEX(LookupData!P:P,$AK173)="","",INDEX(LookupData!P:P,$AK173))))</f>
        <v/>
      </c>
      <c r="Q173" s="7" t="str">
        <f>IF($AK173="","",IF($AK173=0,"",IF(INDEX(LookupData!Q:Q,$AK173)="","",INDEX(LookupData!Q:Q,$AK173))))</f>
        <v/>
      </c>
      <c r="R173" s="7" t="str">
        <f>IF($AK173="","",IF($AK173=0,"",IF(INDEX(LookupData!R:R,$AK173)="","",INDEX(LookupData!R:R,$AK173))))</f>
        <v/>
      </c>
      <c r="S173" s="7" t="str">
        <f>IF($AK173="","",IF($AK173=0,"",IF(INDEX(LookupData!S:S,$AK173)="","",INDEX(LookupData!S:S,$AK173))))</f>
        <v/>
      </c>
      <c r="T173" s="7" t="str">
        <f>IF($AK173="","",IF($AK173=0,"",IF(INDEX(LookupData!T:T,$AK173)="","",INDEX(LookupData!T:T,$AK173))))</f>
        <v/>
      </c>
      <c r="U173" s="7" t="str">
        <f>IF($AK173="","",IF($AK173=0,"",IF(INDEX(LookupData!U:U,$AK173)="","",INDEX(LookupData!U:U,$AK173))))</f>
        <v/>
      </c>
      <c r="V173" s="7" t="str">
        <f>IF($AK173="","",IF($AK173=0,"",IF(INDEX(LookupData!V:V,$AK173)="","",INDEX(LookupData!V:V,$AK173))))</f>
        <v/>
      </c>
      <c r="W173" t="str">
        <f>IF($AK173="","",IF($AK173=0,"",IF(INDEX(LookupData!W:W,$AK173)="","",INDEX(LookupData!W:W,$AK173))))</f>
        <v/>
      </c>
      <c r="X173" s="7" t="str">
        <f>IF($AK173="","",IF($AK173=0,"",IF(INDEX(LookupData!X:X,$AK173)="","",INDEX(LookupData!X:X,$AK173))))</f>
        <v/>
      </c>
      <c r="Y173" s="7" t="str">
        <f>IF($AK173="","",IF($AK173=0,"",IF(INDEX(LookupData!Y:Y,$AK173)="","",INDEX(LookupData!Y:Y,$AK173))))</f>
        <v/>
      </c>
      <c r="Z173" s="7" t="str">
        <f>IF($AK173="","",IF($AK173=0,"",IF(INDEX(LookupData!Z:Z,$AK173)="","",INDEX(LookupData!Z:Z,$AK173))))</f>
        <v/>
      </c>
      <c r="AA173" s="7" t="str">
        <f>IF($AK173="","",IF($AK173=0,"",IF(INDEX(LookupData!AA:AA,$AK173)="","",INDEX(LookupData!AA:AA,$AK173))))</f>
        <v/>
      </c>
      <c r="AB173" s="7" t="str">
        <f>IF($AK173="","",IF($AK173=0,"",IF(INDEX(LookupData!AB:AB,$AK173)="","",INDEX(LookupData!AB:AB,$AK173))))</f>
        <v/>
      </c>
      <c r="AC173" s="7" t="str">
        <f>IF($AK173="","",IF($AK173=0,"",IF(INDEX(LookupData!AC:AC,$AK173)="","",INDEX(LookupData!AC:AC,$AK173))))</f>
        <v/>
      </c>
      <c r="AD173" s="7" t="str">
        <f>IF($AK173="","",IF($AK173=0,"",IF(INDEX(LookupData!AD:AD,$AK173)="","",INDEX(LookupData!AD:AD,$AK173))))</f>
        <v/>
      </c>
      <c r="AE173" s="7" t="str">
        <f>IF($AK173="","",IF($AK173=0,"",IF(INDEX(LookupData!AE:AE,$AK173)="","",INDEX(LookupData!AE:AE,$AK173))))</f>
        <v/>
      </c>
      <c r="AF173" t="str">
        <f>IF($AK173="","",IF($AK173=0,"",IF(INDEX(LookupData!AF:AF,$AK173)="","",INDEX(LookupData!AF:AF,$AK173))))</f>
        <v/>
      </c>
      <c r="AG173" t="str">
        <f>IF($AK173="","",IF($AK173=0,"",IF(INDEX(LookupData!AG:AG,$AK173)="","",INDEX(LookupData!AG:AG,$AK173))))</f>
        <v/>
      </c>
      <c r="AH173" s="11" t="str">
        <f>IF($AK173="","",IF($AK173=0,"",IF(INDEX(LookupData!AH:AH,$AK173)="","",INDEX(LookupData!AH:AH,$AK173))))</f>
        <v/>
      </c>
      <c r="AI173" s="12" t="str">
        <f>IF($AK173="","",IF($AK173=0,"",IF(INDEX(LookupData!AI:AI,$AK173)="","",HYPERLINK(INDEX(LookupData!AI:AI,$AK173),"Open"))))</f>
        <v/>
      </c>
      <c r="AK173" t="str">
        <f>IF(AL173="","",IFERROR(MATCH(AL173,LookupData!$A:$A,0),0))</f>
        <v/>
      </c>
      <c r="AL173" t="str">
        <f t="shared" si="10"/>
        <v/>
      </c>
      <c r="AM173" t="str">
        <f t="shared" si="11"/>
        <v/>
      </c>
    </row>
    <row r="174" spans="1:39" x14ac:dyDescent="0.2">
      <c r="A174" s="9"/>
      <c r="B174" s="10" t="str">
        <f>IF($AK174="","",IF($AK174=0,"not in the database",IF(INDEX(LookupData!B:B,$AK174)="","",INDEX(LookupData!B:B,$AK174))))</f>
        <v/>
      </c>
      <c r="C174" t="str">
        <f>IF($AK174="","",IF($AK174=0,"",IF(INDEX(LookupData!C:C,$AK174)="","",INDEX(LookupData!C:C,$AK174))))</f>
        <v/>
      </c>
      <c r="D174" t="str">
        <f>IF($AK174="","",IF($AK174=0,"",IF(INDEX(LookupData!D:D,$AK174)="","",INDEX(LookupData!D:D,$AK174))))</f>
        <v/>
      </c>
      <c r="E174" t="str">
        <f>IF($AK174="","",IF($AK174=0,"",IF(INDEX(LookupData!E:E,$AK174)="","",INDEX(LookupData!E:E,$AK174))))</f>
        <v/>
      </c>
      <c r="F174" t="str">
        <f>IF($AK174="","",IF($AK174=0,"",IF(INDEX(LookupData!F:F,$AK174)="","",INDEX(LookupData!F:F,$AK174))))</f>
        <v/>
      </c>
      <c r="G174" t="str">
        <f>IF($AK174="","",IF($AK174=0,"",IF(INDEX(LookupData!G:G,$AK174)="","",INDEX(LookupData!G:G,$AK174))))</f>
        <v/>
      </c>
      <c r="H174" t="str">
        <f>IF($AK174="","",IF($AK174=0,"",IF(INDEX(LookupData!H:H,$AK174)="","",INDEX(LookupData!H:H,$AK174))))</f>
        <v/>
      </c>
      <c r="I174" s="7" t="str">
        <f>IF($AK174="","",IF($AK174=0,"",IF(INDEX(LookupData!I:I,$AK174)="","",INDEX(LookupData!I:I,$AK174))))</f>
        <v/>
      </c>
      <c r="J174" s="7" t="str">
        <f>IF($AK174="","",IF($AK174=0,"",IF(INDEX(LookupData!J:J,$AK174)="","",INDEX(LookupData!J:J,$AK174))))</f>
        <v/>
      </c>
      <c r="K174" s="7" t="str">
        <f>IF($AK174="","",IF($AK174=0,"",IF(INDEX(LookupData!K:K,$AK174)="","",INDEX(LookupData!K:K,$AK174))))</f>
        <v/>
      </c>
      <c r="L174" s="7" t="str">
        <f>IF($AK174="","",IF($AK174=0,"",IF(INDEX(LookupData!L:L,$AK174)="","",INDEX(LookupData!L:L,$AK174))))</f>
        <v/>
      </c>
      <c r="M174" s="7" t="str">
        <f>IF($AK174="","",IF($AK174=0,"",IF(INDEX(LookupData!M:M,$AK174)="","",INDEX(LookupData!M:M,$AK174))))</f>
        <v/>
      </c>
      <c r="N174" s="7" t="str">
        <f>IF($AK174="","",IF($AK174=0,"",IF(INDEX(LookupData!N:N,$AK174)="","",INDEX(LookupData!N:N,$AK174))))</f>
        <v/>
      </c>
      <c r="O174" s="7" t="str">
        <f>IF($AK174="","",IF($AK174=0,"",IF(INDEX(LookupData!O:O,$AK174)="","",INDEX(LookupData!O:O,$AK174))))</f>
        <v/>
      </c>
      <c r="P174" s="7" t="str">
        <f>IF($AK174="","",IF($AK174=0,"",IF(INDEX(LookupData!P:P,$AK174)="","",INDEX(LookupData!P:P,$AK174))))</f>
        <v/>
      </c>
      <c r="Q174" s="7" t="str">
        <f>IF($AK174="","",IF($AK174=0,"",IF(INDEX(LookupData!Q:Q,$AK174)="","",INDEX(LookupData!Q:Q,$AK174))))</f>
        <v/>
      </c>
      <c r="R174" s="7" t="str">
        <f>IF($AK174="","",IF($AK174=0,"",IF(INDEX(LookupData!R:R,$AK174)="","",INDEX(LookupData!R:R,$AK174))))</f>
        <v/>
      </c>
      <c r="S174" s="7" t="str">
        <f>IF($AK174="","",IF($AK174=0,"",IF(INDEX(LookupData!S:S,$AK174)="","",INDEX(LookupData!S:S,$AK174))))</f>
        <v/>
      </c>
      <c r="T174" s="7" t="str">
        <f>IF($AK174="","",IF($AK174=0,"",IF(INDEX(LookupData!T:T,$AK174)="","",INDEX(LookupData!T:T,$AK174))))</f>
        <v/>
      </c>
      <c r="U174" s="7" t="str">
        <f>IF($AK174="","",IF($AK174=0,"",IF(INDEX(LookupData!U:U,$AK174)="","",INDEX(LookupData!U:U,$AK174))))</f>
        <v/>
      </c>
      <c r="V174" s="7" t="str">
        <f>IF($AK174="","",IF($AK174=0,"",IF(INDEX(LookupData!V:V,$AK174)="","",INDEX(LookupData!V:V,$AK174))))</f>
        <v/>
      </c>
      <c r="W174" t="str">
        <f>IF($AK174="","",IF($AK174=0,"",IF(INDEX(LookupData!W:W,$AK174)="","",INDEX(LookupData!W:W,$AK174))))</f>
        <v/>
      </c>
      <c r="X174" s="7" t="str">
        <f>IF($AK174="","",IF($AK174=0,"",IF(INDEX(LookupData!X:X,$AK174)="","",INDEX(LookupData!X:X,$AK174))))</f>
        <v/>
      </c>
      <c r="Y174" s="7" t="str">
        <f>IF($AK174="","",IF($AK174=0,"",IF(INDEX(LookupData!Y:Y,$AK174)="","",INDEX(LookupData!Y:Y,$AK174))))</f>
        <v/>
      </c>
      <c r="Z174" s="7" t="str">
        <f>IF($AK174="","",IF($AK174=0,"",IF(INDEX(LookupData!Z:Z,$AK174)="","",INDEX(LookupData!Z:Z,$AK174))))</f>
        <v/>
      </c>
      <c r="AA174" s="7" t="str">
        <f>IF($AK174="","",IF($AK174=0,"",IF(INDEX(LookupData!AA:AA,$AK174)="","",INDEX(LookupData!AA:AA,$AK174))))</f>
        <v/>
      </c>
      <c r="AB174" s="7" t="str">
        <f>IF($AK174="","",IF($AK174=0,"",IF(INDEX(LookupData!AB:AB,$AK174)="","",INDEX(LookupData!AB:AB,$AK174))))</f>
        <v/>
      </c>
      <c r="AC174" s="7" t="str">
        <f>IF($AK174="","",IF($AK174=0,"",IF(INDEX(LookupData!AC:AC,$AK174)="","",INDEX(LookupData!AC:AC,$AK174))))</f>
        <v/>
      </c>
      <c r="AD174" s="7" t="str">
        <f>IF($AK174="","",IF($AK174=0,"",IF(INDEX(LookupData!AD:AD,$AK174)="","",INDEX(LookupData!AD:AD,$AK174))))</f>
        <v/>
      </c>
      <c r="AE174" s="7" t="str">
        <f>IF($AK174="","",IF($AK174=0,"",IF(INDEX(LookupData!AE:AE,$AK174)="","",INDEX(LookupData!AE:AE,$AK174))))</f>
        <v/>
      </c>
      <c r="AF174" t="str">
        <f>IF($AK174="","",IF($AK174=0,"",IF(INDEX(LookupData!AF:AF,$AK174)="","",INDEX(LookupData!AF:AF,$AK174))))</f>
        <v/>
      </c>
      <c r="AG174" t="str">
        <f>IF($AK174="","",IF($AK174=0,"",IF(INDEX(LookupData!AG:AG,$AK174)="","",INDEX(LookupData!AG:AG,$AK174))))</f>
        <v/>
      </c>
      <c r="AH174" s="11" t="str">
        <f>IF($AK174="","",IF($AK174=0,"",IF(INDEX(LookupData!AH:AH,$AK174)="","",INDEX(LookupData!AH:AH,$AK174))))</f>
        <v/>
      </c>
      <c r="AI174" s="12" t="str">
        <f>IF($AK174="","",IF($AK174=0,"",IF(INDEX(LookupData!AI:AI,$AK174)="","",HYPERLINK(INDEX(LookupData!AI:AI,$AK174),"Open"))))</f>
        <v/>
      </c>
      <c r="AK174" t="str">
        <f>IF(AL174="","",IFERROR(MATCH(AL174,LookupData!$A:$A,0),0))</f>
        <v/>
      </c>
      <c r="AL174" t="str">
        <f t="shared" si="10"/>
        <v/>
      </c>
      <c r="AM174" t="str">
        <f t="shared" si="11"/>
        <v/>
      </c>
    </row>
    <row r="175" spans="1:39" x14ac:dyDescent="0.2">
      <c r="A175" s="9"/>
      <c r="B175" s="10" t="str">
        <f>IF($AK175="","",IF($AK175=0,"not in the database",IF(INDEX(LookupData!B:B,$AK175)="","",INDEX(LookupData!B:B,$AK175))))</f>
        <v/>
      </c>
      <c r="C175" t="str">
        <f>IF($AK175="","",IF($AK175=0,"",IF(INDEX(LookupData!C:C,$AK175)="","",INDEX(LookupData!C:C,$AK175))))</f>
        <v/>
      </c>
      <c r="D175" t="str">
        <f>IF($AK175="","",IF($AK175=0,"",IF(INDEX(LookupData!D:D,$AK175)="","",INDEX(LookupData!D:D,$AK175))))</f>
        <v/>
      </c>
      <c r="E175" t="str">
        <f>IF($AK175="","",IF($AK175=0,"",IF(INDEX(LookupData!E:E,$AK175)="","",INDEX(LookupData!E:E,$AK175))))</f>
        <v/>
      </c>
      <c r="F175" t="str">
        <f>IF($AK175="","",IF($AK175=0,"",IF(INDEX(LookupData!F:F,$AK175)="","",INDEX(LookupData!F:F,$AK175))))</f>
        <v/>
      </c>
      <c r="G175" t="str">
        <f>IF($AK175="","",IF($AK175=0,"",IF(INDEX(LookupData!G:G,$AK175)="","",INDEX(LookupData!G:G,$AK175))))</f>
        <v/>
      </c>
      <c r="H175" t="str">
        <f>IF($AK175="","",IF($AK175=0,"",IF(INDEX(LookupData!H:H,$AK175)="","",INDEX(LookupData!H:H,$AK175))))</f>
        <v/>
      </c>
      <c r="I175" s="7" t="str">
        <f>IF($AK175="","",IF($AK175=0,"",IF(INDEX(LookupData!I:I,$AK175)="","",INDEX(LookupData!I:I,$AK175))))</f>
        <v/>
      </c>
      <c r="J175" s="7" t="str">
        <f>IF($AK175="","",IF($AK175=0,"",IF(INDEX(LookupData!J:J,$AK175)="","",INDEX(LookupData!J:J,$AK175))))</f>
        <v/>
      </c>
      <c r="K175" s="7" t="str">
        <f>IF($AK175="","",IF($AK175=0,"",IF(INDEX(LookupData!K:K,$AK175)="","",INDEX(LookupData!K:K,$AK175))))</f>
        <v/>
      </c>
      <c r="L175" s="7" t="str">
        <f>IF($AK175="","",IF($AK175=0,"",IF(INDEX(LookupData!L:L,$AK175)="","",INDEX(LookupData!L:L,$AK175))))</f>
        <v/>
      </c>
      <c r="M175" s="7" t="str">
        <f>IF($AK175="","",IF($AK175=0,"",IF(INDEX(LookupData!M:M,$AK175)="","",INDEX(LookupData!M:M,$AK175))))</f>
        <v/>
      </c>
      <c r="N175" s="7" t="str">
        <f>IF($AK175="","",IF($AK175=0,"",IF(INDEX(LookupData!N:N,$AK175)="","",INDEX(LookupData!N:N,$AK175))))</f>
        <v/>
      </c>
      <c r="O175" s="7" t="str">
        <f>IF($AK175="","",IF($AK175=0,"",IF(INDEX(LookupData!O:O,$AK175)="","",INDEX(LookupData!O:O,$AK175))))</f>
        <v/>
      </c>
      <c r="P175" s="7" t="str">
        <f>IF($AK175="","",IF($AK175=0,"",IF(INDEX(LookupData!P:P,$AK175)="","",INDEX(LookupData!P:P,$AK175))))</f>
        <v/>
      </c>
      <c r="Q175" s="7" t="str">
        <f>IF($AK175="","",IF($AK175=0,"",IF(INDEX(LookupData!Q:Q,$AK175)="","",INDEX(LookupData!Q:Q,$AK175))))</f>
        <v/>
      </c>
      <c r="R175" s="7" t="str">
        <f>IF($AK175="","",IF($AK175=0,"",IF(INDEX(LookupData!R:R,$AK175)="","",INDEX(LookupData!R:R,$AK175))))</f>
        <v/>
      </c>
      <c r="S175" s="7" t="str">
        <f>IF($AK175="","",IF($AK175=0,"",IF(INDEX(LookupData!S:S,$AK175)="","",INDEX(LookupData!S:S,$AK175))))</f>
        <v/>
      </c>
      <c r="T175" s="7" t="str">
        <f>IF($AK175="","",IF($AK175=0,"",IF(INDEX(LookupData!T:T,$AK175)="","",INDEX(LookupData!T:T,$AK175))))</f>
        <v/>
      </c>
      <c r="U175" s="7" t="str">
        <f>IF($AK175="","",IF($AK175=0,"",IF(INDEX(LookupData!U:U,$AK175)="","",INDEX(LookupData!U:U,$AK175))))</f>
        <v/>
      </c>
      <c r="V175" s="7" t="str">
        <f>IF($AK175="","",IF($AK175=0,"",IF(INDEX(LookupData!V:V,$AK175)="","",INDEX(LookupData!V:V,$AK175))))</f>
        <v/>
      </c>
      <c r="W175" t="str">
        <f>IF($AK175="","",IF($AK175=0,"",IF(INDEX(LookupData!W:W,$AK175)="","",INDEX(LookupData!W:W,$AK175))))</f>
        <v/>
      </c>
      <c r="X175" s="7" t="str">
        <f>IF($AK175="","",IF($AK175=0,"",IF(INDEX(LookupData!X:X,$AK175)="","",INDEX(LookupData!X:X,$AK175))))</f>
        <v/>
      </c>
      <c r="Y175" s="7" t="str">
        <f>IF($AK175="","",IF($AK175=0,"",IF(INDEX(LookupData!Y:Y,$AK175)="","",INDEX(LookupData!Y:Y,$AK175))))</f>
        <v/>
      </c>
      <c r="Z175" s="7" t="str">
        <f>IF($AK175="","",IF($AK175=0,"",IF(INDEX(LookupData!Z:Z,$AK175)="","",INDEX(LookupData!Z:Z,$AK175))))</f>
        <v/>
      </c>
      <c r="AA175" s="7" t="str">
        <f>IF($AK175="","",IF($AK175=0,"",IF(INDEX(LookupData!AA:AA,$AK175)="","",INDEX(LookupData!AA:AA,$AK175))))</f>
        <v/>
      </c>
      <c r="AB175" s="7" t="str">
        <f>IF($AK175="","",IF($AK175=0,"",IF(INDEX(LookupData!AB:AB,$AK175)="","",INDEX(LookupData!AB:AB,$AK175))))</f>
        <v/>
      </c>
      <c r="AC175" s="7" t="str">
        <f>IF($AK175="","",IF($AK175=0,"",IF(INDEX(LookupData!AC:AC,$AK175)="","",INDEX(LookupData!AC:AC,$AK175))))</f>
        <v/>
      </c>
      <c r="AD175" s="7" t="str">
        <f>IF($AK175="","",IF($AK175=0,"",IF(INDEX(LookupData!AD:AD,$AK175)="","",INDEX(LookupData!AD:AD,$AK175))))</f>
        <v/>
      </c>
      <c r="AE175" s="7" t="str">
        <f>IF($AK175="","",IF($AK175=0,"",IF(INDEX(LookupData!AE:AE,$AK175)="","",INDEX(LookupData!AE:AE,$AK175))))</f>
        <v/>
      </c>
      <c r="AF175" t="str">
        <f>IF($AK175="","",IF($AK175=0,"",IF(INDEX(LookupData!AF:AF,$AK175)="","",INDEX(LookupData!AF:AF,$AK175))))</f>
        <v/>
      </c>
      <c r="AG175" t="str">
        <f>IF($AK175="","",IF($AK175=0,"",IF(INDEX(LookupData!AG:AG,$AK175)="","",INDEX(LookupData!AG:AG,$AK175))))</f>
        <v/>
      </c>
      <c r="AH175" s="11" t="str">
        <f>IF($AK175="","",IF($AK175=0,"",IF(INDEX(LookupData!AH:AH,$AK175)="","",INDEX(LookupData!AH:AH,$AK175))))</f>
        <v/>
      </c>
      <c r="AI175" s="12" t="str">
        <f>IF($AK175="","",IF($AK175=0,"",IF(INDEX(LookupData!AI:AI,$AK175)="","",HYPERLINK(INDEX(LookupData!AI:AI,$AK175),"Open"))))</f>
        <v/>
      </c>
      <c r="AK175" t="str">
        <f>IF(AL175="","",IFERROR(MATCH(AL175,LookupData!$A:$A,0),0))</f>
        <v/>
      </c>
      <c r="AL175" t="str">
        <f t="shared" si="10"/>
        <v/>
      </c>
      <c r="AM175" t="str">
        <f t="shared" si="11"/>
        <v/>
      </c>
    </row>
    <row r="176" spans="1:39" x14ac:dyDescent="0.2">
      <c r="A176" s="9"/>
      <c r="B176" s="10" t="str">
        <f>IF($AK176="","",IF($AK176=0,"not in the database",IF(INDEX(LookupData!B:B,$AK176)="","",INDEX(LookupData!B:B,$AK176))))</f>
        <v/>
      </c>
      <c r="C176" t="str">
        <f>IF($AK176="","",IF($AK176=0,"",IF(INDEX(LookupData!C:C,$AK176)="","",INDEX(LookupData!C:C,$AK176))))</f>
        <v/>
      </c>
      <c r="D176" t="str">
        <f>IF($AK176="","",IF($AK176=0,"",IF(INDEX(LookupData!D:D,$AK176)="","",INDEX(LookupData!D:D,$AK176))))</f>
        <v/>
      </c>
      <c r="E176" t="str">
        <f>IF($AK176="","",IF($AK176=0,"",IF(INDEX(LookupData!E:E,$AK176)="","",INDEX(LookupData!E:E,$AK176))))</f>
        <v/>
      </c>
      <c r="F176" t="str">
        <f>IF($AK176="","",IF($AK176=0,"",IF(INDEX(LookupData!F:F,$AK176)="","",INDEX(LookupData!F:F,$AK176))))</f>
        <v/>
      </c>
      <c r="G176" t="str">
        <f>IF($AK176="","",IF($AK176=0,"",IF(INDEX(LookupData!G:G,$AK176)="","",INDEX(LookupData!G:G,$AK176))))</f>
        <v/>
      </c>
      <c r="H176" t="str">
        <f>IF($AK176="","",IF($AK176=0,"",IF(INDEX(LookupData!H:H,$AK176)="","",INDEX(LookupData!H:H,$AK176))))</f>
        <v/>
      </c>
      <c r="I176" s="7" t="str">
        <f>IF($AK176="","",IF($AK176=0,"",IF(INDEX(LookupData!I:I,$AK176)="","",INDEX(LookupData!I:I,$AK176))))</f>
        <v/>
      </c>
      <c r="J176" s="7" t="str">
        <f>IF($AK176="","",IF($AK176=0,"",IF(INDEX(LookupData!J:J,$AK176)="","",INDEX(LookupData!J:J,$AK176))))</f>
        <v/>
      </c>
      <c r="K176" s="7" t="str">
        <f>IF($AK176="","",IF($AK176=0,"",IF(INDEX(LookupData!K:K,$AK176)="","",INDEX(LookupData!K:K,$AK176))))</f>
        <v/>
      </c>
      <c r="L176" s="7" t="str">
        <f>IF($AK176="","",IF($AK176=0,"",IF(INDEX(LookupData!L:L,$AK176)="","",INDEX(LookupData!L:L,$AK176))))</f>
        <v/>
      </c>
      <c r="M176" s="7" t="str">
        <f>IF($AK176="","",IF($AK176=0,"",IF(INDEX(LookupData!M:M,$AK176)="","",INDEX(LookupData!M:M,$AK176))))</f>
        <v/>
      </c>
      <c r="N176" s="7" t="str">
        <f>IF($AK176="","",IF($AK176=0,"",IF(INDEX(LookupData!N:N,$AK176)="","",INDEX(LookupData!N:N,$AK176))))</f>
        <v/>
      </c>
      <c r="O176" s="7" t="str">
        <f>IF($AK176="","",IF($AK176=0,"",IF(INDEX(LookupData!O:O,$AK176)="","",INDEX(LookupData!O:O,$AK176))))</f>
        <v/>
      </c>
      <c r="P176" s="7" t="str">
        <f>IF($AK176="","",IF($AK176=0,"",IF(INDEX(LookupData!P:P,$AK176)="","",INDEX(LookupData!P:P,$AK176))))</f>
        <v/>
      </c>
      <c r="Q176" s="7" t="str">
        <f>IF($AK176="","",IF($AK176=0,"",IF(INDEX(LookupData!Q:Q,$AK176)="","",INDEX(LookupData!Q:Q,$AK176))))</f>
        <v/>
      </c>
      <c r="R176" s="7" t="str">
        <f>IF($AK176="","",IF($AK176=0,"",IF(INDEX(LookupData!R:R,$AK176)="","",INDEX(LookupData!R:R,$AK176))))</f>
        <v/>
      </c>
      <c r="S176" s="7" t="str">
        <f>IF($AK176="","",IF($AK176=0,"",IF(INDEX(LookupData!S:S,$AK176)="","",INDEX(LookupData!S:S,$AK176))))</f>
        <v/>
      </c>
      <c r="T176" s="7" t="str">
        <f>IF($AK176="","",IF($AK176=0,"",IF(INDEX(LookupData!T:T,$AK176)="","",INDEX(LookupData!T:T,$AK176))))</f>
        <v/>
      </c>
      <c r="U176" s="7" t="str">
        <f>IF($AK176="","",IF($AK176=0,"",IF(INDEX(LookupData!U:U,$AK176)="","",INDEX(LookupData!U:U,$AK176))))</f>
        <v/>
      </c>
      <c r="V176" s="7" t="str">
        <f>IF($AK176="","",IF($AK176=0,"",IF(INDEX(LookupData!V:V,$AK176)="","",INDEX(LookupData!V:V,$AK176))))</f>
        <v/>
      </c>
      <c r="W176" t="str">
        <f>IF($AK176="","",IF($AK176=0,"",IF(INDEX(LookupData!W:W,$AK176)="","",INDEX(LookupData!W:W,$AK176))))</f>
        <v/>
      </c>
      <c r="X176" s="7" t="str">
        <f>IF($AK176="","",IF($AK176=0,"",IF(INDEX(LookupData!X:X,$AK176)="","",INDEX(LookupData!X:X,$AK176))))</f>
        <v/>
      </c>
      <c r="Y176" s="7" t="str">
        <f>IF($AK176="","",IF($AK176=0,"",IF(INDEX(LookupData!Y:Y,$AK176)="","",INDEX(LookupData!Y:Y,$AK176))))</f>
        <v/>
      </c>
      <c r="Z176" s="7" t="str">
        <f>IF($AK176="","",IF($AK176=0,"",IF(INDEX(LookupData!Z:Z,$AK176)="","",INDEX(LookupData!Z:Z,$AK176))))</f>
        <v/>
      </c>
      <c r="AA176" s="7" t="str">
        <f>IF($AK176="","",IF($AK176=0,"",IF(INDEX(LookupData!AA:AA,$AK176)="","",INDEX(LookupData!AA:AA,$AK176))))</f>
        <v/>
      </c>
      <c r="AB176" s="7" t="str">
        <f>IF($AK176="","",IF($AK176=0,"",IF(INDEX(LookupData!AB:AB,$AK176)="","",INDEX(LookupData!AB:AB,$AK176))))</f>
        <v/>
      </c>
      <c r="AC176" s="7" t="str">
        <f>IF($AK176="","",IF($AK176=0,"",IF(INDEX(LookupData!AC:AC,$AK176)="","",INDEX(LookupData!AC:AC,$AK176))))</f>
        <v/>
      </c>
      <c r="AD176" s="7" t="str">
        <f>IF($AK176="","",IF($AK176=0,"",IF(INDEX(LookupData!AD:AD,$AK176)="","",INDEX(LookupData!AD:AD,$AK176))))</f>
        <v/>
      </c>
      <c r="AE176" s="7" t="str">
        <f>IF($AK176="","",IF($AK176=0,"",IF(INDEX(LookupData!AE:AE,$AK176)="","",INDEX(LookupData!AE:AE,$AK176))))</f>
        <v/>
      </c>
      <c r="AF176" t="str">
        <f>IF($AK176="","",IF($AK176=0,"",IF(INDEX(LookupData!AF:AF,$AK176)="","",INDEX(LookupData!AF:AF,$AK176))))</f>
        <v/>
      </c>
      <c r="AG176" t="str">
        <f>IF($AK176="","",IF($AK176=0,"",IF(INDEX(LookupData!AG:AG,$AK176)="","",INDEX(LookupData!AG:AG,$AK176))))</f>
        <v/>
      </c>
      <c r="AH176" s="11" t="str">
        <f>IF($AK176="","",IF($AK176=0,"",IF(INDEX(LookupData!AH:AH,$AK176)="","",INDEX(LookupData!AH:AH,$AK176))))</f>
        <v/>
      </c>
      <c r="AI176" s="12" t="str">
        <f>IF($AK176="","",IF($AK176=0,"",IF(INDEX(LookupData!AI:AI,$AK176)="","",HYPERLINK(INDEX(LookupData!AI:AI,$AK176),"Open"))))</f>
        <v/>
      </c>
      <c r="AK176" t="str">
        <f>IF(AL176="","",IFERROR(MATCH(AL176,LookupData!$A:$A,0),0))</f>
        <v/>
      </c>
      <c r="AL176" t="str">
        <f t="shared" si="10"/>
        <v/>
      </c>
      <c r="AM176" t="str">
        <f t="shared" si="11"/>
        <v/>
      </c>
    </row>
    <row r="177" spans="1:39" x14ac:dyDescent="0.2">
      <c r="A177" s="9"/>
      <c r="B177" s="10" t="str">
        <f>IF($AK177="","",IF($AK177=0,"not in the database",IF(INDEX(LookupData!B:B,$AK177)="","",INDEX(LookupData!B:B,$AK177))))</f>
        <v/>
      </c>
      <c r="C177" t="str">
        <f>IF($AK177="","",IF($AK177=0,"",IF(INDEX(LookupData!C:C,$AK177)="","",INDEX(LookupData!C:C,$AK177))))</f>
        <v/>
      </c>
      <c r="D177" t="str">
        <f>IF($AK177="","",IF($AK177=0,"",IF(INDEX(LookupData!D:D,$AK177)="","",INDEX(LookupData!D:D,$AK177))))</f>
        <v/>
      </c>
      <c r="E177" t="str">
        <f>IF($AK177="","",IF($AK177=0,"",IF(INDEX(LookupData!E:E,$AK177)="","",INDEX(LookupData!E:E,$AK177))))</f>
        <v/>
      </c>
      <c r="F177" t="str">
        <f>IF($AK177="","",IF($AK177=0,"",IF(INDEX(LookupData!F:F,$AK177)="","",INDEX(LookupData!F:F,$AK177))))</f>
        <v/>
      </c>
      <c r="G177" t="str">
        <f>IF($AK177="","",IF($AK177=0,"",IF(INDEX(LookupData!G:G,$AK177)="","",INDEX(LookupData!G:G,$AK177))))</f>
        <v/>
      </c>
      <c r="H177" t="str">
        <f>IF($AK177="","",IF($AK177=0,"",IF(INDEX(LookupData!H:H,$AK177)="","",INDEX(LookupData!H:H,$AK177))))</f>
        <v/>
      </c>
      <c r="I177" s="7" t="str">
        <f>IF($AK177="","",IF($AK177=0,"",IF(INDEX(LookupData!I:I,$AK177)="","",INDEX(LookupData!I:I,$AK177))))</f>
        <v/>
      </c>
      <c r="J177" s="7" t="str">
        <f>IF($AK177="","",IF($AK177=0,"",IF(INDEX(LookupData!J:J,$AK177)="","",INDEX(LookupData!J:J,$AK177))))</f>
        <v/>
      </c>
      <c r="K177" s="7" t="str">
        <f>IF($AK177="","",IF($AK177=0,"",IF(INDEX(LookupData!K:K,$AK177)="","",INDEX(LookupData!K:K,$AK177))))</f>
        <v/>
      </c>
      <c r="L177" s="7" t="str">
        <f>IF($AK177="","",IF($AK177=0,"",IF(INDEX(LookupData!L:L,$AK177)="","",INDEX(LookupData!L:L,$AK177))))</f>
        <v/>
      </c>
      <c r="M177" s="7" t="str">
        <f>IF($AK177="","",IF($AK177=0,"",IF(INDEX(LookupData!M:M,$AK177)="","",INDEX(LookupData!M:M,$AK177))))</f>
        <v/>
      </c>
      <c r="N177" s="7" t="str">
        <f>IF($AK177="","",IF($AK177=0,"",IF(INDEX(LookupData!N:N,$AK177)="","",INDEX(LookupData!N:N,$AK177))))</f>
        <v/>
      </c>
      <c r="O177" s="7" t="str">
        <f>IF($AK177="","",IF($AK177=0,"",IF(INDEX(LookupData!O:O,$AK177)="","",INDEX(LookupData!O:O,$AK177))))</f>
        <v/>
      </c>
      <c r="P177" s="7" t="str">
        <f>IF($AK177="","",IF($AK177=0,"",IF(INDEX(LookupData!P:P,$AK177)="","",INDEX(LookupData!P:P,$AK177))))</f>
        <v/>
      </c>
      <c r="Q177" s="7" t="str">
        <f>IF($AK177="","",IF($AK177=0,"",IF(INDEX(LookupData!Q:Q,$AK177)="","",INDEX(LookupData!Q:Q,$AK177))))</f>
        <v/>
      </c>
      <c r="R177" s="7" t="str">
        <f>IF($AK177="","",IF($AK177=0,"",IF(INDEX(LookupData!R:R,$AK177)="","",INDEX(LookupData!R:R,$AK177))))</f>
        <v/>
      </c>
      <c r="S177" s="7" t="str">
        <f>IF($AK177="","",IF($AK177=0,"",IF(INDEX(LookupData!S:S,$AK177)="","",INDEX(LookupData!S:S,$AK177))))</f>
        <v/>
      </c>
      <c r="T177" s="7" t="str">
        <f>IF($AK177="","",IF($AK177=0,"",IF(INDEX(LookupData!T:T,$AK177)="","",INDEX(LookupData!T:T,$AK177))))</f>
        <v/>
      </c>
      <c r="U177" s="7" t="str">
        <f>IF($AK177="","",IF($AK177=0,"",IF(INDEX(LookupData!U:U,$AK177)="","",INDEX(LookupData!U:U,$AK177))))</f>
        <v/>
      </c>
      <c r="V177" s="7" t="str">
        <f>IF($AK177="","",IF($AK177=0,"",IF(INDEX(LookupData!V:V,$AK177)="","",INDEX(LookupData!V:V,$AK177))))</f>
        <v/>
      </c>
      <c r="W177" t="str">
        <f>IF($AK177="","",IF($AK177=0,"",IF(INDEX(LookupData!W:W,$AK177)="","",INDEX(LookupData!W:W,$AK177))))</f>
        <v/>
      </c>
      <c r="X177" s="7" t="str">
        <f>IF($AK177="","",IF($AK177=0,"",IF(INDEX(LookupData!X:X,$AK177)="","",INDEX(LookupData!X:X,$AK177))))</f>
        <v/>
      </c>
      <c r="Y177" s="7" t="str">
        <f>IF($AK177="","",IF($AK177=0,"",IF(INDEX(LookupData!Y:Y,$AK177)="","",INDEX(LookupData!Y:Y,$AK177))))</f>
        <v/>
      </c>
      <c r="Z177" s="7" t="str">
        <f>IF($AK177="","",IF($AK177=0,"",IF(INDEX(LookupData!Z:Z,$AK177)="","",INDEX(LookupData!Z:Z,$AK177))))</f>
        <v/>
      </c>
      <c r="AA177" s="7" t="str">
        <f>IF($AK177="","",IF($AK177=0,"",IF(INDEX(LookupData!AA:AA,$AK177)="","",INDEX(LookupData!AA:AA,$AK177))))</f>
        <v/>
      </c>
      <c r="AB177" s="7" t="str">
        <f>IF($AK177="","",IF($AK177=0,"",IF(INDEX(LookupData!AB:AB,$AK177)="","",INDEX(LookupData!AB:AB,$AK177))))</f>
        <v/>
      </c>
      <c r="AC177" s="7" t="str">
        <f>IF($AK177="","",IF($AK177=0,"",IF(INDEX(LookupData!AC:AC,$AK177)="","",INDEX(LookupData!AC:AC,$AK177))))</f>
        <v/>
      </c>
      <c r="AD177" s="7" t="str">
        <f>IF($AK177="","",IF($AK177=0,"",IF(INDEX(LookupData!AD:AD,$AK177)="","",INDEX(LookupData!AD:AD,$AK177))))</f>
        <v/>
      </c>
      <c r="AE177" s="7" t="str">
        <f>IF($AK177="","",IF($AK177=0,"",IF(INDEX(LookupData!AE:AE,$AK177)="","",INDEX(LookupData!AE:AE,$AK177))))</f>
        <v/>
      </c>
      <c r="AF177" t="str">
        <f>IF($AK177="","",IF($AK177=0,"",IF(INDEX(LookupData!AF:AF,$AK177)="","",INDEX(LookupData!AF:AF,$AK177))))</f>
        <v/>
      </c>
      <c r="AG177" t="str">
        <f>IF($AK177="","",IF($AK177=0,"",IF(INDEX(LookupData!AG:AG,$AK177)="","",INDEX(LookupData!AG:AG,$AK177))))</f>
        <v/>
      </c>
      <c r="AH177" s="11" t="str">
        <f>IF($AK177="","",IF($AK177=0,"",IF(INDEX(LookupData!AH:AH,$AK177)="","",INDEX(LookupData!AH:AH,$AK177))))</f>
        <v/>
      </c>
      <c r="AI177" s="12" t="str">
        <f>IF($AK177="","",IF($AK177=0,"",IF(INDEX(LookupData!AI:AI,$AK177)="","",HYPERLINK(INDEX(LookupData!AI:AI,$AK177),"Open"))))</f>
        <v/>
      </c>
      <c r="AK177" t="str">
        <f>IF(AL177="","",IFERROR(MATCH(AL177,LookupData!$A:$A,0),0))</f>
        <v/>
      </c>
      <c r="AL177" t="str">
        <f t="shared" si="10"/>
        <v/>
      </c>
      <c r="AM177" t="str">
        <f t="shared" si="11"/>
        <v/>
      </c>
    </row>
    <row r="178" spans="1:39" x14ac:dyDescent="0.2">
      <c r="A178" s="9"/>
      <c r="B178" s="10" t="str">
        <f>IF($AK178="","",IF($AK178=0,"not in the database",IF(INDEX(LookupData!B:B,$AK178)="","",INDEX(LookupData!B:B,$AK178))))</f>
        <v/>
      </c>
      <c r="C178" t="str">
        <f>IF($AK178="","",IF($AK178=0,"",IF(INDEX(LookupData!C:C,$AK178)="","",INDEX(LookupData!C:C,$AK178))))</f>
        <v/>
      </c>
      <c r="D178" t="str">
        <f>IF($AK178="","",IF($AK178=0,"",IF(INDEX(LookupData!D:D,$AK178)="","",INDEX(LookupData!D:D,$AK178))))</f>
        <v/>
      </c>
      <c r="E178" t="str">
        <f>IF($AK178="","",IF($AK178=0,"",IF(INDEX(LookupData!E:E,$AK178)="","",INDEX(LookupData!E:E,$AK178))))</f>
        <v/>
      </c>
      <c r="F178" t="str">
        <f>IF($AK178="","",IF($AK178=0,"",IF(INDEX(LookupData!F:F,$AK178)="","",INDEX(LookupData!F:F,$AK178))))</f>
        <v/>
      </c>
      <c r="G178" t="str">
        <f>IF($AK178="","",IF($AK178=0,"",IF(INDEX(LookupData!G:G,$AK178)="","",INDEX(LookupData!G:G,$AK178))))</f>
        <v/>
      </c>
      <c r="H178" t="str">
        <f>IF($AK178="","",IF($AK178=0,"",IF(INDEX(LookupData!H:H,$AK178)="","",INDEX(LookupData!H:H,$AK178))))</f>
        <v/>
      </c>
      <c r="I178" s="7" t="str">
        <f>IF($AK178="","",IF($AK178=0,"",IF(INDEX(LookupData!I:I,$AK178)="","",INDEX(LookupData!I:I,$AK178))))</f>
        <v/>
      </c>
      <c r="J178" s="7" t="str">
        <f>IF($AK178="","",IF($AK178=0,"",IF(INDEX(LookupData!J:J,$AK178)="","",INDEX(LookupData!J:J,$AK178))))</f>
        <v/>
      </c>
      <c r="K178" s="7" t="str">
        <f>IF($AK178="","",IF($AK178=0,"",IF(INDEX(LookupData!K:K,$AK178)="","",INDEX(LookupData!K:K,$AK178))))</f>
        <v/>
      </c>
      <c r="L178" s="7" t="str">
        <f>IF($AK178="","",IF($AK178=0,"",IF(INDEX(LookupData!L:L,$AK178)="","",INDEX(LookupData!L:L,$AK178))))</f>
        <v/>
      </c>
      <c r="M178" s="7" t="str">
        <f>IF($AK178="","",IF($AK178=0,"",IF(INDEX(LookupData!M:M,$AK178)="","",INDEX(LookupData!M:M,$AK178))))</f>
        <v/>
      </c>
      <c r="N178" s="7" t="str">
        <f>IF($AK178="","",IF($AK178=0,"",IF(INDEX(LookupData!N:N,$AK178)="","",INDEX(LookupData!N:N,$AK178))))</f>
        <v/>
      </c>
      <c r="O178" s="7" t="str">
        <f>IF($AK178="","",IF($AK178=0,"",IF(INDEX(LookupData!O:O,$AK178)="","",INDEX(LookupData!O:O,$AK178))))</f>
        <v/>
      </c>
      <c r="P178" s="7" t="str">
        <f>IF($AK178="","",IF($AK178=0,"",IF(INDEX(LookupData!P:P,$AK178)="","",INDEX(LookupData!P:P,$AK178))))</f>
        <v/>
      </c>
      <c r="Q178" s="7" t="str">
        <f>IF($AK178="","",IF($AK178=0,"",IF(INDEX(LookupData!Q:Q,$AK178)="","",INDEX(LookupData!Q:Q,$AK178))))</f>
        <v/>
      </c>
      <c r="R178" s="7" t="str">
        <f>IF($AK178="","",IF($AK178=0,"",IF(INDEX(LookupData!R:R,$AK178)="","",INDEX(LookupData!R:R,$AK178))))</f>
        <v/>
      </c>
      <c r="S178" s="7" t="str">
        <f>IF($AK178="","",IF($AK178=0,"",IF(INDEX(LookupData!S:S,$AK178)="","",INDEX(LookupData!S:S,$AK178))))</f>
        <v/>
      </c>
      <c r="T178" s="7" t="str">
        <f>IF($AK178="","",IF($AK178=0,"",IF(INDEX(LookupData!T:T,$AK178)="","",INDEX(LookupData!T:T,$AK178))))</f>
        <v/>
      </c>
      <c r="U178" s="7" t="str">
        <f>IF($AK178="","",IF($AK178=0,"",IF(INDEX(LookupData!U:U,$AK178)="","",INDEX(LookupData!U:U,$AK178))))</f>
        <v/>
      </c>
      <c r="V178" s="7" t="str">
        <f>IF($AK178="","",IF($AK178=0,"",IF(INDEX(LookupData!V:V,$AK178)="","",INDEX(LookupData!V:V,$AK178))))</f>
        <v/>
      </c>
      <c r="W178" t="str">
        <f>IF($AK178="","",IF($AK178=0,"",IF(INDEX(LookupData!W:W,$AK178)="","",INDEX(LookupData!W:W,$AK178))))</f>
        <v/>
      </c>
      <c r="X178" s="7" t="str">
        <f>IF($AK178="","",IF($AK178=0,"",IF(INDEX(LookupData!X:X,$AK178)="","",INDEX(LookupData!X:X,$AK178))))</f>
        <v/>
      </c>
      <c r="Y178" s="7" t="str">
        <f>IF($AK178="","",IF($AK178=0,"",IF(INDEX(LookupData!Y:Y,$AK178)="","",INDEX(LookupData!Y:Y,$AK178))))</f>
        <v/>
      </c>
      <c r="Z178" s="7" t="str">
        <f>IF($AK178="","",IF($AK178=0,"",IF(INDEX(LookupData!Z:Z,$AK178)="","",INDEX(LookupData!Z:Z,$AK178))))</f>
        <v/>
      </c>
      <c r="AA178" s="7" t="str">
        <f>IF($AK178="","",IF($AK178=0,"",IF(INDEX(LookupData!AA:AA,$AK178)="","",INDEX(LookupData!AA:AA,$AK178))))</f>
        <v/>
      </c>
      <c r="AB178" s="7" t="str">
        <f>IF($AK178="","",IF($AK178=0,"",IF(INDEX(LookupData!AB:AB,$AK178)="","",INDEX(LookupData!AB:AB,$AK178))))</f>
        <v/>
      </c>
      <c r="AC178" s="7" t="str">
        <f>IF($AK178="","",IF($AK178=0,"",IF(INDEX(LookupData!AC:AC,$AK178)="","",INDEX(LookupData!AC:AC,$AK178))))</f>
        <v/>
      </c>
      <c r="AD178" s="7" t="str">
        <f>IF($AK178="","",IF($AK178=0,"",IF(INDEX(LookupData!AD:AD,$AK178)="","",INDEX(LookupData!AD:AD,$AK178))))</f>
        <v/>
      </c>
      <c r="AE178" s="7" t="str">
        <f>IF($AK178="","",IF($AK178=0,"",IF(INDEX(LookupData!AE:AE,$AK178)="","",INDEX(LookupData!AE:AE,$AK178))))</f>
        <v/>
      </c>
      <c r="AF178" t="str">
        <f>IF($AK178="","",IF($AK178=0,"",IF(INDEX(LookupData!AF:AF,$AK178)="","",INDEX(LookupData!AF:AF,$AK178))))</f>
        <v/>
      </c>
      <c r="AG178" t="str">
        <f>IF($AK178="","",IF($AK178=0,"",IF(INDEX(LookupData!AG:AG,$AK178)="","",INDEX(LookupData!AG:AG,$AK178))))</f>
        <v/>
      </c>
      <c r="AH178" s="11" t="str">
        <f>IF($AK178="","",IF($AK178=0,"",IF(INDEX(LookupData!AH:AH,$AK178)="","",INDEX(LookupData!AH:AH,$AK178))))</f>
        <v/>
      </c>
      <c r="AI178" s="12" t="str">
        <f>IF($AK178="","",IF($AK178=0,"",IF(INDEX(LookupData!AI:AI,$AK178)="","",HYPERLINK(INDEX(LookupData!AI:AI,$AK178),"Open"))))</f>
        <v/>
      </c>
      <c r="AK178" t="str">
        <f>IF(AL178="","",IFERROR(MATCH(AL178,LookupData!$A:$A,0),0))</f>
        <v/>
      </c>
      <c r="AL178" t="str">
        <f t="shared" si="10"/>
        <v/>
      </c>
      <c r="AM178" t="str">
        <f t="shared" si="11"/>
        <v/>
      </c>
    </row>
    <row r="179" spans="1:39" x14ac:dyDescent="0.2">
      <c r="A179" s="9"/>
      <c r="B179" s="10" t="str">
        <f>IF($AK179="","",IF($AK179=0,"not in the database",IF(INDEX(LookupData!B:B,$AK179)="","",INDEX(LookupData!B:B,$AK179))))</f>
        <v/>
      </c>
      <c r="C179" t="str">
        <f>IF($AK179="","",IF($AK179=0,"",IF(INDEX(LookupData!C:C,$AK179)="","",INDEX(LookupData!C:C,$AK179))))</f>
        <v/>
      </c>
      <c r="D179" t="str">
        <f>IF($AK179="","",IF($AK179=0,"",IF(INDEX(LookupData!D:D,$AK179)="","",INDEX(LookupData!D:D,$AK179))))</f>
        <v/>
      </c>
      <c r="E179" t="str">
        <f>IF($AK179="","",IF($AK179=0,"",IF(INDEX(LookupData!E:E,$AK179)="","",INDEX(LookupData!E:E,$AK179))))</f>
        <v/>
      </c>
      <c r="F179" t="str">
        <f>IF($AK179="","",IF($AK179=0,"",IF(INDEX(LookupData!F:F,$AK179)="","",INDEX(LookupData!F:F,$AK179))))</f>
        <v/>
      </c>
      <c r="G179" t="str">
        <f>IF($AK179="","",IF($AK179=0,"",IF(INDEX(LookupData!G:G,$AK179)="","",INDEX(LookupData!G:G,$AK179))))</f>
        <v/>
      </c>
      <c r="H179" t="str">
        <f>IF($AK179="","",IF($AK179=0,"",IF(INDEX(LookupData!H:H,$AK179)="","",INDEX(LookupData!H:H,$AK179))))</f>
        <v/>
      </c>
      <c r="I179" s="7" t="str">
        <f>IF($AK179="","",IF($AK179=0,"",IF(INDEX(LookupData!I:I,$AK179)="","",INDEX(LookupData!I:I,$AK179))))</f>
        <v/>
      </c>
      <c r="J179" s="7" t="str">
        <f>IF($AK179="","",IF($AK179=0,"",IF(INDEX(LookupData!J:J,$AK179)="","",INDEX(LookupData!J:J,$AK179))))</f>
        <v/>
      </c>
      <c r="K179" s="7" t="str">
        <f>IF($AK179="","",IF($AK179=0,"",IF(INDEX(LookupData!K:K,$AK179)="","",INDEX(LookupData!K:K,$AK179))))</f>
        <v/>
      </c>
      <c r="L179" s="7" t="str">
        <f>IF($AK179="","",IF($AK179=0,"",IF(INDEX(LookupData!L:L,$AK179)="","",INDEX(LookupData!L:L,$AK179))))</f>
        <v/>
      </c>
      <c r="M179" s="7" t="str">
        <f>IF($AK179="","",IF($AK179=0,"",IF(INDEX(LookupData!M:M,$AK179)="","",INDEX(LookupData!M:M,$AK179))))</f>
        <v/>
      </c>
      <c r="N179" s="7" t="str">
        <f>IF($AK179="","",IF($AK179=0,"",IF(INDEX(LookupData!N:N,$AK179)="","",INDEX(LookupData!N:N,$AK179))))</f>
        <v/>
      </c>
      <c r="O179" s="7" t="str">
        <f>IF($AK179="","",IF($AK179=0,"",IF(INDEX(LookupData!O:O,$AK179)="","",INDEX(LookupData!O:O,$AK179))))</f>
        <v/>
      </c>
      <c r="P179" s="7" t="str">
        <f>IF($AK179="","",IF($AK179=0,"",IF(INDEX(LookupData!P:P,$AK179)="","",INDEX(LookupData!P:P,$AK179))))</f>
        <v/>
      </c>
      <c r="Q179" s="7" t="str">
        <f>IF($AK179="","",IF($AK179=0,"",IF(INDEX(LookupData!Q:Q,$AK179)="","",INDEX(LookupData!Q:Q,$AK179))))</f>
        <v/>
      </c>
      <c r="R179" s="7" t="str">
        <f>IF($AK179="","",IF($AK179=0,"",IF(INDEX(LookupData!R:R,$AK179)="","",INDEX(LookupData!R:R,$AK179))))</f>
        <v/>
      </c>
      <c r="S179" s="7" t="str">
        <f>IF($AK179="","",IF($AK179=0,"",IF(INDEX(LookupData!S:S,$AK179)="","",INDEX(LookupData!S:S,$AK179))))</f>
        <v/>
      </c>
      <c r="T179" s="7" t="str">
        <f>IF($AK179="","",IF($AK179=0,"",IF(INDEX(LookupData!T:T,$AK179)="","",INDEX(LookupData!T:T,$AK179))))</f>
        <v/>
      </c>
      <c r="U179" s="7" t="str">
        <f>IF($AK179="","",IF($AK179=0,"",IF(INDEX(LookupData!U:U,$AK179)="","",INDEX(LookupData!U:U,$AK179))))</f>
        <v/>
      </c>
      <c r="V179" s="7" t="str">
        <f>IF($AK179="","",IF($AK179=0,"",IF(INDEX(LookupData!V:V,$AK179)="","",INDEX(LookupData!V:V,$AK179))))</f>
        <v/>
      </c>
      <c r="W179" t="str">
        <f>IF($AK179="","",IF($AK179=0,"",IF(INDEX(LookupData!W:W,$AK179)="","",INDEX(LookupData!W:W,$AK179))))</f>
        <v/>
      </c>
      <c r="X179" s="7" t="str">
        <f>IF($AK179="","",IF($AK179=0,"",IF(INDEX(LookupData!X:X,$AK179)="","",INDEX(LookupData!X:X,$AK179))))</f>
        <v/>
      </c>
      <c r="Y179" s="7" t="str">
        <f>IF($AK179="","",IF($AK179=0,"",IF(INDEX(LookupData!Y:Y,$AK179)="","",INDEX(LookupData!Y:Y,$AK179))))</f>
        <v/>
      </c>
      <c r="Z179" s="7" t="str">
        <f>IF($AK179="","",IF($AK179=0,"",IF(INDEX(LookupData!Z:Z,$AK179)="","",INDEX(LookupData!Z:Z,$AK179))))</f>
        <v/>
      </c>
      <c r="AA179" s="7" t="str">
        <f>IF($AK179="","",IF($AK179=0,"",IF(INDEX(LookupData!AA:AA,$AK179)="","",INDEX(LookupData!AA:AA,$AK179))))</f>
        <v/>
      </c>
      <c r="AB179" s="7" t="str">
        <f>IF($AK179="","",IF($AK179=0,"",IF(INDEX(LookupData!AB:AB,$AK179)="","",INDEX(LookupData!AB:AB,$AK179))))</f>
        <v/>
      </c>
      <c r="AC179" s="7" t="str">
        <f>IF($AK179="","",IF($AK179=0,"",IF(INDEX(LookupData!AC:AC,$AK179)="","",INDEX(LookupData!AC:AC,$AK179))))</f>
        <v/>
      </c>
      <c r="AD179" s="7" t="str">
        <f>IF($AK179="","",IF($AK179=0,"",IF(INDEX(LookupData!AD:AD,$AK179)="","",INDEX(LookupData!AD:AD,$AK179))))</f>
        <v/>
      </c>
      <c r="AE179" s="7" t="str">
        <f>IF($AK179="","",IF($AK179=0,"",IF(INDEX(LookupData!AE:AE,$AK179)="","",INDEX(LookupData!AE:AE,$AK179))))</f>
        <v/>
      </c>
      <c r="AF179" t="str">
        <f>IF($AK179="","",IF($AK179=0,"",IF(INDEX(LookupData!AF:AF,$AK179)="","",INDEX(LookupData!AF:AF,$AK179))))</f>
        <v/>
      </c>
      <c r="AG179" t="str">
        <f>IF($AK179="","",IF($AK179=0,"",IF(INDEX(LookupData!AG:AG,$AK179)="","",INDEX(LookupData!AG:AG,$AK179))))</f>
        <v/>
      </c>
      <c r="AH179" s="11" t="str">
        <f>IF($AK179="","",IF($AK179=0,"",IF(INDEX(LookupData!AH:AH,$AK179)="","",INDEX(LookupData!AH:AH,$AK179))))</f>
        <v/>
      </c>
      <c r="AI179" s="12" t="str">
        <f>IF($AK179="","",IF($AK179=0,"",IF(INDEX(LookupData!AI:AI,$AK179)="","",HYPERLINK(INDEX(LookupData!AI:AI,$AK179),"Open"))))</f>
        <v/>
      </c>
      <c r="AK179" t="str">
        <f>IF(AL179="","",IFERROR(MATCH(AL179,LookupData!$A:$A,0),0))</f>
        <v/>
      </c>
      <c r="AL179" t="str">
        <f t="shared" si="10"/>
        <v/>
      </c>
      <c r="AM179" t="str">
        <f t="shared" si="11"/>
        <v/>
      </c>
    </row>
    <row r="180" spans="1:39" x14ac:dyDescent="0.2">
      <c r="A180" s="9"/>
      <c r="B180" s="10" t="str">
        <f>IF($AK180="","",IF($AK180=0,"not in the database",IF(INDEX(LookupData!B:B,$AK180)="","",INDEX(LookupData!B:B,$AK180))))</f>
        <v/>
      </c>
      <c r="C180" t="str">
        <f>IF($AK180="","",IF($AK180=0,"",IF(INDEX(LookupData!C:C,$AK180)="","",INDEX(LookupData!C:C,$AK180))))</f>
        <v/>
      </c>
      <c r="D180" t="str">
        <f>IF($AK180="","",IF($AK180=0,"",IF(INDEX(LookupData!D:D,$AK180)="","",INDEX(LookupData!D:D,$AK180))))</f>
        <v/>
      </c>
      <c r="E180" t="str">
        <f>IF($AK180="","",IF($AK180=0,"",IF(INDEX(LookupData!E:E,$AK180)="","",INDEX(LookupData!E:E,$AK180))))</f>
        <v/>
      </c>
      <c r="F180" t="str">
        <f>IF($AK180="","",IF($AK180=0,"",IF(INDEX(LookupData!F:F,$AK180)="","",INDEX(LookupData!F:F,$AK180))))</f>
        <v/>
      </c>
      <c r="G180" t="str">
        <f>IF($AK180="","",IF($AK180=0,"",IF(INDEX(LookupData!G:G,$AK180)="","",INDEX(LookupData!G:G,$AK180))))</f>
        <v/>
      </c>
      <c r="H180" t="str">
        <f>IF($AK180="","",IF($AK180=0,"",IF(INDEX(LookupData!H:H,$AK180)="","",INDEX(LookupData!H:H,$AK180))))</f>
        <v/>
      </c>
      <c r="I180" s="7" t="str">
        <f>IF($AK180="","",IF($AK180=0,"",IF(INDEX(LookupData!I:I,$AK180)="","",INDEX(LookupData!I:I,$AK180))))</f>
        <v/>
      </c>
      <c r="J180" s="7" t="str">
        <f>IF($AK180="","",IF($AK180=0,"",IF(INDEX(LookupData!J:J,$AK180)="","",INDEX(LookupData!J:J,$AK180))))</f>
        <v/>
      </c>
      <c r="K180" s="7" t="str">
        <f>IF($AK180="","",IF($AK180=0,"",IF(INDEX(LookupData!K:K,$AK180)="","",INDEX(LookupData!K:K,$AK180))))</f>
        <v/>
      </c>
      <c r="L180" s="7" t="str">
        <f>IF($AK180="","",IF($AK180=0,"",IF(INDEX(LookupData!L:L,$AK180)="","",INDEX(LookupData!L:L,$AK180))))</f>
        <v/>
      </c>
      <c r="M180" s="7" t="str">
        <f>IF($AK180="","",IF($AK180=0,"",IF(INDEX(LookupData!M:M,$AK180)="","",INDEX(LookupData!M:M,$AK180))))</f>
        <v/>
      </c>
      <c r="N180" s="7" t="str">
        <f>IF($AK180="","",IF($AK180=0,"",IF(INDEX(LookupData!N:N,$AK180)="","",INDEX(LookupData!N:N,$AK180))))</f>
        <v/>
      </c>
      <c r="O180" s="7" t="str">
        <f>IF($AK180="","",IF($AK180=0,"",IF(INDEX(LookupData!O:O,$AK180)="","",INDEX(LookupData!O:O,$AK180))))</f>
        <v/>
      </c>
      <c r="P180" s="7" t="str">
        <f>IF($AK180="","",IF($AK180=0,"",IF(INDEX(LookupData!P:P,$AK180)="","",INDEX(LookupData!P:P,$AK180))))</f>
        <v/>
      </c>
      <c r="Q180" s="7" t="str">
        <f>IF($AK180="","",IF($AK180=0,"",IF(INDEX(LookupData!Q:Q,$AK180)="","",INDEX(LookupData!Q:Q,$AK180))))</f>
        <v/>
      </c>
      <c r="R180" s="7" t="str">
        <f>IF($AK180="","",IF($AK180=0,"",IF(INDEX(LookupData!R:R,$AK180)="","",INDEX(LookupData!R:R,$AK180))))</f>
        <v/>
      </c>
      <c r="S180" s="7" t="str">
        <f>IF($AK180="","",IF($AK180=0,"",IF(INDEX(LookupData!S:S,$AK180)="","",INDEX(LookupData!S:S,$AK180))))</f>
        <v/>
      </c>
      <c r="T180" s="7" t="str">
        <f>IF($AK180="","",IF($AK180=0,"",IF(INDEX(LookupData!T:T,$AK180)="","",INDEX(LookupData!T:T,$AK180))))</f>
        <v/>
      </c>
      <c r="U180" s="7" t="str">
        <f>IF($AK180="","",IF($AK180=0,"",IF(INDEX(LookupData!U:U,$AK180)="","",INDEX(LookupData!U:U,$AK180))))</f>
        <v/>
      </c>
      <c r="V180" s="7" t="str">
        <f>IF($AK180="","",IF($AK180=0,"",IF(INDEX(LookupData!V:V,$AK180)="","",INDEX(LookupData!V:V,$AK180))))</f>
        <v/>
      </c>
      <c r="W180" t="str">
        <f>IF($AK180="","",IF($AK180=0,"",IF(INDEX(LookupData!W:W,$AK180)="","",INDEX(LookupData!W:W,$AK180))))</f>
        <v/>
      </c>
      <c r="X180" s="7" t="str">
        <f>IF($AK180="","",IF($AK180=0,"",IF(INDEX(LookupData!X:X,$AK180)="","",INDEX(LookupData!X:X,$AK180))))</f>
        <v/>
      </c>
      <c r="Y180" s="7" t="str">
        <f>IF($AK180="","",IF($AK180=0,"",IF(INDEX(LookupData!Y:Y,$AK180)="","",INDEX(LookupData!Y:Y,$AK180))))</f>
        <v/>
      </c>
      <c r="Z180" s="7" t="str">
        <f>IF($AK180="","",IF($AK180=0,"",IF(INDEX(LookupData!Z:Z,$AK180)="","",INDEX(LookupData!Z:Z,$AK180))))</f>
        <v/>
      </c>
      <c r="AA180" s="7" t="str">
        <f>IF($AK180="","",IF($AK180=0,"",IF(INDEX(LookupData!AA:AA,$AK180)="","",INDEX(LookupData!AA:AA,$AK180))))</f>
        <v/>
      </c>
      <c r="AB180" s="7" t="str">
        <f>IF($AK180="","",IF($AK180=0,"",IF(INDEX(LookupData!AB:AB,$AK180)="","",INDEX(LookupData!AB:AB,$AK180))))</f>
        <v/>
      </c>
      <c r="AC180" s="7" t="str">
        <f>IF($AK180="","",IF($AK180=0,"",IF(INDEX(LookupData!AC:AC,$AK180)="","",INDEX(LookupData!AC:AC,$AK180))))</f>
        <v/>
      </c>
      <c r="AD180" s="7" t="str">
        <f>IF($AK180="","",IF($AK180=0,"",IF(INDEX(LookupData!AD:AD,$AK180)="","",INDEX(LookupData!AD:AD,$AK180))))</f>
        <v/>
      </c>
      <c r="AE180" s="7" t="str">
        <f>IF($AK180="","",IF($AK180=0,"",IF(INDEX(LookupData!AE:AE,$AK180)="","",INDEX(LookupData!AE:AE,$AK180))))</f>
        <v/>
      </c>
      <c r="AF180" t="str">
        <f>IF($AK180="","",IF($AK180=0,"",IF(INDEX(LookupData!AF:AF,$AK180)="","",INDEX(LookupData!AF:AF,$AK180))))</f>
        <v/>
      </c>
      <c r="AG180" t="str">
        <f>IF($AK180="","",IF($AK180=0,"",IF(INDEX(LookupData!AG:AG,$AK180)="","",INDEX(LookupData!AG:AG,$AK180))))</f>
        <v/>
      </c>
      <c r="AH180" s="11" t="str">
        <f>IF($AK180="","",IF($AK180=0,"",IF(INDEX(LookupData!AH:AH,$AK180)="","",INDEX(LookupData!AH:AH,$AK180))))</f>
        <v/>
      </c>
      <c r="AI180" s="12" t="str">
        <f>IF($AK180="","",IF($AK180=0,"",IF(INDEX(LookupData!AI:AI,$AK180)="","",HYPERLINK(INDEX(LookupData!AI:AI,$AK180),"Open"))))</f>
        <v/>
      </c>
      <c r="AK180" t="str">
        <f>IF(AL180="","",IFERROR(MATCH(AL180,LookupData!$A:$A,0),0))</f>
        <v/>
      </c>
      <c r="AL180" t="str">
        <f t="shared" si="10"/>
        <v/>
      </c>
      <c r="AM180" t="str">
        <f t="shared" si="11"/>
        <v/>
      </c>
    </row>
    <row r="181" spans="1:39" x14ac:dyDescent="0.2">
      <c r="A181" s="9"/>
      <c r="B181" s="10" t="str">
        <f>IF($AK181="","",IF($AK181=0,"not in the database",IF(INDEX(LookupData!B:B,$AK181)="","",INDEX(LookupData!B:B,$AK181))))</f>
        <v/>
      </c>
      <c r="C181" t="str">
        <f>IF($AK181="","",IF($AK181=0,"",IF(INDEX(LookupData!C:C,$AK181)="","",INDEX(LookupData!C:C,$AK181))))</f>
        <v/>
      </c>
      <c r="D181" t="str">
        <f>IF($AK181="","",IF($AK181=0,"",IF(INDEX(LookupData!D:D,$AK181)="","",INDEX(LookupData!D:D,$AK181))))</f>
        <v/>
      </c>
      <c r="E181" t="str">
        <f>IF($AK181="","",IF($AK181=0,"",IF(INDEX(LookupData!E:E,$AK181)="","",INDEX(LookupData!E:E,$AK181))))</f>
        <v/>
      </c>
      <c r="F181" t="str">
        <f>IF($AK181="","",IF($AK181=0,"",IF(INDEX(LookupData!F:F,$AK181)="","",INDEX(LookupData!F:F,$AK181))))</f>
        <v/>
      </c>
      <c r="G181" t="str">
        <f>IF($AK181="","",IF($AK181=0,"",IF(INDEX(LookupData!G:G,$AK181)="","",INDEX(LookupData!G:G,$AK181))))</f>
        <v/>
      </c>
      <c r="H181" t="str">
        <f>IF($AK181="","",IF($AK181=0,"",IF(INDEX(LookupData!H:H,$AK181)="","",INDEX(LookupData!H:H,$AK181))))</f>
        <v/>
      </c>
      <c r="I181" s="7" t="str">
        <f>IF($AK181="","",IF($AK181=0,"",IF(INDEX(LookupData!I:I,$AK181)="","",INDEX(LookupData!I:I,$AK181))))</f>
        <v/>
      </c>
      <c r="J181" s="7" t="str">
        <f>IF($AK181="","",IF($AK181=0,"",IF(INDEX(LookupData!J:J,$AK181)="","",INDEX(LookupData!J:J,$AK181))))</f>
        <v/>
      </c>
      <c r="K181" s="7" t="str">
        <f>IF($AK181="","",IF($AK181=0,"",IF(INDEX(LookupData!K:K,$AK181)="","",INDEX(LookupData!K:K,$AK181))))</f>
        <v/>
      </c>
      <c r="L181" s="7" t="str">
        <f>IF($AK181="","",IF($AK181=0,"",IF(INDEX(LookupData!L:L,$AK181)="","",INDEX(LookupData!L:L,$AK181))))</f>
        <v/>
      </c>
      <c r="M181" s="7" t="str">
        <f>IF($AK181="","",IF($AK181=0,"",IF(INDEX(LookupData!M:M,$AK181)="","",INDEX(LookupData!M:M,$AK181))))</f>
        <v/>
      </c>
      <c r="N181" s="7" t="str">
        <f>IF($AK181="","",IF($AK181=0,"",IF(INDEX(LookupData!N:N,$AK181)="","",INDEX(LookupData!N:N,$AK181))))</f>
        <v/>
      </c>
      <c r="O181" s="7" t="str">
        <f>IF($AK181="","",IF($AK181=0,"",IF(INDEX(LookupData!O:O,$AK181)="","",INDEX(LookupData!O:O,$AK181))))</f>
        <v/>
      </c>
      <c r="P181" s="7" t="str">
        <f>IF($AK181="","",IF($AK181=0,"",IF(INDEX(LookupData!P:P,$AK181)="","",INDEX(LookupData!P:P,$AK181))))</f>
        <v/>
      </c>
      <c r="Q181" s="7" t="str">
        <f>IF($AK181="","",IF($AK181=0,"",IF(INDEX(LookupData!Q:Q,$AK181)="","",INDEX(LookupData!Q:Q,$AK181))))</f>
        <v/>
      </c>
      <c r="R181" s="7" t="str">
        <f>IF($AK181="","",IF($AK181=0,"",IF(INDEX(LookupData!R:R,$AK181)="","",INDEX(LookupData!R:R,$AK181))))</f>
        <v/>
      </c>
      <c r="S181" s="7" t="str">
        <f>IF($AK181="","",IF($AK181=0,"",IF(INDEX(LookupData!S:S,$AK181)="","",INDEX(LookupData!S:S,$AK181))))</f>
        <v/>
      </c>
      <c r="T181" s="7" t="str">
        <f>IF($AK181="","",IF($AK181=0,"",IF(INDEX(LookupData!T:T,$AK181)="","",INDEX(LookupData!T:T,$AK181))))</f>
        <v/>
      </c>
      <c r="U181" s="7" t="str">
        <f>IF($AK181="","",IF($AK181=0,"",IF(INDEX(LookupData!U:U,$AK181)="","",INDEX(LookupData!U:U,$AK181))))</f>
        <v/>
      </c>
      <c r="V181" s="7" t="str">
        <f>IF($AK181="","",IF($AK181=0,"",IF(INDEX(LookupData!V:V,$AK181)="","",INDEX(LookupData!V:V,$AK181))))</f>
        <v/>
      </c>
      <c r="W181" t="str">
        <f>IF($AK181="","",IF($AK181=0,"",IF(INDEX(LookupData!W:W,$AK181)="","",INDEX(LookupData!W:W,$AK181))))</f>
        <v/>
      </c>
      <c r="X181" s="7" t="str">
        <f>IF($AK181="","",IF($AK181=0,"",IF(INDEX(LookupData!X:X,$AK181)="","",INDEX(LookupData!X:X,$AK181))))</f>
        <v/>
      </c>
      <c r="Y181" s="7" t="str">
        <f>IF($AK181="","",IF($AK181=0,"",IF(INDEX(LookupData!Y:Y,$AK181)="","",INDEX(LookupData!Y:Y,$AK181))))</f>
        <v/>
      </c>
      <c r="Z181" s="7" t="str">
        <f>IF($AK181="","",IF($AK181=0,"",IF(INDEX(LookupData!Z:Z,$AK181)="","",INDEX(LookupData!Z:Z,$AK181))))</f>
        <v/>
      </c>
      <c r="AA181" s="7" t="str">
        <f>IF($AK181="","",IF($AK181=0,"",IF(INDEX(LookupData!AA:AA,$AK181)="","",INDEX(LookupData!AA:AA,$AK181))))</f>
        <v/>
      </c>
      <c r="AB181" s="7" t="str">
        <f>IF($AK181="","",IF($AK181=0,"",IF(INDEX(LookupData!AB:AB,$AK181)="","",INDEX(LookupData!AB:AB,$AK181))))</f>
        <v/>
      </c>
      <c r="AC181" s="7" t="str">
        <f>IF($AK181="","",IF($AK181=0,"",IF(INDEX(LookupData!AC:AC,$AK181)="","",INDEX(LookupData!AC:AC,$AK181))))</f>
        <v/>
      </c>
      <c r="AD181" s="7" t="str">
        <f>IF($AK181="","",IF($AK181=0,"",IF(INDEX(LookupData!AD:AD,$AK181)="","",INDEX(LookupData!AD:AD,$AK181))))</f>
        <v/>
      </c>
      <c r="AE181" s="7" t="str">
        <f>IF($AK181="","",IF($AK181=0,"",IF(INDEX(LookupData!AE:AE,$AK181)="","",INDEX(LookupData!AE:AE,$AK181))))</f>
        <v/>
      </c>
      <c r="AF181" t="str">
        <f>IF($AK181="","",IF($AK181=0,"",IF(INDEX(LookupData!AF:AF,$AK181)="","",INDEX(LookupData!AF:AF,$AK181))))</f>
        <v/>
      </c>
      <c r="AG181" t="str">
        <f>IF($AK181="","",IF($AK181=0,"",IF(INDEX(LookupData!AG:AG,$AK181)="","",INDEX(LookupData!AG:AG,$AK181))))</f>
        <v/>
      </c>
      <c r="AH181" s="11" t="str">
        <f>IF($AK181="","",IF($AK181=0,"",IF(INDEX(LookupData!AH:AH,$AK181)="","",INDEX(LookupData!AH:AH,$AK181))))</f>
        <v/>
      </c>
      <c r="AI181" s="12" t="str">
        <f>IF($AK181="","",IF($AK181=0,"",IF(INDEX(LookupData!AI:AI,$AK181)="","",HYPERLINK(INDEX(LookupData!AI:AI,$AK181),"Open"))))</f>
        <v/>
      </c>
      <c r="AK181" t="str">
        <f>IF(AL181="","",IFERROR(MATCH(AL181,LookupData!$A:$A,0),0))</f>
        <v/>
      </c>
      <c r="AL181" t="str">
        <f t="shared" si="10"/>
        <v/>
      </c>
      <c r="AM181" t="str">
        <f t="shared" si="11"/>
        <v/>
      </c>
    </row>
    <row r="182" spans="1:39" x14ac:dyDescent="0.2">
      <c r="A182" s="9"/>
      <c r="B182" s="10" t="str">
        <f>IF($AK182="","",IF($AK182=0,"not in the database",IF(INDEX(LookupData!B:B,$AK182)="","",INDEX(LookupData!B:B,$AK182))))</f>
        <v/>
      </c>
      <c r="C182" t="str">
        <f>IF($AK182="","",IF($AK182=0,"",IF(INDEX(LookupData!C:C,$AK182)="","",INDEX(LookupData!C:C,$AK182))))</f>
        <v/>
      </c>
      <c r="D182" t="str">
        <f>IF($AK182="","",IF($AK182=0,"",IF(INDEX(LookupData!D:D,$AK182)="","",INDEX(LookupData!D:D,$AK182))))</f>
        <v/>
      </c>
      <c r="E182" t="str">
        <f>IF($AK182="","",IF($AK182=0,"",IF(INDEX(LookupData!E:E,$AK182)="","",INDEX(LookupData!E:E,$AK182))))</f>
        <v/>
      </c>
      <c r="F182" t="str">
        <f>IF($AK182="","",IF($AK182=0,"",IF(INDEX(LookupData!F:F,$AK182)="","",INDEX(LookupData!F:F,$AK182))))</f>
        <v/>
      </c>
      <c r="G182" t="str">
        <f>IF($AK182="","",IF($AK182=0,"",IF(INDEX(LookupData!G:G,$AK182)="","",INDEX(LookupData!G:G,$AK182))))</f>
        <v/>
      </c>
      <c r="H182" t="str">
        <f>IF($AK182="","",IF($AK182=0,"",IF(INDEX(LookupData!H:H,$AK182)="","",INDEX(LookupData!H:H,$AK182))))</f>
        <v/>
      </c>
      <c r="I182" s="7" t="str">
        <f>IF($AK182="","",IF($AK182=0,"",IF(INDEX(LookupData!I:I,$AK182)="","",INDEX(LookupData!I:I,$AK182))))</f>
        <v/>
      </c>
      <c r="J182" s="7" t="str">
        <f>IF($AK182="","",IF($AK182=0,"",IF(INDEX(LookupData!J:J,$AK182)="","",INDEX(LookupData!J:J,$AK182))))</f>
        <v/>
      </c>
      <c r="K182" s="7" t="str">
        <f>IF($AK182="","",IF($AK182=0,"",IF(INDEX(LookupData!K:K,$AK182)="","",INDEX(LookupData!K:K,$AK182))))</f>
        <v/>
      </c>
      <c r="L182" s="7" t="str">
        <f>IF($AK182="","",IF($AK182=0,"",IF(INDEX(LookupData!L:L,$AK182)="","",INDEX(LookupData!L:L,$AK182))))</f>
        <v/>
      </c>
      <c r="M182" s="7" t="str">
        <f>IF($AK182="","",IF($AK182=0,"",IF(INDEX(LookupData!M:M,$AK182)="","",INDEX(LookupData!M:M,$AK182))))</f>
        <v/>
      </c>
      <c r="N182" s="7" t="str">
        <f>IF($AK182="","",IF($AK182=0,"",IF(INDEX(LookupData!N:N,$AK182)="","",INDEX(LookupData!N:N,$AK182))))</f>
        <v/>
      </c>
      <c r="O182" s="7" t="str">
        <f>IF($AK182="","",IF($AK182=0,"",IF(INDEX(LookupData!O:O,$AK182)="","",INDEX(LookupData!O:O,$AK182))))</f>
        <v/>
      </c>
      <c r="P182" s="7" t="str">
        <f>IF($AK182="","",IF($AK182=0,"",IF(INDEX(LookupData!P:P,$AK182)="","",INDEX(LookupData!P:P,$AK182))))</f>
        <v/>
      </c>
      <c r="Q182" s="7" t="str">
        <f>IF($AK182="","",IF($AK182=0,"",IF(INDEX(LookupData!Q:Q,$AK182)="","",INDEX(LookupData!Q:Q,$AK182))))</f>
        <v/>
      </c>
      <c r="R182" s="7" t="str">
        <f>IF($AK182="","",IF($AK182=0,"",IF(INDEX(LookupData!R:R,$AK182)="","",INDEX(LookupData!R:R,$AK182))))</f>
        <v/>
      </c>
      <c r="S182" s="7" t="str">
        <f>IF($AK182="","",IF($AK182=0,"",IF(INDEX(LookupData!S:S,$AK182)="","",INDEX(LookupData!S:S,$AK182))))</f>
        <v/>
      </c>
      <c r="T182" s="7" t="str">
        <f>IF($AK182="","",IF($AK182=0,"",IF(INDEX(LookupData!T:T,$AK182)="","",INDEX(LookupData!T:T,$AK182))))</f>
        <v/>
      </c>
      <c r="U182" s="7" t="str">
        <f>IF($AK182="","",IF($AK182=0,"",IF(INDEX(LookupData!U:U,$AK182)="","",INDEX(LookupData!U:U,$AK182))))</f>
        <v/>
      </c>
      <c r="V182" s="7" t="str">
        <f>IF($AK182="","",IF($AK182=0,"",IF(INDEX(LookupData!V:V,$AK182)="","",INDEX(LookupData!V:V,$AK182))))</f>
        <v/>
      </c>
      <c r="W182" t="str">
        <f>IF($AK182="","",IF($AK182=0,"",IF(INDEX(LookupData!W:W,$AK182)="","",INDEX(LookupData!W:W,$AK182))))</f>
        <v/>
      </c>
      <c r="X182" s="7" t="str">
        <f>IF($AK182="","",IF($AK182=0,"",IF(INDEX(LookupData!X:X,$AK182)="","",INDEX(LookupData!X:X,$AK182))))</f>
        <v/>
      </c>
      <c r="Y182" s="7" t="str">
        <f>IF($AK182="","",IF($AK182=0,"",IF(INDEX(LookupData!Y:Y,$AK182)="","",INDEX(LookupData!Y:Y,$AK182))))</f>
        <v/>
      </c>
      <c r="Z182" s="7" t="str">
        <f>IF($AK182="","",IF($AK182=0,"",IF(INDEX(LookupData!Z:Z,$AK182)="","",INDEX(LookupData!Z:Z,$AK182))))</f>
        <v/>
      </c>
      <c r="AA182" s="7" t="str">
        <f>IF($AK182="","",IF($AK182=0,"",IF(INDEX(LookupData!AA:AA,$AK182)="","",INDEX(LookupData!AA:AA,$AK182))))</f>
        <v/>
      </c>
      <c r="AB182" s="7" t="str">
        <f>IF($AK182="","",IF($AK182=0,"",IF(INDEX(LookupData!AB:AB,$AK182)="","",INDEX(LookupData!AB:AB,$AK182))))</f>
        <v/>
      </c>
      <c r="AC182" s="7" t="str">
        <f>IF($AK182="","",IF($AK182=0,"",IF(INDEX(LookupData!AC:AC,$AK182)="","",INDEX(LookupData!AC:AC,$AK182))))</f>
        <v/>
      </c>
      <c r="AD182" s="7" t="str">
        <f>IF($AK182="","",IF($AK182=0,"",IF(INDEX(LookupData!AD:AD,$AK182)="","",INDEX(LookupData!AD:AD,$AK182))))</f>
        <v/>
      </c>
      <c r="AE182" s="7" t="str">
        <f>IF($AK182="","",IF($AK182=0,"",IF(INDEX(LookupData!AE:AE,$AK182)="","",INDEX(LookupData!AE:AE,$AK182))))</f>
        <v/>
      </c>
      <c r="AF182" t="str">
        <f>IF($AK182="","",IF($AK182=0,"",IF(INDEX(LookupData!AF:AF,$AK182)="","",INDEX(LookupData!AF:AF,$AK182))))</f>
        <v/>
      </c>
      <c r="AG182" t="str">
        <f>IF($AK182="","",IF($AK182=0,"",IF(INDEX(LookupData!AG:AG,$AK182)="","",INDEX(LookupData!AG:AG,$AK182))))</f>
        <v/>
      </c>
      <c r="AH182" s="11" t="str">
        <f>IF($AK182="","",IF($AK182=0,"",IF(INDEX(LookupData!AH:AH,$AK182)="","",INDEX(LookupData!AH:AH,$AK182))))</f>
        <v/>
      </c>
      <c r="AI182" s="12" t="str">
        <f>IF($AK182="","",IF($AK182=0,"",IF(INDEX(LookupData!AI:AI,$AK182)="","",HYPERLINK(INDEX(LookupData!AI:AI,$AK182),"Open"))))</f>
        <v/>
      </c>
      <c r="AK182" t="str">
        <f>IF(AL182="","",IFERROR(MATCH(AL182,LookupData!$A:$A,0),0))</f>
        <v/>
      </c>
      <c r="AL182" t="str">
        <f t="shared" si="10"/>
        <v/>
      </c>
      <c r="AM182" t="str">
        <f t="shared" si="11"/>
        <v/>
      </c>
    </row>
    <row r="183" spans="1:39" x14ac:dyDescent="0.2">
      <c r="A183" s="9"/>
      <c r="B183" s="10" t="str">
        <f>IF($AK183="","",IF($AK183=0,"not in the database",IF(INDEX(LookupData!B:B,$AK183)="","",INDEX(LookupData!B:B,$AK183))))</f>
        <v/>
      </c>
      <c r="C183" t="str">
        <f>IF($AK183="","",IF($AK183=0,"",IF(INDEX(LookupData!C:C,$AK183)="","",INDEX(LookupData!C:C,$AK183))))</f>
        <v/>
      </c>
      <c r="D183" t="str">
        <f>IF($AK183="","",IF($AK183=0,"",IF(INDEX(LookupData!D:D,$AK183)="","",INDEX(LookupData!D:D,$AK183))))</f>
        <v/>
      </c>
      <c r="E183" t="str">
        <f>IF($AK183="","",IF($AK183=0,"",IF(INDEX(LookupData!E:E,$AK183)="","",INDEX(LookupData!E:E,$AK183))))</f>
        <v/>
      </c>
      <c r="F183" t="str">
        <f>IF($AK183="","",IF($AK183=0,"",IF(INDEX(LookupData!F:F,$AK183)="","",INDEX(LookupData!F:F,$AK183))))</f>
        <v/>
      </c>
      <c r="G183" t="str">
        <f>IF($AK183="","",IF($AK183=0,"",IF(INDEX(LookupData!G:G,$AK183)="","",INDEX(LookupData!G:G,$AK183))))</f>
        <v/>
      </c>
      <c r="H183" t="str">
        <f>IF($AK183="","",IF($AK183=0,"",IF(INDEX(LookupData!H:H,$AK183)="","",INDEX(LookupData!H:H,$AK183))))</f>
        <v/>
      </c>
      <c r="I183" s="7" t="str">
        <f>IF($AK183="","",IF($AK183=0,"",IF(INDEX(LookupData!I:I,$AK183)="","",INDEX(LookupData!I:I,$AK183))))</f>
        <v/>
      </c>
      <c r="J183" s="7" t="str">
        <f>IF($AK183="","",IF($AK183=0,"",IF(INDEX(LookupData!J:J,$AK183)="","",INDEX(LookupData!J:J,$AK183))))</f>
        <v/>
      </c>
      <c r="K183" s="7" t="str">
        <f>IF($AK183="","",IF($AK183=0,"",IF(INDEX(LookupData!K:K,$AK183)="","",INDEX(LookupData!K:K,$AK183))))</f>
        <v/>
      </c>
      <c r="L183" s="7" t="str">
        <f>IF($AK183="","",IF($AK183=0,"",IF(INDEX(LookupData!L:L,$AK183)="","",INDEX(LookupData!L:L,$AK183))))</f>
        <v/>
      </c>
      <c r="M183" s="7" t="str">
        <f>IF($AK183="","",IF($AK183=0,"",IF(INDEX(LookupData!M:M,$AK183)="","",INDEX(LookupData!M:M,$AK183))))</f>
        <v/>
      </c>
      <c r="N183" s="7" t="str">
        <f>IF($AK183="","",IF($AK183=0,"",IF(INDEX(LookupData!N:N,$AK183)="","",INDEX(LookupData!N:N,$AK183))))</f>
        <v/>
      </c>
      <c r="O183" s="7" t="str">
        <f>IF($AK183="","",IF($AK183=0,"",IF(INDEX(LookupData!O:O,$AK183)="","",INDEX(LookupData!O:O,$AK183))))</f>
        <v/>
      </c>
      <c r="P183" s="7" t="str">
        <f>IF($AK183="","",IF($AK183=0,"",IF(INDEX(LookupData!P:P,$AK183)="","",INDEX(LookupData!P:P,$AK183))))</f>
        <v/>
      </c>
      <c r="Q183" s="7" t="str">
        <f>IF($AK183="","",IF($AK183=0,"",IF(INDEX(LookupData!Q:Q,$AK183)="","",INDEX(LookupData!Q:Q,$AK183))))</f>
        <v/>
      </c>
      <c r="R183" s="7" t="str">
        <f>IF($AK183="","",IF($AK183=0,"",IF(INDEX(LookupData!R:R,$AK183)="","",INDEX(LookupData!R:R,$AK183))))</f>
        <v/>
      </c>
      <c r="S183" s="7" t="str">
        <f>IF($AK183="","",IF($AK183=0,"",IF(INDEX(LookupData!S:S,$AK183)="","",INDEX(LookupData!S:S,$AK183))))</f>
        <v/>
      </c>
      <c r="T183" s="7" t="str">
        <f>IF($AK183="","",IF($AK183=0,"",IF(INDEX(LookupData!T:T,$AK183)="","",INDEX(LookupData!T:T,$AK183))))</f>
        <v/>
      </c>
      <c r="U183" s="7" t="str">
        <f>IF($AK183="","",IF($AK183=0,"",IF(INDEX(LookupData!U:U,$AK183)="","",INDEX(LookupData!U:U,$AK183))))</f>
        <v/>
      </c>
      <c r="V183" s="7" t="str">
        <f>IF($AK183="","",IF($AK183=0,"",IF(INDEX(LookupData!V:V,$AK183)="","",INDEX(LookupData!V:V,$AK183))))</f>
        <v/>
      </c>
      <c r="W183" t="str">
        <f>IF($AK183="","",IF($AK183=0,"",IF(INDEX(LookupData!W:W,$AK183)="","",INDEX(LookupData!W:W,$AK183))))</f>
        <v/>
      </c>
      <c r="X183" s="7" t="str">
        <f>IF($AK183="","",IF($AK183=0,"",IF(INDEX(LookupData!X:X,$AK183)="","",INDEX(LookupData!X:X,$AK183))))</f>
        <v/>
      </c>
      <c r="Y183" s="7" t="str">
        <f>IF($AK183="","",IF($AK183=0,"",IF(INDEX(LookupData!Y:Y,$AK183)="","",INDEX(LookupData!Y:Y,$AK183))))</f>
        <v/>
      </c>
      <c r="Z183" s="7" t="str">
        <f>IF($AK183="","",IF($AK183=0,"",IF(INDEX(LookupData!Z:Z,$AK183)="","",INDEX(LookupData!Z:Z,$AK183))))</f>
        <v/>
      </c>
      <c r="AA183" s="7" t="str">
        <f>IF($AK183="","",IF($AK183=0,"",IF(INDEX(LookupData!AA:AA,$AK183)="","",INDEX(LookupData!AA:AA,$AK183))))</f>
        <v/>
      </c>
      <c r="AB183" s="7" t="str">
        <f>IF($AK183="","",IF($AK183=0,"",IF(INDEX(LookupData!AB:AB,$AK183)="","",INDEX(LookupData!AB:AB,$AK183))))</f>
        <v/>
      </c>
      <c r="AC183" s="7" t="str">
        <f>IF($AK183="","",IF($AK183=0,"",IF(INDEX(LookupData!AC:AC,$AK183)="","",INDEX(LookupData!AC:AC,$AK183))))</f>
        <v/>
      </c>
      <c r="AD183" s="7" t="str">
        <f>IF($AK183="","",IF($AK183=0,"",IF(INDEX(LookupData!AD:AD,$AK183)="","",INDEX(LookupData!AD:AD,$AK183))))</f>
        <v/>
      </c>
      <c r="AE183" s="7" t="str">
        <f>IF($AK183="","",IF($AK183=0,"",IF(INDEX(LookupData!AE:AE,$AK183)="","",INDEX(LookupData!AE:AE,$AK183))))</f>
        <v/>
      </c>
      <c r="AF183" t="str">
        <f>IF($AK183="","",IF($AK183=0,"",IF(INDEX(LookupData!AF:AF,$AK183)="","",INDEX(LookupData!AF:AF,$AK183))))</f>
        <v/>
      </c>
      <c r="AG183" t="str">
        <f>IF($AK183="","",IF($AK183=0,"",IF(INDEX(LookupData!AG:AG,$AK183)="","",INDEX(LookupData!AG:AG,$AK183))))</f>
        <v/>
      </c>
      <c r="AH183" s="11" t="str">
        <f>IF($AK183="","",IF($AK183=0,"",IF(INDEX(LookupData!AH:AH,$AK183)="","",INDEX(LookupData!AH:AH,$AK183))))</f>
        <v/>
      </c>
      <c r="AI183" s="12" t="str">
        <f>IF($AK183="","",IF($AK183=0,"",IF(INDEX(LookupData!AI:AI,$AK183)="","",HYPERLINK(INDEX(LookupData!AI:AI,$AK183),"Open"))))</f>
        <v/>
      </c>
      <c r="AK183" t="str">
        <f>IF(AL183="","",IFERROR(MATCH(AL183,LookupData!$A:$A,0),0))</f>
        <v/>
      </c>
      <c r="AL183" t="str">
        <f t="shared" si="10"/>
        <v/>
      </c>
      <c r="AM183" t="str">
        <f t="shared" si="11"/>
        <v/>
      </c>
    </row>
    <row r="184" spans="1:39" x14ac:dyDescent="0.2">
      <c r="A184" s="9"/>
      <c r="B184" s="10" t="str">
        <f>IF($AK184="","",IF($AK184=0,"not in the database",IF(INDEX(LookupData!B:B,$AK184)="","",INDEX(LookupData!B:B,$AK184))))</f>
        <v/>
      </c>
      <c r="C184" t="str">
        <f>IF($AK184="","",IF($AK184=0,"",IF(INDEX(LookupData!C:C,$AK184)="","",INDEX(LookupData!C:C,$AK184))))</f>
        <v/>
      </c>
      <c r="D184" t="str">
        <f>IF($AK184="","",IF($AK184=0,"",IF(INDEX(LookupData!D:D,$AK184)="","",INDEX(LookupData!D:D,$AK184))))</f>
        <v/>
      </c>
      <c r="E184" t="str">
        <f>IF($AK184="","",IF($AK184=0,"",IF(INDEX(LookupData!E:E,$AK184)="","",INDEX(LookupData!E:E,$AK184))))</f>
        <v/>
      </c>
      <c r="F184" t="str">
        <f>IF($AK184="","",IF($AK184=0,"",IF(INDEX(LookupData!F:F,$AK184)="","",INDEX(LookupData!F:F,$AK184))))</f>
        <v/>
      </c>
      <c r="G184" t="str">
        <f>IF($AK184="","",IF($AK184=0,"",IF(INDEX(LookupData!G:G,$AK184)="","",INDEX(LookupData!G:G,$AK184))))</f>
        <v/>
      </c>
      <c r="H184" t="str">
        <f>IF($AK184="","",IF($AK184=0,"",IF(INDEX(LookupData!H:H,$AK184)="","",INDEX(LookupData!H:H,$AK184))))</f>
        <v/>
      </c>
      <c r="I184" s="7" t="str">
        <f>IF($AK184="","",IF($AK184=0,"",IF(INDEX(LookupData!I:I,$AK184)="","",INDEX(LookupData!I:I,$AK184))))</f>
        <v/>
      </c>
      <c r="J184" s="7" t="str">
        <f>IF($AK184="","",IF($AK184=0,"",IF(INDEX(LookupData!J:J,$AK184)="","",INDEX(LookupData!J:J,$AK184))))</f>
        <v/>
      </c>
      <c r="K184" s="7" t="str">
        <f>IF($AK184="","",IF($AK184=0,"",IF(INDEX(LookupData!K:K,$AK184)="","",INDEX(LookupData!K:K,$AK184))))</f>
        <v/>
      </c>
      <c r="L184" s="7" t="str">
        <f>IF($AK184="","",IF($AK184=0,"",IF(INDEX(LookupData!L:L,$AK184)="","",INDEX(LookupData!L:L,$AK184))))</f>
        <v/>
      </c>
      <c r="M184" s="7" t="str">
        <f>IF($AK184="","",IF($AK184=0,"",IF(INDEX(LookupData!M:M,$AK184)="","",INDEX(LookupData!M:M,$AK184))))</f>
        <v/>
      </c>
      <c r="N184" s="7" t="str">
        <f>IF($AK184="","",IF($AK184=0,"",IF(INDEX(LookupData!N:N,$AK184)="","",INDEX(LookupData!N:N,$AK184))))</f>
        <v/>
      </c>
      <c r="O184" s="7" t="str">
        <f>IF($AK184="","",IF($AK184=0,"",IF(INDEX(LookupData!O:O,$AK184)="","",INDEX(LookupData!O:O,$AK184))))</f>
        <v/>
      </c>
      <c r="P184" s="7" t="str">
        <f>IF($AK184="","",IF($AK184=0,"",IF(INDEX(LookupData!P:P,$AK184)="","",INDEX(LookupData!P:P,$AK184))))</f>
        <v/>
      </c>
      <c r="Q184" s="7" t="str">
        <f>IF($AK184="","",IF($AK184=0,"",IF(INDEX(LookupData!Q:Q,$AK184)="","",INDEX(LookupData!Q:Q,$AK184))))</f>
        <v/>
      </c>
      <c r="R184" s="7" t="str">
        <f>IF($AK184="","",IF($AK184=0,"",IF(INDEX(LookupData!R:R,$AK184)="","",INDEX(LookupData!R:R,$AK184))))</f>
        <v/>
      </c>
      <c r="S184" s="7" t="str">
        <f>IF($AK184="","",IF($AK184=0,"",IF(INDEX(LookupData!S:S,$AK184)="","",INDEX(LookupData!S:S,$AK184))))</f>
        <v/>
      </c>
      <c r="T184" s="7" t="str">
        <f>IF($AK184="","",IF($AK184=0,"",IF(INDEX(LookupData!T:T,$AK184)="","",INDEX(LookupData!T:T,$AK184))))</f>
        <v/>
      </c>
      <c r="U184" s="7" t="str">
        <f>IF($AK184="","",IF($AK184=0,"",IF(INDEX(LookupData!U:U,$AK184)="","",INDEX(LookupData!U:U,$AK184))))</f>
        <v/>
      </c>
      <c r="V184" s="7" t="str">
        <f>IF($AK184="","",IF($AK184=0,"",IF(INDEX(LookupData!V:V,$AK184)="","",INDEX(LookupData!V:V,$AK184))))</f>
        <v/>
      </c>
      <c r="W184" t="str">
        <f>IF($AK184="","",IF($AK184=0,"",IF(INDEX(LookupData!W:W,$AK184)="","",INDEX(LookupData!W:W,$AK184))))</f>
        <v/>
      </c>
      <c r="X184" s="7" t="str">
        <f>IF($AK184="","",IF($AK184=0,"",IF(INDEX(LookupData!X:X,$AK184)="","",INDEX(LookupData!X:X,$AK184))))</f>
        <v/>
      </c>
      <c r="Y184" s="7" t="str">
        <f>IF($AK184="","",IF($AK184=0,"",IF(INDEX(LookupData!Y:Y,$AK184)="","",INDEX(LookupData!Y:Y,$AK184))))</f>
        <v/>
      </c>
      <c r="Z184" s="7" t="str">
        <f>IF($AK184="","",IF($AK184=0,"",IF(INDEX(LookupData!Z:Z,$AK184)="","",INDEX(LookupData!Z:Z,$AK184))))</f>
        <v/>
      </c>
      <c r="AA184" s="7" t="str">
        <f>IF($AK184="","",IF($AK184=0,"",IF(INDEX(LookupData!AA:AA,$AK184)="","",INDEX(LookupData!AA:AA,$AK184))))</f>
        <v/>
      </c>
      <c r="AB184" s="7" t="str">
        <f>IF($AK184="","",IF($AK184=0,"",IF(INDEX(LookupData!AB:AB,$AK184)="","",INDEX(LookupData!AB:AB,$AK184))))</f>
        <v/>
      </c>
      <c r="AC184" s="7" t="str">
        <f>IF($AK184="","",IF($AK184=0,"",IF(INDEX(LookupData!AC:AC,$AK184)="","",INDEX(LookupData!AC:AC,$AK184))))</f>
        <v/>
      </c>
      <c r="AD184" s="7" t="str">
        <f>IF($AK184="","",IF($AK184=0,"",IF(INDEX(LookupData!AD:AD,$AK184)="","",INDEX(LookupData!AD:AD,$AK184))))</f>
        <v/>
      </c>
      <c r="AE184" s="7" t="str">
        <f>IF($AK184="","",IF($AK184=0,"",IF(INDEX(LookupData!AE:AE,$AK184)="","",INDEX(LookupData!AE:AE,$AK184))))</f>
        <v/>
      </c>
      <c r="AF184" t="str">
        <f>IF($AK184="","",IF($AK184=0,"",IF(INDEX(LookupData!AF:AF,$AK184)="","",INDEX(LookupData!AF:AF,$AK184))))</f>
        <v/>
      </c>
      <c r="AG184" t="str">
        <f>IF($AK184="","",IF($AK184=0,"",IF(INDEX(LookupData!AG:AG,$AK184)="","",INDEX(LookupData!AG:AG,$AK184))))</f>
        <v/>
      </c>
      <c r="AH184" s="11" t="str">
        <f>IF($AK184="","",IF($AK184=0,"",IF(INDEX(LookupData!AH:AH,$AK184)="","",INDEX(LookupData!AH:AH,$AK184))))</f>
        <v/>
      </c>
      <c r="AI184" s="12" t="str">
        <f>IF($AK184="","",IF($AK184=0,"",IF(INDEX(LookupData!AI:AI,$AK184)="","",HYPERLINK(INDEX(LookupData!AI:AI,$AK184),"Open"))))</f>
        <v/>
      </c>
      <c r="AK184" t="str">
        <f>IF(AL184="","",IFERROR(MATCH(AL184,LookupData!$A:$A,0),0))</f>
        <v/>
      </c>
      <c r="AL184" t="str">
        <f t="shared" si="10"/>
        <v/>
      </c>
      <c r="AM184" t="str">
        <f t="shared" si="11"/>
        <v/>
      </c>
    </row>
    <row r="185" spans="1:39" x14ac:dyDescent="0.2">
      <c r="A185" s="9"/>
      <c r="B185" s="10" t="str">
        <f>IF($AK185="","",IF($AK185=0,"not in the database",IF(INDEX(LookupData!B:B,$AK185)="","",INDEX(LookupData!B:B,$AK185))))</f>
        <v/>
      </c>
      <c r="C185" t="str">
        <f>IF($AK185="","",IF($AK185=0,"",IF(INDEX(LookupData!C:C,$AK185)="","",INDEX(LookupData!C:C,$AK185))))</f>
        <v/>
      </c>
      <c r="D185" t="str">
        <f>IF($AK185="","",IF($AK185=0,"",IF(INDEX(LookupData!D:D,$AK185)="","",INDEX(LookupData!D:D,$AK185))))</f>
        <v/>
      </c>
      <c r="E185" t="str">
        <f>IF($AK185="","",IF($AK185=0,"",IF(INDEX(LookupData!E:E,$AK185)="","",INDEX(LookupData!E:E,$AK185))))</f>
        <v/>
      </c>
      <c r="F185" t="str">
        <f>IF($AK185="","",IF($AK185=0,"",IF(INDEX(LookupData!F:F,$AK185)="","",INDEX(LookupData!F:F,$AK185))))</f>
        <v/>
      </c>
      <c r="G185" t="str">
        <f>IF($AK185="","",IF($AK185=0,"",IF(INDEX(LookupData!G:G,$AK185)="","",INDEX(LookupData!G:G,$AK185))))</f>
        <v/>
      </c>
      <c r="H185" t="str">
        <f>IF($AK185="","",IF($AK185=0,"",IF(INDEX(LookupData!H:H,$AK185)="","",INDEX(LookupData!H:H,$AK185))))</f>
        <v/>
      </c>
      <c r="I185" s="7" t="str">
        <f>IF($AK185="","",IF($AK185=0,"",IF(INDEX(LookupData!I:I,$AK185)="","",INDEX(LookupData!I:I,$AK185))))</f>
        <v/>
      </c>
      <c r="J185" s="7" t="str">
        <f>IF($AK185="","",IF($AK185=0,"",IF(INDEX(LookupData!J:J,$AK185)="","",INDEX(LookupData!J:J,$AK185))))</f>
        <v/>
      </c>
      <c r="K185" s="7" t="str">
        <f>IF($AK185="","",IF($AK185=0,"",IF(INDEX(LookupData!K:K,$AK185)="","",INDEX(LookupData!K:K,$AK185))))</f>
        <v/>
      </c>
      <c r="L185" s="7" t="str">
        <f>IF($AK185="","",IF($AK185=0,"",IF(INDEX(LookupData!L:L,$AK185)="","",INDEX(LookupData!L:L,$AK185))))</f>
        <v/>
      </c>
      <c r="M185" s="7" t="str">
        <f>IF($AK185="","",IF($AK185=0,"",IF(INDEX(LookupData!M:M,$AK185)="","",INDEX(LookupData!M:M,$AK185))))</f>
        <v/>
      </c>
      <c r="N185" s="7" t="str">
        <f>IF($AK185="","",IF($AK185=0,"",IF(INDEX(LookupData!N:N,$AK185)="","",INDEX(LookupData!N:N,$AK185))))</f>
        <v/>
      </c>
      <c r="O185" s="7" t="str">
        <f>IF($AK185="","",IF($AK185=0,"",IF(INDEX(LookupData!O:O,$AK185)="","",INDEX(LookupData!O:O,$AK185))))</f>
        <v/>
      </c>
      <c r="P185" s="7" t="str">
        <f>IF($AK185="","",IF($AK185=0,"",IF(INDEX(LookupData!P:P,$AK185)="","",INDEX(LookupData!P:P,$AK185))))</f>
        <v/>
      </c>
      <c r="Q185" s="7" t="str">
        <f>IF($AK185="","",IF($AK185=0,"",IF(INDEX(LookupData!Q:Q,$AK185)="","",INDEX(LookupData!Q:Q,$AK185))))</f>
        <v/>
      </c>
      <c r="R185" s="7" t="str">
        <f>IF($AK185="","",IF($AK185=0,"",IF(INDEX(LookupData!R:R,$AK185)="","",INDEX(LookupData!R:R,$AK185))))</f>
        <v/>
      </c>
      <c r="S185" s="7" t="str">
        <f>IF($AK185="","",IF($AK185=0,"",IF(INDEX(LookupData!S:S,$AK185)="","",INDEX(LookupData!S:S,$AK185))))</f>
        <v/>
      </c>
      <c r="T185" s="7" t="str">
        <f>IF($AK185="","",IF($AK185=0,"",IF(INDEX(LookupData!T:T,$AK185)="","",INDEX(LookupData!T:T,$AK185))))</f>
        <v/>
      </c>
      <c r="U185" s="7" t="str">
        <f>IF($AK185="","",IF($AK185=0,"",IF(INDEX(LookupData!U:U,$AK185)="","",INDEX(LookupData!U:U,$AK185))))</f>
        <v/>
      </c>
      <c r="V185" s="7" t="str">
        <f>IF($AK185="","",IF($AK185=0,"",IF(INDEX(LookupData!V:V,$AK185)="","",INDEX(LookupData!V:V,$AK185))))</f>
        <v/>
      </c>
      <c r="W185" t="str">
        <f>IF($AK185="","",IF($AK185=0,"",IF(INDEX(LookupData!W:W,$AK185)="","",INDEX(LookupData!W:W,$AK185))))</f>
        <v/>
      </c>
      <c r="X185" s="7" t="str">
        <f>IF($AK185="","",IF($AK185=0,"",IF(INDEX(LookupData!X:X,$AK185)="","",INDEX(LookupData!X:X,$AK185))))</f>
        <v/>
      </c>
      <c r="Y185" s="7" t="str">
        <f>IF($AK185="","",IF($AK185=0,"",IF(INDEX(LookupData!Y:Y,$AK185)="","",INDEX(LookupData!Y:Y,$AK185))))</f>
        <v/>
      </c>
      <c r="Z185" s="7" t="str">
        <f>IF($AK185="","",IF($AK185=0,"",IF(INDEX(LookupData!Z:Z,$AK185)="","",INDEX(LookupData!Z:Z,$AK185))))</f>
        <v/>
      </c>
      <c r="AA185" s="7" t="str">
        <f>IF($AK185="","",IF($AK185=0,"",IF(INDEX(LookupData!AA:AA,$AK185)="","",INDEX(LookupData!AA:AA,$AK185))))</f>
        <v/>
      </c>
      <c r="AB185" s="7" t="str">
        <f>IF($AK185="","",IF($AK185=0,"",IF(INDEX(LookupData!AB:AB,$AK185)="","",INDEX(LookupData!AB:AB,$AK185))))</f>
        <v/>
      </c>
      <c r="AC185" s="7" t="str">
        <f>IF($AK185="","",IF($AK185=0,"",IF(INDEX(LookupData!AC:AC,$AK185)="","",INDEX(LookupData!AC:AC,$AK185))))</f>
        <v/>
      </c>
      <c r="AD185" s="7" t="str">
        <f>IF($AK185="","",IF($AK185=0,"",IF(INDEX(LookupData!AD:AD,$AK185)="","",INDEX(LookupData!AD:AD,$AK185))))</f>
        <v/>
      </c>
      <c r="AE185" s="7" t="str">
        <f>IF($AK185="","",IF($AK185=0,"",IF(INDEX(LookupData!AE:AE,$AK185)="","",INDEX(LookupData!AE:AE,$AK185))))</f>
        <v/>
      </c>
      <c r="AF185" t="str">
        <f>IF($AK185="","",IF($AK185=0,"",IF(INDEX(LookupData!AF:AF,$AK185)="","",INDEX(LookupData!AF:AF,$AK185))))</f>
        <v/>
      </c>
      <c r="AG185" t="str">
        <f>IF($AK185="","",IF($AK185=0,"",IF(INDEX(LookupData!AG:AG,$AK185)="","",INDEX(LookupData!AG:AG,$AK185))))</f>
        <v/>
      </c>
      <c r="AH185" s="11" t="str">
        <f>IF($AK185="","",IF($AK185=0,"",IF(INDEX(LookupData!AH:AH,$AK185)="","",INDEX(LookupData!AH:AH,$AK185))))</f>
        <v/>
      </c>
      <c r="AI185" s="12" t="str">
        <f>IF($AK185="","",IF($AK185=0,"",IF(INDEX(LookupData!AI:AI,$AK185)="","",HYPERLINK(INDEX(LookupData!AI:AI,$AK185),"Open"))))</f>
        <v/>
      </c>
      <c r="AK185" t="str">
        <f>IF(AL185="","",IFERROR(MATCH(AL185,LookupData!$A:$A,0),0))</f>
        <v/>
      </c>
      <c r="AL185" t="str">
        <f t="shared" si="10"/>
        <v/>
      </c>
      <c r="AM185" t="str">
        <f t="shared" si="11"/>
        <v/>
      </c>
    </row>
    <row r="186" spans="1:39" x14ac:dyDescent="0.2">
      <c r="A186" s="9"/>
      <c r="B186" s="10" t="str">
        <f>IF($AK186="","",IF($AK186=0,"not in the database",IF(INDEX(LookupData!B:B,$AK186)="","",INDEX(LookupData!B:B,$AK186))))</f>
        <v/>
      </c>
      <c r="C186" t="str">
        <f>IF($AK186="","",IF($AK186=0,"",IF(INDEX(LookupData!C:C,$AK186)="","",INDEX(LookupData!C:C,$AK186))))</f>
        <v/>
      </c>
      <c r="D186" t="str">
        <f>IF($AK186="","",IF($AK186=0,"",IF(INDEX(LookupData!D:D,$AK186)="","",INDEX(LookupData!D:D,$AK186))))</f>
        <v/>
      </c>
      <c r="E186" t="str">
        <f>IF($AK186="","",IF($AK186=0,"",IF(INDEX(LookupData!E:E,$AK186)="","",INDEX(LookupData!E:E,$AK186))))</f>
        <v/>
      </c>
      <c r="F186" t="str">
        <f>IF($AK186="","",IF($AK186=0,"",IF(INDEX(LookupData!F:F,$AK186)="","",INDEX(LookupData!F:F,$AK186))))</f>
        <v/>
      </c>
      <c r="G186" t="str">
        <f>IF($AK186="","",IF($AK186=0,"",IF(INDEX(LookupData!G:G,$AK186)="","",INDEX(LookupData!G:G,$AK186))))</f>
        <v/>
      </c>
      <c r="H186" t="str">
        <f>IF($AK186="","",IF($AK186=0,"",IF(INDEX(LookupData!H:H,$AK186)="","",INDEX(LookupData!H:H,$AK186))))</f>
        <v/>
      </c>
      <c r="I186" s="7" t="str">
        <f>IF($AK186="","",IF($AK186=0,"",IF(INDEX(LookupData!I:I,$AK186)="","",INDEX(LookupData!I:I,$AK186))))</f>
        <v/>
      </c>
      <c r="J186" s="7" t="str">
        <f>IF($AK186="","",IF($AK186=0,"",IF(INDEX(LookupData!J:J,$AK186)="","",INDEX(LookupData!J:J,$AK186))))</f>
        <v/>
      </c>
      <c r="K186" s="7" t="str">
        <f>IF($AK186="","",IF($AK186=0,"",IF(INDEX(LookupData!K:K,$AK186)="","",INDEX(LookupData!K:K,$AK186))))</f>
        <v/>
      </c>
      <c r="L186" s="7" t="str">
        <f>IF($AK186="","",IF($AK186=0,"",IF(INDEX(LookupData!L:L,$AK186)="","",INDEX(LookupData!L:L,$AK186))))</f>
        <v/>
      </c>
      <c r="M186" s="7" t="str">
        <f>IF($AK186="","",IF($AK186=0,"",IF(INDEX(LookupData!M:M,$AK186)="","",INDEX(LookupData!M:M,$AK186))))</f>
        <v/>
      </c>
      <c r="N186" s="7" t="str">
        <f>IF($AK186="","",IF($AK186=0,"",IF(INDEX(LookupData!N:N,$AK186)="","",INDEX(LookupData!N:N,$AK186))))</f>
        <v/>
      </c>
      <c r="O186" s="7" t="str">
        <f>IF($AK186="","",IF($AK186=0,"",IF(INDEX(LookupData!O:O,$AK186)="","",INDEX(LookupData!O:O,$AK186))))</f>
        <v/>
      </c>
      <c r="P186" s="7" t="str">
        <f>IF($AK186="","",IF($AK186=0,"",IF(INDEX(LookupData!P:P,$AK186)="","",INDEX(LookupData!P:P,$AK186))))</f>
        <v/>
      </c>
      <c r="Q186" s="7" t="str">
        <f>IF($AK186="","",IF($AK186=0,"",IF(INDEX(LookupData!Q:Q,$AK186)="","",INDEX(LookupData!Q:Q,$AK186))))</f>
        <v/>
      </c>
      <c r="R186" s="7" t="str">
        <f>IF($AK186="","",IF($AK186=0,"",IF(INDEX(LookupData!R:R,$AK186)="","",INDEX(LookupData!R:R,$AK186))))</f>
        <v/>
      </c>
      <c r="S186" s="7" t="str">
        <f>IF($AK186="","",IF($AK186=0,"",IF(INDEX(LookupData!S:S,$AK186)="","",INDEX(LookupData!S:S,$AK186))))</f>
        <v/>
      </c>
      <c r="T186" s="7" t="str">
        <f>IF($AK186="","",IF($AK186=0,"",IF(INDEX(LookupData!T:T,$AK186)="","",INDEX(LookupData!T:T,$AK186))))</f>
        <v/>
      </c>
      <c r="U186" s="7" t="str">
        <f>IF($AK186="","",IF($AK186=0,"",IF(INDEX(LookupData!U:U,$AK186)="","",INDEX(LookupData!U:U,$AK186))))</f>
        <v/>
      </c>
      <c r="V186" s="7" t="str">
        <f>IF($AK186="","",IF($AK186=0,"",IF(INDEX(LookupData!V:V,$AK186)="","",INDEX(LookupData!V:V,$AK186))))</f>
        <v/>
      </c>
      <c r="W186" t="str">
        <f>IF($AK186="","",IF($AK186=0,"",IF(INDEX(LookupData!W:W,$AK186)="","",INDEX(LookupData!W:W,$AK186))))</f>
        <v/>
      </c>
      <c r="X186" s="7" t="str">
        <f>IF($AK186="","",IF($AK186=0,"",IF(INDEX(LookupData!X:X,$AK186)="","",INDEX(LookupData!X:X,$AK186))))</f>
        <v/>
      </c>
      <c r="Y186" s="7" t="str">
        <f>IF($AK186="","",IF($AK186=0,"",IF(INDEX(LookupData!Y:Y,$AK186)="","",INDEX(LookupData!Y:Y,$AK186))))</f>
        <v/>
      </c>
      <c r="Z186" s="7" t="str">
        <f>IF($AK186="","",IF($AK186=0,"",IF(INDEX(LookupData!Z:Z,$AK186)="","",INDEX(LookupData!Z:Z,$AK186))))</f>
        <v/>
      </c>
      <c r="AA186" s="7" t="str">
        <f>IF($AK186="","",IF($AK186=0,"",IF(INDEX(LookupData!AA:AA,$AK186)="","",INDEX(LookupData!AA:AA,$AK186))))</f>
        <v/>
      </c>
      <c r="AB186" s="7" t="str">
        <f>IF($AK186="","",IF($AK186=0,"",IF(INDEX(LookupData!AB:AB,$AK186)="","",INDEX(LookupData!AB:AB,$AK186))))</f>
        <v/>
      </c>
      <c r="AC186" s="7" t="str">
        <f>IF($AK186="","",IF($AK186=0,"",IF(INDEX(LookupData!AC:AC,$AK186)="","",INDEX(LookupData!AC:AC,$AK186))))</f>
        <v/>
      </c>
      <c r="AD186" s="7" t="str">
        <f>IF($AK186="","",IF($AK186=0,"",IF(INDEX(LookupData!AD:AD,$AK186)="","",INDEX(LookupData!AD:AD,$AK186))))</f>
        <v/>
      </c>
      <c r="AE186" s="7" t="str">
        <f>IF($AK186="","",IF($AK186=0,"",IF(INDEX(LookupData!AE:AE,$AK186)="","",INDEX(LookupData!AE:AE,$AK186))))</f>
        <v/>
      </c>
      <c r="AF186" t="str">
        <f>IF($AK186="","",IF($AK186=0,"",IF(INDEX(LookupData!AF:AF,$AK186)="","",INDEX(LookupData!AF:AF,$AK186))))</f>
        <v/>
      </c>
      <c r="AG186" t="str">
        <f>IF($AK186="","",IF($AK186=0,"",IF(INDEX(LookupData!AG:AG,$AK186)="","",INDEX(LookupData!AG:AG,$AK186))))</f>
        <v/>
      </c>
      <c r="AH186" s="11" t="str">
        <f>IF($AK186="","",IF($AK186=0,"",IF(INDEX(LookupData!AH:AH,$AK186)="","",INDEX(LookupData!AH:AH,$AK186))))</f>
        <v/>
      </c>
      <c r="AI186" s="12" t="str">
        <f>IF($AK186="","",IF($AK186=0,"",IF(INDEX(LookupData!AI:AI,$AK186)="","",HYPERLINK(INDEX(LookupData!AI:AI,$AK186),"Open"))))</f>
        <v/>
      </c>
      <c r="AK186" t="str">
        <f>IF(AL186="","",IFERROR(MATCH(AL186,LookupData!$A:$A,0),0))</f>
        <v/>
      </c>
      <c r="AL186" t="str">
        <f t="shared" si="10"/>
        <v/>
      </c>
      <c r="AM186" t="str">
        <f t="shared" si="11"/>
        <v/>
      </c>
    </row>
    <row r="187" spans="1:39" x14ac:dyDescent="0.2">
      <c r="A187" s="9"/>
      <c r="B187" s="10" t="str">
        <f>IF($AK187="","",IF($AK187=0,"not in the database",IF(INDEX(LookupData!B:B,$AK187)="","",INDEX(LookupData!B:B,$AK187))))</f>
        <v/>
      </c>
      <c r="C187" t="str">
        <f>IF($AK187="","",IF($AK187=0,"",IF(INDEX(LookupData!C:C,$AK187)="","",INDEX(LookupData!C:C,$AK187))))</f>
        <v/>
      </c>
      <c r="D187" t="str">
        <f>IF($AK187="","",IF($AK187=0,"",IF(INDEX(LookupData!D:D,$AK187)="","",INDEX(LookupData!D:D,$AK187))))</f>
        <v/>
      </c>
      <c r="E187" t="str">
        <f>IF($AK187="","",IF($AK187=0,"",IF(INDEX(LookupData!E:E,$AK187)="","",INDEX(LookupData!E:E,$AK187))))</f>
        <v/>
      </c>
      <c r="F187" t="str">
        <f>IF($AK187="","",IF($AK187=0,"",IF(INDEX(LookupData!F:F,$AK187)="","",INDEX(LookupData!F:F,$AK187))))</f>
        <v/>
      </c>
      <c r="G187" t="str">
        <f>IF($AK187="","",IF($AK187=0,"",IF(INDEX(LookupData!G:G,$AK187)="","",INDEX(LookupData!G:G,$AK187))))</f>
        <v/>
      </c>
      <c r="H187" t="str">
        <f>IF($AK187="","",IF($AK187=0,"",IF(INDEX(LookupData!H:H,$AK187)="","",INDEX(LookupData!H:H,$AK187))))</f>
        <v/>
      </c>
      <c r="I187" s="7" t="str">
        <f>IF($AK187="","",IF($AK187=0,"",IF(INDEX(LookupData!I:I,$AK187)="","",INDEX(LookupData!I:I,$AK187))))</f>
        <v/>
      </c>
      <c r="J187" s="7" t="str">
        <f>IF($AK187="","",IF($AK187=0,"",IF(INDEX(LookupData!J:J,$AK187)="","",INDEX(LookupData!J:J,$AK187))))</f>
        <v/>
      </c>
      <c r="K187" s="7" t="str">
        <f>IF($AK187="","",IF($AK187=0,"",IF(INDEX(LookupData!K:K,$AK187)="","",INDEX(LookupData!K:K,$AK187))))</f>
        <v/>
      </c>
      <c r="L187" s="7" t="str">
        <f>IF($AK187="","",IF($AK187=0,"",IF(INDEX(LookupData!L:L,$AK187)="","",INDEX(LookupData!L:L,$AK187))))</f>
        <v/>
      </c>
      <c r="M187" s="7" t="str">
        <f>IF($AK187="","",IF($AK187=0,"",IF(INDEX(LookupData!M:M,$AK187)="","",INDEX(LookupData!M:M,$AK187))))</f>
        <v/>
      </c>
      <c r="N187" s="7" t="str">
        <f>IF($AK187="","",IF($AK187=0,"",IF(INDEX(LookupData!N:N,$AK187)="","",INDEX(LookupData!N:N,$AK187))))</f>
        <v/>
      </c>
      <c r="O187" s="7" t="str">
        <f>IF($AK187="","",IF($AK187=0,"",IF(INDEX(LookupData!O:O,$AK187)="","",INDEX(LookupData!O:O,$AK187))))</f>
        <v/>
      </c>
      <c r="P187" s="7" t="str">
        <f>IF($AK187="","",IF($AK187=0,"",IF(INDEX(LookupData!P:P,$AK187)="","",INDEX(LookupData!P:P,$AK187))))</f>
        <v/>
      </c>
      <c r="Q187" s="7" t="str">
        <f>IF($AK187="","",IF($AK187=0,"",IF(INDEX(LookupData!Q:Q,$AK187)="","",INDEX(LookupData!Q:Q,$AK187))))</f>
        <v/>
      </c>
      <c r="R187" s="7" t="str">
        <f>IF($AK187="","",IF($AK187=0,"",IF(INDEX(LookupData!R:R,$AK187)="","",INDEX(LookupData!R:R,$AK187))))</f>
        <v/>
      </c>
      <c r="S187" s="7" t="str">
        <f>IF($AK187="","",IF($AK187=0,"",IF(INDEX(LookupData!S:S,$AK187)="","",INDEX(LookupData!S:S,$AK187))))</f>
        <v/>
      </c>
      <c r="T187" s="7" t="str">
        <f>IF($AK187="","",IF($AK187=0,"",IF(INDEX(LookupData!T:T,$AK187)="","",INDEX(LookupData!T:T,$AK187))))</f>
        <v/>
      </c>
      <c r="U187" s="7" t="str">
        <f>IF($AK187="","",IF($AK187=0,"",IF(INDEX(LookupData!U:U,$AK187)="","",INDEX(LookupData!U:U,$AK187))))</f>
        <v/>
      </c>
      <c r="V187" s="7" t="str">
        <f>IF($AK187="","",IF($AK187=0,"",IF(INDEX(LookupData!V:V,$AK187)="","",INDEX(LookupData!V:V,$AK187))))</f>
        <v/>
      </c>
      <c r="W187" t="str">
        <f>IF($AK187="","",IF($AK187=0,"",IF(INDEX(LookupData!W:W,$AK187)="","",INDEX(LookupData!W:W,$AK187))))</f>
        <v/>
      </c>
      <c r="X187" s="7" t="str">
        <f>IF($AK187="","",IF($AK187=0,"",IF(INDEX(LookupData!X:X,$AK187)="","",INDEX(LookupData!X:X,$AK187))))</f>
        <v/>
      </c>
      <c r="Y187" s="7" t="str">
        <f>IF($AK187="","",IF($AK187=0,"",IF(INDEX(LookupData!Y:Y,$AK187)="","",INDEX(LookupData!Y:Y,$AK187))))</f>
        <v/>
      </c>
      <c r="Z187" s="7" t="str">
        <f>IF($AK187="","",IF($AK187=0,"",IF(INDEX(LookupData!Z:Z,$AK187)="","",INDEX(LookupData!Z:Z,$AK187))))</f>
        <v/>
      </c>
      <c r="AA187" s="7" t="str">
        <f>IF($AK187="","",IF($AK187=0,"",IF(INDEX(LookupData!AA:AA,$AK187)="","",INDEX(LookupData!AA:AA,$AK187))))</f>
        <v/>
      </c>
      <c r="AB187" s="7" t="str">
        <f>IF($AK187="","",IF($AK187=0,"",IF(INDEX(LookupData!AB:AB,$AK187)="","",INDEX(LookupData!AB:AB,$AK187))))</f>
        <v/>
      </c>
      <c r="AC187" s="7" t="str">
        <f>IF($AK187="","",IF($AK187=0,"",IF(INDEX(LookupData!AC:AC,$AK187)="","",INDEX(LookupData!AC:AC,$AK187))))</f>
        <v/>
      </c>
      <c r="AD187" s="7" t="str">
        <f>IF($AK187="","",IF($AK187=0,"",IF(INDEX(LookupData!AD:AD,$AK187)="","",INDEX(LookupData!AD:AD,$AK187))))</f>
        <v/>
      </c>
      <c r="AE187" s="7" t="str">
        <f>IF($AK187="","",IF($AK187=0,"",IF(INDEX(LookupData!AE:AE,$AK187)="","",INDEX(LookupData!AE:AE,$AK187))))</f>
        <v/>
      </c>
      <c r="AF187" t="str">
        <f>IF($AK187="","",IF($AK187=0,"",IF(INDEX(LookupData!AF:AF,$AK187)="","",INDEX(LookupData!AF:AF,$AK187))))</f>
        <v/>
      </c>
      <c r="AG187" t="str">
        <f>IF($AK187="","",IF($AK187=0,"",IF(INDEX(LookupData!AG:AG,$AK187)="","",INDEX(LookupData!AG:AG,$AK187))))</f>
        <v/>
      </c>
      <c r="AH187" s="11" t="str">
        <f>IF($AK187="","",IF($AK187=0,"",IF(INDEX(LookupData!AH:AH,$AK187)="","",INDEX(LookupData!AH:AH,$AK187))))</f>
        <v/>
      </c>
      <c r="AI187" s="12" t="str">
        <f>IF($AK187="","",IF($AK187=0,"",IF(INDEX(LookupData!AI:AI,$AK187)="","",HYPERLINK(INDEX(LookupData!AI:AI,$AK187),"Open"))))</f>
        <v/>
      </c>
      <c r="AK187" t="str">
        <f>IF(AL187="","",IFERROR(MATCH(AL187,LookupData!$A:$A,0),0))</f>
        <v/>
      </c>
      <c r="AL187" t="str">
        <f t="shared" si="10"/>
        <v/>
      </c>
      <c r="AM187" t="str">
        <f t="shared" si="11"/>
        <v/>
      </c>
    </row>
    <row r="188" spans="1:39" x14ac:dyDescent="0.2">
      <c r="A188" s="9"/>
      <c r="B188" s="10" t="str">
        <f>IF($AK188="","",IF($AK188=0,"not in the database",IF(INDEX(LookupData!B:B,$AK188)="","",INDEX(LookupData!B:B,$AK188))))</f>
        <v/>
      </c>
      <c r="C188" t="str">
        <f>IF($AK188="","",IF($AK188=0,"",IF(INDEX(LookupData!C:C,$AK188)="","",INDEX(LookupData!C:C,$AK188))))</f>
        <v/>
      </c>
      <c r="D188" t="str">
        <f>IF($AK188="","",IF($AK188=0,"",IF(INDEX(LookupData!D:D,$AK188)="","",INDEX(LookupData!D:D,$AK188))))</f>
        <v/>
      </c>
      <c r="E188" t="str">
        <f>IF($AK188="","",IF($AK188=0,"",IF(INDEX(LookupData!E:E,$AK188)="","",INDEX(LookupData!E:E,$AK188))))</f>
        <v/>
      </c>
      <c r="F188" t="str">
        <f>IF($AK188="","",IF($AK188=0,"",IF(INDEX(LookupData!F:F,$AK188)="","",INDEX(LookupData!F:F,$AK188))))</f>
        <v/>
      </c>
      <c r="G188" t="str">
        <f>IF($AK188="","",IF($AK188=0,"",IF(INDEX(LookupData!G:G,$AK188)="","",INDEX(LookupData!G:G,$AK188))))</f>
        <v/>
      </c>
      <c r="H188" t="str">
        <f>IF($AK188="","",IF($AK188=0,"",IF(INDEX(LookupData!H:H,$AK188)="","",INDEX(LookupData!H:H,$AK188))))</f>
        <v/>
      </c>
      <c r="I188" s="7" t="str">
        <f>IF($AK188="","",IF($AK188=0,"",IF(INDEX(LookupData!I:I,$AK188)="","",INDEX(LookupData!I:I,$AK188))))</f>
        <v/>
      </c>
      <c r="J188" s="7" t="str">
        <f>IF($AK188="","",IF($AK188=0,"",IF(INDEX(LookupData!J:J,$AK188)="","",INDEX(LookupData!J:J,$AK188))))</f>
        <v/>
      </c>
      <c r="K188" s="7" t="str">
        <f>IF($AK188="","",IF($AK188=0,"",IF(INDEX(LookupData!K:K,$AK188)="","",INDEX(LookupData!K:K,$AK188))))</f>
        <v/>
      </c>
      <c r="L188" s="7" t="str">
        <f>IF($AK188="","",IF($AK188=0,"",IF(INDEX(LookupData!L:L,$AK188)="","",INDEX(LookupData!L:L,$AK188))))</f>
        <v/>
      </c>
      <c r="M188" s="7" t="str">
        <f>IF($AK188="","",IF($AK188=0,"",IF(INDEX(LookupData!M:M,$AK188)="","",INDEX(LookupData!M:M,$AK188))))</f>
        <v/>
      </c>
      <c r="N188" s="7" t="str">
        <f>IF($AK188="","",IF($AK188=0,"",IF(INDEX(LookupData!N:N,$AK188)="","",INDEX(LookupData!N:N,$AK188))))</f>
        <v/>
      </c>
      <c r="O188" s="7" t="str">
        <f>IF($AK188="","",IF($AK188=0,"",IF(INDEX(LookupData!O:O,$AK188)="","",INDEX(LookupData!O:O,$AK188))))</f>
        <v/>
      </c>
      <c r="P188" s="7" t="str">
        <f>IF($AK188="","",IF($AK188=0,"",IF(INDEX(LookupData!P:P,$AK188)="","",INDEX(LookupData!P:P,$AK188))))</f>
        <v/>
      </c>
      <c r="Q188" s="7" t="str">
        <f>IF($AK188="","",IF($AK188=0,"",IF(INDEX(LookupData!Q:Q,$AK188)="","",INDEX(LookupData!Q:Q,$AK188))))</f>
        <v/>
      </c>
      <c r="R188" s="7" t="str">
        <f>IF($AK188="","",IF($AK188=0,"",IF(INDEX(LookupData!R:R,$AK188)="","",INDEX(LookupData!R:R,$AK188))))</f>
        <v/>
      </c>
      <c r="S188" s="7" t="str">
        <f>IF($AK188="","",IF($AK188=0,"",IF(INDEX(LookupData!S:S,$AK188)="","",INDEX(LookupData!S:S,$AK188))))</f>
        <v/>
      </c>
      <c r="T188" s="7" t="str">
        <f>IF($AK188="","",IF($AK188=0,"",IF(INDEX(LookupData!T:T,$AK188)="","",INDEX(LookupData!T:T,$AK188))))</f>
        <v/>
      </c>
      <c r="U188" s="7" t="str">
        <f>IF($AK188="","",IF($AK188=0,"",IF(INDEX(LookupData!U:U,$AK188)="","",INDEX(LookupData!U:U,$AK188))))</f>
        <v/>
      </c>
      <c r="V188" s="7" t="str">
        <f>IF($AK188="","",IF($AK188=0,"",IF(INDEX(LookupData!V:V,$AK188)="","",INDEX(LookupData!V:V,$AK188))))</f>
        <v/>
      </c>
      <c r="W188" t="str">
        <f>IF($AK188="","",IF($AK188=0,"",IF(INDEX(LookupData!W:W,$AK188)="","",INDEX(LookupData!W:W,$AK188))))</f>
        <v/>
      </c>
      <c r="X188" s="7" t="str">
        <f>IF($AK188="","",IF($AK188=0,"",IF(INDEX(LookupData!X:X,$AK188)="","",INDEX(LookupData!X:X,$AK188))))</f>
        <v/>
      </c>
      <c r="Y188" s="7" t="str">
        <f>IF($AK188="","",IF($AK188=0,"",IF(INDEX(LookupData!Y:Y,$AK188)="","",INDEX(LookupData!Y:Y,$AK188))))</f>
        <v/>
      </c>
      <c r="Z188" s="7" t="str">
        <f>IF($AK188="","",IF($AK188=0,"",IF(INDEX(LookupData!Z:Z,$AK188)="","",INDEX(LookupData!Z:Z,$AK188))))</f>
        <v/>
      </c>
      <c r="AA188" s="7" t="str">
        <f>IF($AK188="","",IF($AK188=0,"",IF(INDEX(LookupData!AA:AA,$AK188)="","",INDEX(LookupData!AA:AA,$AK188))))</f>
        <v/>
      </c>
      <c r="AB188" s="7" t="str">
        <f>IF($AK188="","",IF($AK188=0,"",IF(INDEX(LookupData!AB:AB,$AK188)="","",INDEX(LookupData!AB:AB,$AK188))))</f>
        <v/>
      </c>
      <c r="AC188" s="7" t="str">
        <f>IF($AK188="","",IF($AK188=0,"",IF(INDEX(LookupData!AC:AC,$AK188)="","",INDEX(LookupData!AC:AC,$AK188))))</f>
        <v/>
      </c>
      <c r="AD188" s="7" t="str">
        <f>IF($AK188="","",IF($AK188=0,"",IF(INDEX(LookupData!AD:AD,$AK188)="","",INDEX(LookupData!AD:AD,$AK188))))</f>
        <v/>
      </c>
      <c r="AE188" s="7" t="str">
        <f>IF($AK188="","",IF($AK188=0,"",IF(INDEX(LookupData!AE:AE,$AK188)="","",INDEX(LookupData!AE:AE,$AK188))))</f>
        <v/>
      </c>
      <c r="AF188" t="str">
        <f>IF($AK188="","",IF($AK188=0,"",IF(INDEX(LookupData!AF:AF,$AK188)="","",INDEX(LookupData!AF:AF,$AK188))))</f>
        <v/>
      </c>
      <c r="AG188" t="str">
        <f>IF($AK188="","",IF($AK188=0,"",IF(INDEX(LookupData!AG:AG,$AK188)="","",INDEX(LookupData!AG:AG,$AK188))))</f>
        <v/>
      </c>
      <c r="AH188" s="11" t="str">
        <f>IF($AK188="","",IF($AK188=0,"",IF(INDEX(LookupData!AH:AH,$AK188)="","",INDEX(LookupData!AH:AH,$AK188))))</f>
        <v/>
      </c>
      <c r="AI188" s="12" t="str">
        <f>IF($AK188="","",IF($AK188=0,"",IF(INDEX(LookupData!AI:AI,$AK188)="","",HYPERLINK(INDEX(LookupData!AI:AI,$AK188),"Open"))))</f>
        <v/>
      </c>
      <c r="AK188" t="str">
        <f>IF(AL188="","",IFERROR(MATCH(AL188,LookupData!$A:$A,0),0))</f>
        <v/>
      </c>
      <c r="AL188" t="str">
        <f t="shared" si="10"/>
        <v/>
      </c>
      <c r="AM188" t="str">
        <f t="shared" si="11"/>
        <v/>
      </c>
    </row>
    <row r="189" spans="1:39" x14ac:dyDescent="0.2">
      <c r="A189" s="9"/>
      <c r="B189" s="10" t="str">
        <f>IF($AK189="","",IF($AK189=0,"not in the database",IF(INDEX(LookupData!B:B,$AK189)="","",INDEX(LookupData!B:B,$AK189))))</f>
        <v/>
      </c>
      <c r="C189" t="str">
        <f>IF($AK189="","",IF($AK189=0,"",IF(INDEX(LookupData!C:C,$AK189)="","",INDEX(LookupData!C:C,$AK189))))</f>
        <v/>
      </c>
      <c r="D189" t="str">
        <f>IF($AK189="","",IF($AK189=0,"",IF(INDEX(LookupData!D:D,$AK189)="","",INDEX(LookupData!D:D,$AK189))))</f>
        <v/>
      </c>
      <c r="E189" t="str">
        <f>IF($AK189="","",IF($AK189=0,"",IF(INDEX(LookupData!E:E,$AK189)="","",INDEX(LookupData!E:E,$AK189))))</f>
        <v/>
      </c>
      <c r="F189" t="str">
        <f>IF($AK189="","",IF($AK189=0,"",IF(INDEX(LookupData!F:F,$AK189)="","",INDEX(LookupData!F:F,$AK189))))</f>
        <v/>
      </c>
      <c r="G189" t="str">
        <f>IF($AK189="","",IF($AK189=0,"",IF(INDEX(LookupData!G:G,$AK189)="","",INDEX(LookupData!G:G,$AK189))))</f>
        <v/>
      </c>
      <c r="H189" t="str">
        <f>IF($AK189="","",IF($AK189=0,"",IF(INDEX(LookupData!H:H,$AK189)="","",INDEX(LookupData!H:H,$AK189))))</f>
        <v/>
      </c>
      <c r="I189" s="7" t="str">
        <f>IF($AK189="","",IF($AK189=0,"",IF(INDEX(LookupData!I:I,$AK189)="","",INDEX(LookupData!I:I,$AK189))))</f>
        <v/>
      </c>
      <c r="J189" s="7" t="str">
        <f>IF($AK189="","",IF($AK189=0,"",IF(INDEX(LookupData!J:J,$AK189)="","",INDEX(LookupData!J:J,$AK189))))</f>
        <v/>
      </c>
      <c r="K189" s="7" t="str">
        <f>IF($AK189="","",IF($AK189=0,"",IF(INDEX(LookupData!K:K,$AK189)="","",INDEX(LookupData!K:K,$AK189))))</f>
        <v/>
      </c>
      <c r="L189" s="7" t="str">
        <f>IF($AK189="","",IF($AK189=0,"",IF(INDEX(LookupData!L:L,$AK189)="","",INDEX(LookupData!L:L,$AK189))))</f>
        <v/>
      </c>
      <c r="M189" s="7" t="str">
        <f>IF($AK189="","",IF($AK189=0,"",IF(INDEX(LookupData!M:M,$AK189)="","",INDEX(LookupData!M:M,$AK189))))</f>
        <v/>
      </c>
      <c r="N189" s="7" t="str">
        <f>IF($AK189="","",IF($AK189=0,"",IF(INDEX(LookupData!N:N,$AK189)="","",INDEX(LookupData!N:N,$AK189))))</f>
        <v/>
      </c>
      <c r="O189" s="7" t="str">
        <f>IF($AK189="","",IF($AK189=0,"",IF(INDEX(LookupData!O:O,$AK189)="","",INDEX(LookupData!O:O,$AK189))))</f>
        <v/>
      </c>
      <c r="P189" s="7" t="str">
        <f>IF($AK189="","",IF($AK189=0,"",IF(INDEX(LookupData!P:P,$AK189)="","",INDEX(LookupData!P:P,$AK189))))</f>
        <v/>
      </c>
      <c r="Q189" s="7" t="str">
        <f>IF($AK189="","",IF($AK189=0,"",IF(INDEX(LookupData!Q:Q,$AK189)="","",INDEX(LookupData!Q:Q,$AK189))))</f>
        <v/>
      </c>
      <c r="R189" s="7" t="str">
        <f>IF($AK189="","",IF($AK189=0,"",IF(INDEX(LookupData!R:R,$AK189)="","",INDEX(LookupData!R:R,$AK189))))</f>
        <v/>
      </c>
      <c r="S189" s="7" t="str">
        <f>IF($AK189="","",IF($AK189=0,"",IF(INDEX(LookupData!S:S,$AK189)="","",INDEX(LookupData!S:S,$AK189))))</f>
        <v/>
      </c>
      <c r="T189" s="7" t="str">
        <f>IF($AK189="","",IF($AK189=0,"",IF(INDEX(LookupData!T:T,$AK189)="","",INDEX(LookupData!T:T,$AK189))))</f>
        <v/>
      </c>
      <c r="U189" s="7" t="str">
        <f>IF($AK189="","",IF($AK189=0,"",IF(INDEX(LookupData!U:U,$AK189)="","",INDEX(LookupData!U:U,$AK189))))</f>
        <v/>
      </c>
      <c r="V189" s="7" t="str">
        <f>IF($AK189="","",IF($AK189=0,"",IF(INDEX(LookupData!V:V,$AK189)="","",INDEX(LookupData!V:V,$AK189))))</f>
        <v/>
      </c>
      <c r="W189" t="str">
        <f>IF($AK189="","",IF($AK189=0,"",IF(INDEX(LookupData!W:W,$AK189)="","",INDEX(LookupData!W:W,$AK189))))</f>
        <v/>
      </c>
      <c r="X189" s="7" t="str">
        <f>IF($AK189="","",IF($AK189=0,"",IF(INDEX(LookupData!X:X,$AK189)="","",INDEX(LookupData!X:X,$AK189))))</f>
        <v/>
      </c>
      <c r="Y189" s="7" t="str">
        <f>IF($AK189="","",IF($AK189=0,"",IF(INDEX(LookupData!Y:Y,$AK189)="","",INDEX(LookupData!Y:Y,$AK189))))</f>
        <v/>
      </c>
      <c r="Z189" s="7" t="str">
        <f>IF($AK189="","",IF($AK189=0,"",IF(INDEX(LookupData!Z:Z,$AK189)="","",INDEX(LookupData!Z:Z,$AK189))))</f>
        <v/>
      </c>
      <c r="AA189" s="7" t="str">
        <f>IF($AK189="","",IF($AK189=0,"",IF(INDEX(LookupData!AA:AA,$AK189)="","",INDEX(LookupData!AA:AA,$AK189))))</f>
        <v/>
      </c>
      <c r="AB189" s="7" t="str">
        <f>IF($AK189="","",IF($AK189=0,"",IF(INDEX(LookupData!AB:AB,$AK189)="","",INDEX(LookupData!AB:AB,$AK189))))</f>
        <v/>
      </c>
      <c r="AC189" s="7" t="str">
        <f>IF($AK189="","",IF($AK189=0,"",IF(INDEX(LookupData!AC:AC,$AK189)="","",INDEX(LookupData!AC:AC,$AK189))))</f>
        <v/>
      </c>
      <c r="AD189" s="7" t="str">
        <f>IF($AK189="","",IF($AK189=0,"",IF(INDEX(LookupData!AD:AD,$AK189)="","",INDEX(LookupData!AD:AD,$AK189))))</f>
        <v/>
      </c>
      <c r="AE189" s="7" t="str">
        <f>IF($AK189="","",IF($AK189=0,"",IF(INDEX(LookupData!AE:AE,$AK189)="","",INDEX(LookupData!AE:AE,$AK189))))</f>
        <v/>
      </c>
      <c r="AF189" t="str">
        <f>IF($AK189="","",IF($AK189=0,"",IF(INDEX(LookupData!AF:AF,$AK189)="","",INDEX(LookupData!AF:AF,$AK189))))</f>
        <v/>
      </c>
      <c r="AG189" t="str">
        <f>IF($AK189="","",IF($AK189=0,"",IF(INDEX(LookupData!AG:AG,$AK189)="","",INDEX(LookupData!AG:AG,$AK189))))</f>
        <v/>
      </c>
      <c r="AH189" s="11" t="str">
        <f>IF($AK189="","",IF($AK189=0,"",IF(INDEX(LookupData!AH:AH,$AK189)="","",INDEX(LookupData!AH:AH,$AK189))))</f>
        <v/>
      </c>
      <c r="AI189" s="12" t="str">
        <f>IF($AK189="","",IF($AK189=0,"",IF(INDEX(LookupData!AI:AI,$AK189)="","",HYPERLINK(INDEX(LookupData!AI:AI,$AK189),"Open"))))</f>
        <v/>
      </c>
      <c r="AK189" t="str">
        <f>IF(AL189="","",IFERROR(MATCH(AL189,LookupData!$A:$A,0),0))</f>
        <v/>
      </c>
      <c r="AL189" t="str">
        <f t="shared" si="10"/>
        <v/>
      </c>
      <c r="AM189" t="str">
        <f t="shared" si="11"/>
        <v/>
      </c>
    </row>
    <row r="190" spans="1:39" x14ac:dyDescent="0.2">
      <c r="A190" s="9"/>
      <c r="B190" s="10" t="str">
        <f>IF($AK190="","",IF($AK190=0,"not in the database",IF(INDEX(LookupData!B:B,$AK190)="","",INDEX(LookupData!B:B,$AK190))))</f>
        <v/>
      </c>
      <c r="C190" t="str">
        <f>IF($AK190="","",IF($AK190=0,"",IF(INDEX(LookupData!C:C,$AK190)="","",INDEX(LookupData!C:C,$AK190))))</f>
        <v/>
      </c>
      <c r="D190" t="str">
        <f>IF($AK190="","",IF($AK190=0,"",IF(INDEX(LookupData!D:D,$AK190)="","",INDEX(LookupData!D:D,$AK190))))</f>
        <v/>
      </c>
      <c r="E190" t="str">
        <f>IF($AK190="","",IF($AK190=0,"",IF(INDEX(LookupData!E:E,$AK190)="","",INDEX(LookupData!E:E,$AK190))))</f>
        <v/>
      </c>
      <c r="F190" t="str">
        <f>IF($AK190="","",IF($AK190=0,"",IF(INDEX(LookupData!F:F,$AK190)="","",INDEX(LookupData!F:F,$AK190))))</f>
        <v/>
      </c>
      <c r="G190" t="str">
        <f>IF($AK190="","",IF($AK190=0,"",IF(INDEX(LookupData!G:G,$AK190)="","",INDEX(LookupData!G:G,$AK190))))</f>
        <v/>
      </c>
      <c r="H190" t="str">
        <f>IF($AK190="","",IF($AK190=0,"",IF(INDEX(LookupData!H:H,$AK190)="","",INDEX(LookupData!H:H,$AK190))))</f>
        <v/>
      </c>
      <c r="I190" s="7" t="str">
        <f>IF($AK190="","",IF($AK190=0,"",IF(INDEX(LookupData!I:I,$AK190)="","",INDEX(LookupData!I:I,$AK190))))</f>
        <v/>
      </c>
      <c r="J190" s="7" t="str">
        <f>IF($AK190="","",IF($AK190=0,"",IF(INDEX(LookupData!J:J,$AK190)="","",INDEX(LookupData!J:J,$AK190))))</f>
        <v/>
      </c>
      <c r="K190" s="7" t="str">
        <f>IF($AK190="","",IF($AK190=0,"",IF(INDEX(LookupData!K:K,$AK190)="","",INDEX(LookupData!K:K,$AK190))))</f>
        <v/>
      </c>
      <c r="L190" s="7" t="str">
        <f>IF($AK190="","",IF($AK190=0,"",IF(INDEX(LookupData!L:L,$AK190)="","",INDEX(LookupData!L:L,$AK190))))</f>
        <v/>
      </c>
      <c r="M190" s="7" t="str">
        <f>IF($AK190="","",IF($AK190=0,"",IF(INDEX(LookupData!M:M,$AK190)="","",INDEX(LookupData!M:M,$AK190))))</f>
        <v/>
      </c>
      <c r="N190" s="7" t="str">
        <f>IF($AK190="","",IF($AK190=0,"",IF(INDEX(LookupData!N:N,$AK190)="","",INDEX(LookupData!N:N,$AK190))))</f>
        <v/>
      </c>
      <c r="O190" s="7" t="str">
        <f>IF($AK190="","",IF($AK190=0,"",IF(INDEX(LookupData!O:O,$AK190)="","",INDEX(LookupData!O:O,$AK190))))</f>
        <v/>
      </c>
      <c r="P190" s="7" t="str">
        <f>IF($AK190="","",IF($AK190=0,"",IF(INDEX(LookupData!P:P,$AK190)="","",INDEX(LookupData!P:P,$AK190))))</f>
        <v/>
      </c>
      <c r="Q190" s="7" t="str">
        <f>IF($AK190="","",IF($AK190=0,"",IF(INDEX(LookupData!Q:Q,$AK190)="","",INDEX(LookupData!Q:Q,$AK190))))</f>
        <v/>
      </c>
      <c r="R190" s="7" t="str">
        <f>IF($AK190="","",IF($AK190=0,"",IF(INDEX(LookupData!R:R,$AK190)="","",INDEX(LookupData!R:R,$AK190))))</f>
        <v/>
      </c>
      <c r="S190" s="7" t="str">
        <f>IF($AK190="","",IF($AK190=0,"",IF(INDEX(LookupData!S:S,$AK190)="","",INDEX(LookupData!S:S,$AK190))))</f>
        <v/>
      </c>
      <c r="T190" s="7" t="str">
        <f>IF($AK190="","",IF($AK190=0,"",IF(INDEX(LookupData!T:T,$AK190)="","",INDEX(LookupData!T:T,$AK190))))</f>
        <v/>
      </c>
      <c r="U190" s="7" t="str">
        <f>IF($AK190="","",IF($AK190=0,"",IF(INDEX(LookupData!U:U,$AK190)="","",INDEX(LookupData!U:U,$AK190))))</f>
        <v/>
      </c>
      <c r="V190" s="7" t="str">
        <f>IF($AK190="","",IF($AK190=0,"",IF(INDEX(LookupData!V:V,$AK190)="","",INDEX(LookupData!V:V,$AK190))))</f>
        <v/>
      </c>
      <c r="W190" t="str">
        <f>IF($AK190="","",IF($AK190=0,"",IF(INDEX(LookupData!W:W,$AK190)="","",INDEX(LookupData!W:W,$AK190))))</f>
        <v/>
      </c>
      <c r="X190" s="7" t="str">
        <f>IF($AK190="","",IF($AK190=0,"",IF(INDEX(LookupData!X:X,$AK190)="","",INDEX(LookupData!X:X,$AK190))))</f>
        <v/>
      </c>
      <c r="Y190" s="7" t="str">
        <f>IF($AK190="","",IF($AK190=0,"",IF(INDEX(LookupData!Y:Y,$AK190)="","",INDEX(LookupData!Y:Y,$AK190))))</f>
        <v/>
      </c>
      <c r="Z190" s="7" t="str">
        <f>IF($AK190="","",IF($AK190=0,"",IF(INDEX(LookupData!Z:Z,$AK190)="","",INDEX(LookupData!Z:Z,$AK190))))</f>
        <v/>
      </c>
      <c r="AA190" s="7" t="str">
        <f>IF($AK190="","",IF($AK190=0,"",IF(INDEX(LookupData!AA:AA,$AK190)="","",INDEX(LookupData!AA:AA,$AK190))))</f>
        <v/>
      </c>
      <c r="AB190" s="7" t="str">
        <f>IF($AK190="","",IF($AK190=0,"",IF(INDEX(LookupData!AB:AB,$AK190)="","",INDEX(LookupData!AB:AB,$AK190))))</f>
        <v/>
      </c>
      <c r="AC190" s="7" t="str">
        <f>IF($AK190="","",IF($AK190=0,"",IF(INDEX(LookupData!AC:AC,$AK190)="","",INDEX(LookupData!AC:AC,$AK190))))</f>
        <v/>
      </c>
      <c r="AD190" s="7" t="str">
        <f>IF($AK190="","",IF($AK190=0,"",IF(INDEX(LookupData!AD:AD,$AK190)="","",INDEX(LookupData!AD:AD,$AK190))))</f>
        <v/>
      </c>
      <c r="AE190" s="7" t="str">
        <f>IF($AK190="","",IF($AK190=0,"",IF(INDEX(LookupData!AE:AE,$AK190)="","",INDEX(LookupData!AE:AE,$AK190))))</f>
        <v/>
      </c>
      <c r="AF190" t="str">
        <f>IF($AK190="","",IF($AK190=0,"",IF(INDEX(LookupData!AF:AF,$AK190)="","",INDEX(LookupData!AF:AF,$AK190))))</f>
        <v/>
      </c>
      <c r="AG190" t="str">
        <f>IF($AK190="","",IF($AK190=0,"",IF(INDEX(LookupData!AG:AG,$AK190)="","",INDEX(LookupData!AG:AG,$AK190))))</f>
        <v/>
      </c>
      <c r="AH190" s="11" t="str">
        <f>IF($AK190="","",IF($AK190=0,"",IF(INDEX(LookupData!AH:AH,$AK190)="","",INDEX(LookupData!AH:AH,$AK190))))</f>
        <v/>
      </c>
      <c r="AI190" s="12" t="str">
        <f>IF($AK190="","",IF($AK190=0,"",IF(INDEX(LookupData!AI:AI,$AK190)="","",HYPERLINK(INDEX(LookupData!AI:AI,$AK190),"Open"))))</f>
        <v/>
      </c>
      <c r="AK190" t="str">
        <f>IF(AL190="","",IFERROR(MATCH(AL190,LookupData!$A:$A,0),0))</f>
        <v/>
      </c>
      <c r="AL190" t="str">
        <f t="shared" si="10"/>
        <v/>
      </c>
      <c r="AM190" t="str">
        <f t="shared" si="11"/>
        <v/>
      </c>
    </row>
    <row r="191" spans="1:39" x14ac:dyDescent="0.2">
      <c r="A191" s="9"/>
      <c r="B191" s="10" t="str">
        <f>IF($AK191="","",IF($AK191=0,"not in the database",IF(INDEX(LookupData!B:B,$AK191)="","",INDEX(LookupData!B:B,$AK191))))</f>
        <v/>
      </c>
      <c r="C191" t="str">
        <f>IF($AK191="","",IF($AK191=0,"",IF(INDEX(LookupData!C:C,$AK191)="","",INDEX(LookupData!C:C,$AK191))))</f>
        <v/>
      </c>
      <c r="D191" t="str">
        <f>IF($AK191="","",IF($AK191=0,"",IF(INDEX(LookupData!D:D,$AK191)="","",INDEX(LookupData!D:D,$AK191))))</f>
        <v/>
      </c>
      <c r="E191" t="str">
        <f>IF($AK191="","",IF($AK191=0,"",IF(INDEX(LookupData!E:E,$AK191)="","",INDEX(LookupData!E:E,$AK191))))</f>
        <v/>
      </c>
      <c r="F191" t="str">
        <f>IF($AK191="","",IF($AK191=0,"",IF(INDEX(LookupData!F:F,$AK191)="","",INDEX(LookupData!F:F,$AK191))))</f>
        <v/>
      </c>
      <c r="G191" t="str">
        <f>IF($AK191="","",IF($AK191=0,"",IF(INDEX(LookupData!G:G,$AK191)="","",INDEX(LookupData!G:G,$AK191))))</f>
        <v/>
      </c>
      <c r="H191" t="str">
        <f>IF($AK191="","",IF($AK191=0,"",IF(INDEX(LookupData!H:H,$AK191)="","",INDEX(LookupData!H:H,$AK191))))</f>
        <v/>
      </c>
      <c r="I191" s="7" t="str">
        <f>IF($AK191="","",IF($AK191=0,"",IF(INDEX(LookupData!I:I,$AK191)="","",INDEX(LookupData!I:I,$AK191))))</f>
        <v/>
      </c>
      <c r="J191" s="7" t="str">
        <f>IF($AK191="","",IF($AK191=0,"",IF(INDEX(LookupData!J:J,$AK191)="","",INDEX(LookupData!J:J,$AK191))))</f>
        <v/>
      </c>
      <c r="K191" s="7" t="str">
        <f>IF($AK191="","",IF($AK191=0,"",IF(INDEX(LookupData!K:K,$AK191)="","",INDEX(LookupData!K:K,$AK191))))</f>
        <v/>
      </c>
      <c r="L191" s="7" t="str">
        <f>IF($AK191="","",IF($AK191=0,"",IF(INDEX(LookupData!L:L,$AK191)="","",INDEX(LookupData!L:L,$AK191))))</f>
        <v/>
      </c>
      <c r="M191" s="7" t="str">
        <f>IF($AK191="","",IF($AK191=0,"",IF(INDEX(LookupData!M:M,$AK191)="","",INDEX(LookupData!M:M,$AK191))))</f>
        <v/>
      </c>
      <c r="N191" s="7" t="str">
        <f>IF($AK191="","",IF($AK191=0,"",IF(INDEX(LookupData!N:N,$AK191)="","",INDEX(LookupData!N:N,$AK191))))</f>
        <v/>
      </c>
      <c r="O191" s="7" t="str">
        <f>IF($AK191="","",IF($AK191=0,"",IF(INDEX(LookupData!O:O,$AK191)="","",INDEX(LookupData!O:O,$AK191))))</f>
        <v/>
      </c>
      <c r="P191" s="7" t="str">
        <f>IF($AK191="","",IF($AK191=0,"",IF(INDEX(LookupData!P:P,$AK191)="","",INDEX(LookupData!P:P,$AK191))))</f>
        <v/>
      </c>
      <c r="Q191" s="7" t="str">
        <f>IF($AK191="","",IF($AK191=0,"",IF(INDEX(LookupData!Q:Q,$AK191)="","",INDEX(LookupData!Q:Q,$AK191))))</f>
        <v/>
      </c>
      <c r="R191" s="7" t="str">
        <f>IF($AK191="","",IF($AK191=0,"",IF(INDEX(LookupData!R:R,$AK191)="","",INDEX(LookupData!R:R,$AK191))))</f>
        <v/>
      </c>
      <c r="S191" s="7" t="str">
        <f>IF($AK191="","",IF($AK191=0,"",IF(INDEX(LookupData!S:S,$AK191)="","",INDEX(LookupData!S:S,$AK191))))</f>
        <v/>
      </c>
      <c r="T191" s="7" t="str">
        <f>IF($AK191="","",IF($AK191=0,"",IF(INDEX(LookupData!T:T,$AK191)="","",INDEX(LookupData!T:T,$AK191))))</f>
        <v/>
      </c>
      <c r="U191" s="7" t="str">
        <f>IF($AK191="","",IF($AK191=0,"",IF(INDEX(LookupData!U:U,$AK191)="","",INDEX(LookupData!U:U,$AK191))))</f>
        <v/>
      </c>
      <c r="V191" s="7" t="str">
        <f>IF($AK191="","",IF($AK191=0,"",IF(INDEX(LookupData!V:V,$AK191)="","",INDEX(LookupData!V:V,$AK191))))</f>
        <v/>
      </c>
      <c r="W191" t="str">
        <f>IF($AK191="","",IF($AK191=0,"",IF(INDEX(LookupData!W:W,$AK191)="","",INDEX(LookupData!W:W,$AK191))))</f>
        <v/>
      </c>
      <c r="X191" s="7" t="str">
        <f>IF($AK191="","",IF($AK191=0,"",IF(INDEX(LookupData!X:X,$AK191)="","",INDEX(LookupData!X:X,$AK191))))</f>
        <v/>
      </c>
      <c r="Y191" s="7" t="str">
        <f>IF($AK191="","",IF($AK191=0,"",IF(INDEX(LookupData!Y:Y,$AK191)="","",INDEX(LookupData!Y:Y,$AK191))))</f>
        <v/>
      </c>
      <c r="Z191" s="7" t="str">
        <f>IF($AK191="","",IF($AK191=0,"",IF(INDEX(LookupData!Z:Z,$AK191)="","",INDEX(LookupData!Z:Z,$AK191))))</f>
        <v/>
      </c>
      <c r="AA191" s="7" t="str">
        <f>IF($AK191="","",IF($AK191=0,"",IF(INDEX(LookupData!AA:AA,$AK191)="","",INDEX(LookupData!AA:AA,$AK191))))</f>
        <v/>
      </c>
      <c r="AB191" s="7" t="str">
        <f>IF($AK191="","",IF($AK191=0,"",IF(INDEX(LookupData!AB:AB,$AK191)="","",INDEX(LookupData!AB:AB,$AK191))))</f>
        <v/>
      </c>
      <c r="AC191" s="7" t="str">
        <f>IF($AK191="","",IF($AK191=0,"",IF(INDEX(LookupData!AC:AC,$AK191)="","",INDEX(LookupData!AC:AC,$AK191))))</f>
        <v/>
      </c>
      <c r="AD191" s="7" t="str">
        <f>IF($AK191="","",IF($AK191=0,"",IF(INDEX(LookupData!AD:AD,$AK191)="","",INDEX(LookupData!AD:AD,$AK191))))</f>
        <v/>
      </c>
      <c r="AE191" s="7" t="str">
        <f>IF($AK191="","",IF($AK191=0,"",IF(INDEX(LookupData!AE:AE,$AK191)="","",INDEX(LookupData!AE:AE,$AK191))))</f>
        <v/>
      </c>
      <c r="AF191" t="str">
        <f>IF($AK191="","",IF($AK191=0,"",IF(INDEX(LookupData!AF:AF,$AK191)="","",INDEX(LookupData!AF:AF,$AK191))))</f>
        <v/>
      </c>
      <c r="AG191" t="str">
        <f>IF($AK191="","",IF($AK191=0,"",IF(INDEX(LookupData!AG:AG,$AK191)="","",INDEX(LookupData!AG:AG,$AK191))))</f>
        <v/>
      </c>
      <c r="AH191" s="11" t="str">
        <f>IF($AK191="","",IF($AK191=0,"",IF(INDEX(LookupData!AH:AH,$AK191)="","",INDEX(LookupData!AH:AH,$AK191))))</f>
        <v/>
      </c>
      <c r="AI191" s="12" t="str">
        <f>IF($AK191="","",IF($AK191=0,"",IF(INDEX(LookupData!AI:AI,$AK191)="","",HYPERLINK(INDEX(LookupData!AI:AI,$AK191),"Open"))))</f>
        <v/>
      </c>
      <c r="AK191" t="str">
        <f>IF(AL191="","",IFERROR(MATCH(AL191,LookupData!$A:$A,0),0))</f>
        <v/>
      </c>
      <c r="AL191" t="str">
        <f t="shared" si="10"/>
        <v/>
      </c>
      <c r="AM191" t="str">
        <f t="shared" si="11"/>
        <v/>
      </c>
    </row>
    <row r="192" spans="1:39" x14ac:dyDescent="0.2">
      <c r="A192" s="9"/>
      <c r="B192" s="10" t="str">
        <f>IF($AK192="","",IF($AK192=0,"not in the database",IF(INDEX(LookupData!B:B,$AK192)="","",INDEX(LookupData!B:B,$AK192))))</f>
        <v/>
      </c>
      <c r="C192" t="str">
        <f>IF($AK192="","",IF($AK192=0,"",IF(INDEX(LookupData!C:C,$AK192)="","",INDEX(LookupData!C:C,$AK192))))</f>
        <v/>
      </c>
      <c r="D192" t="str">
        <f>IF($AK192="","",IF($AK192=0,"",IF(INDEX(LookupData!D:D,$AK192)="","",INDEX(LookupData!D:D,$AK192))))</f>
        <v/>
      </c>
      <c r="E192" t="str">
        <f>IF($AK192="","",IF($AK192=0,"",IF(INDEX(LookupData!E:E,$AK192)="","",INDEX(LookupData!E:E,$AK192))))</f>
        <v/>
      </c>
      <c r="F192" t="str">
        <f>IF($AK192="","",IF($AK192=0,"",IF(INDEX(LookupData!F:F,$AK192)="","",INDEX(LookupData!F:F,$AK192))))</f>
        <v/>
      </c>
      <c r="G192" t="str">
        <f>IF($AK192="","",IF($AK192=0,"",IF(INDEX(LookupData!G:G,$AK192)="","",INDEX(LookupData!G:G,$AK192))))</f>
        <v/>
      </c>
      <c r="H192" t="str">
        <f>IF($AK192="","",IF($AK192=0,"",IF(INDEX(LookupData!H:H,$AK192)="","",INDEX(LookupData!H:H,$AK192))))</f>
        <v/>
      </c>
      <c r="I192" s="7" t="str">
        <f>IF($AK192="","",IF($AK192=0,"",IF(INDEX(LookupData!I:I,$AK192)="","",INDEX(LookupData!I:I,$AK192))))</f>
        <v/>
      </c>
      <c r="J192" s="7" t="str">
        <f>IF($AK192="","",IF($AK192=0,"",IF(INDEX(LookupData!J:J,$AK192)="","",INDEX(LookupData!J:J,$AK192))))</f>
        <v/>
      </c>
      <c r="K192" s="7" t="str">
        <f>IF($AK192="","",IF($AK192=0,"",IF(INDEX(LookupData!K:K,$AK192)="","",INDEX(LookupData!K:K,$AK192))))</f>
        <v/>
      </c>
      <c r="L192" s="7" t="str">
        <f>IF($AK192="","",IF($AK192=0,"",IF(INDEX(LookupData!L:L,$AK192)="","",INDEX(LookupData!L:L,$AK192))))</f>
        <v/>
      </c>
      <c r="M192" s="7" t="str">
        <f>IF($AK192="","",IF($AK192=0,"",IF(INDEX(LookupData!M:M,$AK192)="","",INDEX(LookupData!M:M,$AK192))))</f>
        <v/>
      </c>
      <c r="N192" s="7" t="str">
        <f>IF($AK192="","",IF($AK192=0,"",IF(INDEX(LookupData!N:N,$AK192)="","",INDEX(LookupData!N:N,$AK192))))</f>
        <v/>
      </c>
      <c r="O192" s="7" t="str">
        <f>IF($AK192="","",IF($AK192=0,"",IF(INDEX(LookupData!O:O,$AK192)="","",INDEX(LookupData!O:O,$AK192))))</f>
        <v/>
      </c>
      <c r="P192" s="7" t="str">
        <f>IF($AK192="","",IF($AK192=0,"",IF(INDEX(LookupData!P:P,$AK192)="","",INDEX(LookupData!P:P,$AK192))))</f>
        <v/>
      </c>
      <c r="Q192" s="7" t="str">
        <f>IF($AK192="","",IF($AK192=0,"",IF(INDEX(LookupData!Q:Q,$AK192)="","",INDEX(LookupData!Q:Q,$AK192))))</f>
        <v/>
      </c>
      <c r="R192" s="7" t="str">
        <f>IF($AK192="","",IF($AK192=0,"",IF(INDEX(LookupData!R:R,$AK192)="","",INDEX(LookupData!R:R,$AK192))))</f>
        <v/>
      </c>
      <c r="S192" s="7" t="str">
        <f>IF($AK192="","",IF($AK192=0,"",IF(INDEX(LookupData!S:S,$AK192)="","",INDEX(LookupData!S:S,$AK192))))</f>
        <v/>
      </c>
      <c r="T192" s="7" t="str">
        <f>IF($AK192="","",IF($AK192=0,"",IF(INDEX(LookupData!T:T,$AK192)="","",INDEX(LookupData!T:T,$AK192))))</f>
        <v/>
      </c>
      <c r="U192" s="7" t="str">
        <f>IF($AK192="","",IF($AK192=0,"",IF(INDEX(LookupData!U:U,$AK192)="","",INDEX(LookupData!U:U,$AK192))))</f>
        <v/>
      </c>
      <c r="V192" s="7" t="str">
        <f>IF($AK192="","",IF($AK192=0,"",IF(INDEX(LookupData!V:V,$AK192)="","",INDEX(LookupData!V:V,$AK192))))</f>
        <v/>
      </c>
      <c r="W192" t="str">
        <f>IF($AK192="","",IF($AK192=0,"",IF(INDEX(LookupData!W:W,$AK192)="","",INDEX(LookupData!W:W,$AK192))))</f>
        <v/>
      </c>
      <c r="X192" s="7" t="str">
        <f>IF($AK192="","",IF($AK192=0,"",IF(INDEX(LookupData!X:X,$AK192)="","",INDEX(LookupData!X:X,$AK192))))</f>
        <v/>
      </c>
      <c r="Y192" s="7" t="str">
        <f>IF($AK192="","",IF($AK192=0,"",IF(INDEX(LookupData!Y:Y,$AK192)="","",INDEX(LookupData!Y:Y,$AK192))))</f>
        <v/>
      </c>
      <c r="Z192" s="7" t="str">
        <f>IF($AK192="","",IF($AK192=0,"",IF(INDEX(LookupData!Z:Z,$AK192)="","",INDEX(LookupData!Z:Z,$AK192))))</f>
        <v/>
      </c>
      <c r="AA192" s="7" t="str">
        <f>IF($AK192="","",IF($AK192=0,"",IF(INDEX(LookupData!AA:AA,$AK192)="","",INDEX(LookupData!AA:AA,$AK192))))</f>
        <v/>
      </c>
      <c r="AB192" s="7" t="str">
        <f>IF($AK192="","",IF($AK192=0,"",IF(INDEX(LookupData!AB:AB,$AK192)="","",INDEX(LookupData!AB:AB,$AK192))))</f>
        <v/>
      </c>
      <c r="AC192" s="7" t="str">
        <f>IF($AK192="","",IF($AK192=0,"",IF(INDEX(LookupData!AC:AC,$AK192)="","",INDEX(LookupData!AC:AC,$AK192))))</f>
        <v/>
      </c>
      <c r="AD192" s="7" t="str">
        <f>IF($AK192="","",IF($AK192=0,"",IF(INDEX(LookupData!AD:AD,$AK192)="","",INDEX(LookupData!AD:AD,$AK192))))</f>
        <v/>
      </c>
      <c r="AE192" s="7" t="str">
        <f>IF($AK192="","",IF($AK192=0,"",IF(INDEX(LookupData!AE:AE,$AK192)="","",INDEX(LookupData!AE:AE,$AK192))))</f>
        <v/>
      </c>
      <c r="AF192" t="str">
        <f>IF($AK192="","",IF($AK192=0,"",IF(INDEX(LookupData!AF:AF,$AK192)="","",INDEX(LookupData!AF:AF,$AK192))))</f>
        <v/>
      </c>
      <c r="AG192" t="str">
        <f>IF($AK192="","",IF($AK192=0,"",IF(INDEX(LookupData!AG:AG,$AK192)="","",INDEX(LookupData!AG:AG,$AK192))))</f>
        <v/>
      </c>
      <c r="AH192" s="11" t="str">
        <f>IF($AK192="","",IF($AK192=0,"",IF(INDEX(LookupData!AH:AH,$AK192)="","",INDEX(LookupData!AH:AH,$AK192))))</f>
        <v/>
      </c>
      <c r="AI192" s="12" t="str">
        <f>IF($AK192="","",IF($AK192=0,"",IF(INDEX(LookupData!AI:AI,$AK192)="","",HYPERLINK(INDEX(LookupData!AI:AI,$AK192),"Open"))))</f>
        <v/>
      </c>
      <c r="AK192" t="str">
        <f>IF(AL192="","",IFERROR(MATCH(AL192,LookupData!$A:$A,0),0))</f>
        <v/>
      </c>
      <c r="AL192" t="str">
        <f t="shared" si="10"/>
        <v/>
      </c>
      <c r="AM192" t="str">
        <f t="shared" si="11"/>
        <v/>
      </c>
    </row>
    <row r="193" spans="1:39" x14ac:dyDescent="0.2">
      <c r="A193" s="9"/>
      <c r="B193" s="10" t="str">
        <f>IF($AK193="","",IF($AK193=0,"not in the database",IF(INDEX(LookupData!B:B,$AK193)="","",INDEX(LookupData!B:B,$AK193))))</f>
        <v/>
      </c>
      <c r="C193" t="str">
        <f>IF($AK193="","",IF($AK193=0,"",IF(INDEX(LookupData!C:C,$AK193)="","",INDEX(LookupData!C:C,$AK193))))</f>
        <v/>
      </c>
      <c r="D193" t="str">
        <f>IF($AK193="","",IF($AK193=0,"",IF(INDEX(LookupData!D:D,$AK193)="","",INDEX(LookupData!D:D,$AK193))))</f>
        <v/>
      </c>
      <c r="E193" t="str">
        <f>IF($AK193="","",IF($AK193=0,"",IF(INDEX(LookupData!E:E,$AK193)="","",INDEX(LookupData!E:E,$AK193))))</f>
        <v/>
      </c>
      <c r="F193" t="str">
        <f>IF($AK193="","",IF($AK193=0,"",IF(INDEX(LookupData!F:F,$AK193)="","",INDEX(LookupData!F:F,$AK193))))</f>
        <v/>
      </c>
      <c r="G193" t="str">
        <f>IF($AK193="","",IF($AK193=0,"",IF(INDEX(LookupData!G:G,$AK193)="","",INDEX(LookupData!G:G,$AK193))))</f>
        <v/>
      </c>
      <c r="H193" t="str">
        <f>IF($AK193="","",IF($AK193=0,"",IF(INDEX(LookupData!H:H,$AK193)="","",INDEX(LookupData!H:H,$AK193))))</f>
        <v/>
      </c>
      <c r="I193" s="7" t="str">
        <f>IF($AK193="","",IF($AK193=0,"",IF(INDEX(LookupData!I:I,$AK193)="","",INDEX(LookupData!I:I,$AK193))))</f>
        <v/>
      </c>
      <c r="J193" s="7" t="str">
        <f>IF($AK193="","",IF($AK193=0,"",IF(INDEX(LookupData!J:J,$AK193)="","",INDEX(LookupData!J:J,$AK193))))</f>
        <v/>
      </c>
      <c r="K193" s="7" t="str">
        <f>IF($AK193="","",IF($AK193=0,"",IF(INDEX(LookupData!K:K,$AK193)="","",INDEX(LookupData!K:K,$AK193))))</f>
        <v/>
      </c>
      <c r="L193" s="7" t="str">
        <f>IF($AK193="","",IF($AK193=0,"",IF(INDEX(LookupData!L:L,$AK193)="","",INDEX(LookupData!L:L,$AK193))))</f>
        <v/>
      </c>
      <c r="M193" s="7" t="str">
        <f>IF($AK193="","",IF($AK193=0,"",IF(INDEX(LookupData!M:M,$AK193)="","",INDEX(LookupData!M:M,$AK193))))</f>
        <v/>
      </c>
      <c r="N193" s="7" t="str">
        <f>IF($AK193="","",IF($AK193=0,"",IF(INDEX(LookupData!N:N,$AK193)="","",INDEX(LookupData!N:N,$AK193))))</f>
        <v/>
      </c>
      <c r="O193" s="7" t="str">
        <f>IF($AK193="","",IF($AK193=0,"",IF(INDEX(LookupData!O:O,$AK193)="","",INDEX(LookupData!O:O,$AK193))))</f>
        <v/>
      </c>
      <c r="P193" s="7" t="str">
        <f>IF($AK193="","",IF($AK193=0,"",IF(INDEX(LookupData!P:P,$AK193)="","",INDEX(LookupData!P:P,$AK193))))</f>
        <v/>
      </c>
      <c r="Q193" s="7" t="str">
        <f>IF($AK193="","",IF($AK193=0,"",IF(INDEX(LookupData!Q:Q,$AK193)="","",INDEX(LookupData!Q:Q,$AK193))))</f>
        <v/>
      </c>
      <c r="R193" s="7" t="str">
        <f>IF($AK193="","",IF($AK193=0,"",IF(INDEX(LookupData!R:R,$AK193)="","",INDEX(LookupData!R:R,$AK193))))</f>
        <v/>
      </c>
      <c r="S193" s="7" t="str">
        <f>IF($AK193="","",IF($AK193=0,"",IF(INDEX(LookupData!S:S,$AK193)="","",INDEX(LookupData!S:S,$AK193))))</f>
        <v/>
      </c>
      <c r="T193" s="7" t="str">
        <f>IF($AK193="","",IF($AK193=0,"",IF(INDEX(LookupData!T:T,$AK193)="","",INDEX(LookupData!T:T,$AK193))))</f>
        <v/>
      </c>
      <c r="U193" s="7" t="str">
        <f>IF($AK193="","",IF($AK193=0,"",IF(INDEX(LookupData!U:U,$AK193)="","",INDEX(LookupData!U:U,$AK193))))</f>
        <v/>
      </c>
      <c r="V193" s="7" t="str">
        <f>IF($AK193="","",IF($AK193=0,"",IF(INDEX(LookupData!V:V,$AK193)="","",INDEX(LookupData!V:V,$AK193))))</f>
        <v/>
      </c>
      <c r="W193" t="str">
        <f>IF($AK193="","",IF($AK193=0,"",IF(INDEX(LookupData!W:W,$AK193)="","",INDEX(LookupData!W:W,$AK193))))</f>
        <v/>
      </c>
      <c r="X193" s="7" t="str">
        <f>IF($AK193="","",IF($AK193=0,"",IF(INDEX(LookupData!X:X,$AK193)="","",INDEX(LookupData!X:X,$AK193))))</f>
        <v/>
      </c>
      <c r="Y193" s="7" t="str">
        <f>IF($AK193="","",IF($AK193=0,"",IF(INDEX(LookupData!Y:Y,$AK193)="","",INDEX(LookupData!Y:Y,$AK193))))</f>
        <v/>
      </c>
      <c r="Z193" s="7" t="str">
        <f>IF($AK193="","",IF($AK193=0,"",IF(INDEX(LookupData!Z:Z,$AK193)="","",INDEX(LookupData!Z:Z,$AK193))))</f>
        <v/>
      </c>
      <c r="AA193" s="7" t="str">
        <f>IF($AK193="","",IF($AK193=0,"",IF(INDEX(LookupData!AA:AA,$AK193)="","",INDEX(LookupData!AA:AA,$AK193))))</f>
        <v/>
      </c>
      <c r="AB193" s="7" t="str">
        <f>IF($AK193="","",IF($AK193=0,"",IF(INDEX(LookupData!AB:AB,$AK193)="","",INDEX(LookupData!AB:AB,$AK193))))</f>
        <v/>
      </c>
      <c r="AC193" s="7" t="str">
        <f>IF($AK193="","",IF($AK193=0,"",IF(INDEX(LookupData!AC:AC,$AK193)="","",INDEX(LookupData!AC:AC,$AK193))))</f>
        <v/>
      </c>
      <c r="AD193" s="7" t="str">
        <f>IF($AK193="","",IF($AK193=0,"",IF(INDEX(LookupData!AD:AD,$AK193)="","",INDEX(LookupData!AD:AD,$AK193))))</f>
        <v/>
      </c>
      <c r="AE193" s="7" t="str">
        <f>IF($AK193="","",IF($AK193=0,"",IF(INDEX(LookupData!AE:AE,$AK193)="","",INDEX(LookupData!AE:AE,$AK193))))</f>
        <v/>
      </c>
      <c r="AF193" t="str">
        <f>IF($AK193="","",IF($AK193=0,"",IF(INDEX(LookupData!AF:AF,$AK193)="","",INDEX(LookupData!AF:AF,$AK193))))</f>
        <v/>
      </c>
      <c r="AG193" t="str">
        <f>IF($AK193="","",IF($AK193=0,"",IF(INDEX(LookupData!AG:AG,$AK193)="","",INDEX(LookupData!AG:AG,$AK193))))</f>
        <v/>
      </c>
      <c r="AH193" s="11" t="str">
        <f>IF($AK193="","",IF($AK193=0,"",IF(INDEX(LookupData!AH:AH,$AK193)="","",INDEX(LookupData!AH:AH,$AK193))))</f>
        <v/>
      </c>
      <c r="AI193" s="12" t="str">
        <f>IF($AK193="","",IF($AK193=0,"",IF(INDEX(LookupData!AI:AI,$AK193)="","",HYPERLINK(INDEX(LookupData!AI:AI,$AK193),"Open"))))</f>
        <v/>
      </c>
      <c r="AK193" t="str">
        <f>IF(AL193="","",IFERROR(MATCH(AL193,LookupData!$A:$A,0),0))</f>
        <v/>
      </c>
      <c r="AL193" t="str">
        <f t="shared" si="10"/>
        <v/>
      </c>
      <c r="AM193" t="str">
        <f t="shared" si="11"/>
        <v/>
      </c>
    </row>
    <row r="194" spans="1:39" x14ac:dyDescent="0.2">
      <c r="A194" s="9"/>
      <c r="B194" s="10" t="str">
        <f>IF($AK194="","",IF($AK194=0,"not in the database",IF(INDEX(LookupData!B:B,$AK194)="","",INDEX(LookupData!B:B,$AK194))))</f>
        <v/>
      </c>
      <c r="C194" t="str">
        <f>IF($AK194="","",IF($AK194=0,"",IF(INDEX(LookupData!C:C,$AK194)="","",INDEX(LookupData!C:C,$AK194))))</f>
        <v/>
      </c>
      <c r="D194" t="str">
        <f>IF($AK194="","",IF($AK194=0,"",IF(INDEX(LookupData!D:D,$AK194)="","",INDEX(LookupData!D:D,$AK194))))</f>
        <v/>
      </c>
      <c r="E194" t="str">
        <f>IF($AK194="","",IF($AK194=0,"",IF(INDEX(LookupData!E:E,$AK194)="","",INDEX(LookupData!E:E,$AK194))))</f>
        <v/>
      </c>
      <c r="F194" t="str">
        <f>IF($AK194="","",IF($AK194=0,"",IF(INDEX(LookupData!F:F,$AK194)="","",INDEX(LookupData!F:F,$AK194))))</f>
        <v/>
      </c>
      <c r="G194" t="str">
        <f>IF($AK194="","",IF($AK194=0,"",IF(INDEX(LookupData!G:G,$AK194)="","",INDEX(LookupData!G:G,$AK194))))</f>
        <v/>
      </c>
      <c r="H194" t="str">
        <f>IF($AK194="","",IF($AK194=0,"",IF(INDEX(LookupData!H:H,$AK194)="","",INDEX(LookupData!H:H,$AK194))))</f>
        <v/>
      </c>
      <c r="I194" s="7" t="str">
        <f>IF($AK194="","",IF($AK194=0,"",IF(INDEX(LookupData!I:I,$AK194)="","",INDEX(LookupData!I:I,$AK194))))</f>
        <v/>
      </c>
      <c r="J194" s="7" t="str">
        <f>IF($AK194="","",IF($AK194=0,"",IF(INDEX(LookupData!J:J,$AK194)="","",INDEX(LookupData!J:J,$AK194))))</f>
        <v/>
      </c>
      <c r="K194" s="7" t="str">
        <f>IF($AK194="","",IF($AK194=0,"",IF(INDEX(LookupData!K:K,$AK194)="","",INDEX(LookupData!K:K,$AK194))))</f>
        <v/>
      </c>
      <c r="L194" s="7" t="str">
        <f>IF($AK194="","",IF($AK194=0,"",IF(INDEX(LookupData!L:L,$AK194)="","",INDEX(LookupData!L:L,$AK194))))</f>
        <v/>
      </c>
      <c r="M194" s="7" t="str">
        <f>IF($AK194="","",IF($AK194=0,"",IF(INDEX(LookupData!M:M,$AK194)="","",INDEX(LookupData!M:M,$AK194))))</f>
        <v/>
      </c>
      <c r="N194" s="7" t="str">
        <f>IF($AK194="","",IF($AK194=0,"",IF(INDEX(LookupData!N:N,$AK194)="","",INDEX(LookupData!N:N,$AK194))))</f>
        <v/>
      </c>
      <c r="O194" s="7" t="str">
        <f>IF($AK194="","",IF($AK194=0,"",IF(INDEX(LookupData!O:O,$AK194)="","",INDEX(LookupData!O:O,$AK194))))</f>
        <v/>
      </c>
      <c r="P194" s="7" t="str">
        <f>IF($AK194="","",IF($AK194=0,"",IF(INDEX(LookupData!P:P,$AK194)="","",INDEX(LookupData!P:P,$AK194))))</f>
        <v/>
      </c>
      <c r="Q194" s="7" t="str">
        <f>IF($AK194="","",IF($AK194=0,"",IF(INDEX(LookupData!Q:Q,$AK194)="","",INDEX(LookupData!Q:Q,$AK194))))</f>
        <v/>
      </c>
      <c r="R194" s="7" t="str">
        <f>IF($AK194="","",IF($AK194=0,"",IF(INDEX(LookupData!R:R,$AK194)="","",INDEX(LookupData!R:R,$AK194))))</f>
        <v/>
      </c>
      <c r="S194" s="7" t="str">
        <f>IF($AK194="","",IF($AK194=0,"",IF(INDEX(LookupData!S:S,$AK194)="","",INDEX(LookupData!S:S,$AK194))))</f>
        <v/>
      </c>
      <c r="T194" s="7" t="str">
        <f>IF($AK194="","",IF($AK194=0,"",IF(INDEX(LookupData!T:T,$AK194)="","",INDEX(LookupData!T:T,$AK194))))</f>
        <v/>
      </c>
      <c r="U194" s="7" t="str">
        <f>IF($AK194="","",IF($AK194=0,"",IF(INDEX(LookupData!U:U,$AK194)="","",INDEX(LookupData!U:U,$AK194))))</f>
        <v/>
      </c>
      <c r="V194" s="7" t="str">
        <f>IF($AK194="","",IF($AK194=0,"",IF(INDEX(LookupData!V:V,$AK194)="","",INDEX(LookupData!V:V,$AK194))))</f>
        <v/>
      </c>
      <c r="W194" t="str">
        <f>IF($AK194="","",IF($AK194=0,"",IF(INDEX(LookupData!W:W,$AK194)="","",INDEX(LookupData!W:W,$AK194))))</f>
        <v/>
      </c>
      <c r="X194" s="7" t="str">
        <f>IF($AK194="","",IF($AK194=0,"",IF(INDEX(LookupData!X:X,$AK194)="","",INDEX(LookupData!X:X,$AK194))))</f>
        <v/>
      </c>
      <c r="Y194" s="7" t="str">
        <f>IF($AK194="","",IF($AK194=0,"",IF(INDEX(LookupData!Y:Y,$AK194)="","",INDEX(LookupData!Y:Y,$AK194))))</f>
        <v/>
      </c>
      <c r="Z194" s="7" t="str">
        <f>IF($AK194="","",IF($AK194=0,"",IF(INDEX(LookupData!Z:Z,$AK194)="","",INDEX(LookupData!Z:Z,$AK194))))</f>
        <v/>
      </c>
      <c r="AA194" s="7" t="str">
        <f>IF($AK194="","",IF($AK194=0,"",IF(INDEX(LookupData!AA:AA,$AK194)="","",INDEX(LookupData!AA:AA,$AK194))))</f>
        <v/>
      </c>
      <c r="AB194" s="7" t="str">
        <f>IF($AK194="","",IF($AK194=0,"",IF(INDEX(LookupData!AB:AB,$AK194)="","",INDEX(LookupData!AB:AB,$AK194))))</f>
        <v/>
      </c>
      <c r="AC194" s="7" t="str">
        <f>IF($AK194="","",IF($AK194=0,"",IF(INDEX(LookupData!AC:AC,$AK194)="","",INDEX(LookupData!AC:AC,$AK194))))</f>
        <v/>
      </c>
      <c r="AD194" s="7" t="str">
        <f>IF($AK194="","",IF($AK194=0,"",IF(INDEX(LookupData!AD:AD,$AK194)="","",INDEX(LookupData!AD:AD,$AK194))))</f>
        <v/>
      </c>
      <c r="AE194" s="7" t="str">
        <f>IF($AK194="","",IF($AK194=0,"",IF(INDEX(LookupData!AE:AE,$AK194)="","",INDEX(LookupData!AE:AE,$AK194))))</f>
        <v/>
      </c>
      <c r="AF194" t="str">
        <f>IF($AK194="","",IF($AK194=0,"",IF(INDEX(LookupData!AF:AF,$AK194)="","",INDEX(LookupData!AF:AF,$AK194))))</f>
        <v/>
      </c>
      <c r="AG194" t="str">
        <f>IF($AK194="","",IF($AK194=0,"",IF(INDEX(LookupData!AG:AG,$AK194)="","",INDEX(LookupData!AG:AG,$AK194))))</f>
        <v/>
      </c>
      <c r="AH194" s="11" t="str">
        <f>IF($AK194="","",IF($AK194=0,"",IF(INDEX(LookupData!AH:AH,$AK194)="","",INDEX(LookupData!AH:AH,$AK194))))</f>
        <v/>
      </c>
      <c r="AI194" s="12" t="str">
        <f>IF($AK194="","",IF($AK194=0,"",IF(INDEX(LookupData!AI:AI,$AK194)="","",HYPERLINK(INDEX(LookupData!AI:AI,$AK194),"Open"))))</f>
        <v/>
      </c>
      <c r="AK194" t="str">
        <f>IF(AL194="","",IFERROR(MATCH(AL194,LookupData!$A:$A,0),0))</f>
        <v/>
      </c>
      <c r="AL194" t="str">
        <f t="shared" ref="AL194:AL201" si="12">IF(TRIM($A194)="","",UPPER(TRIM($A194)))</f>
        <v/>
      </c>
      <c r="AM194" t="str">
        <f t="shared" si="11"/>
        <v/>
      </c>
    </row>
    <row r="195" spans="1:39" x14ac:dyDescent="0.2">
      <c r="A195" s="9"/>
      <c r="B195" s="10" t="str">
        <f>IF($AK195="","",IF($AK195=0,"not in the database",IF(INDEX(LookupData!B:B,$AK195)="","",INDEX(LookupData!B:B,$AK195))))</f>
        <v/>
      </c>
      <c r="C195" t="str">
        <f>IF($AK195="","",IF($AK195=0,"",IF(INDEX(LookupData!C:C,$AK195)="","",INDEX(LookupData!C:C,$AK195))))</f>
        <v/>
      </c>
      <c r="D195" t="str">
        <f>IF($AK195="","",IF($AK195=0,"",IF(INDEX(LookupData!D:D,$AK195)="","",INDEX(LookupData!D:D,$AK195))))</f>
        <v/>
      </c>
      <c r="E195" t="str">
        <f>IF($AK195="","",IF($AK195=0,"",IF(INDEX(LookupData!E:E,$AK195)="","",INDEX(LookupData!E:E,$AK195))))</f>
        <v/>
      </c>
      <c r="F195" t="str">
        <f>IF($AK195="","",IF($AK195=0,"",IF(INDEX(LookupData!F:F,$AK195)="","",INDEX(LookupData!F:F,$AK195))))</f>
        <v/>
      </c>
      <c r="G195" t="str">
        <f>IF($AK195="","",IF($AK195=0,"",IF(INDEX(LookupData!G:G,$AK195)="","",INDEX(LookupData!G:G,$AK195))))</f>
        <v/>
      </c>
      <c r="H195" t="str">
        <f>IF($AK195="","",IF($AK195=0,"",IF(INDEX(LookupData!H:H,$AK195)="","",INDEX(LookupData!H:H,$AK195))))</f>
        <v/>
      </c>
      <c r="I195" s="7" t="str">
        <f>IF($AK195="","",IF($AK195=0,"",IF(INDEX(LookupData!I:I,$AK195)="","",INDEX(LookupData!I:I,$AK195))))</f>
        <v/>
      </c>
      <c r="J195" s="7" t="str">
        <f>IF($AK195="","",IF($AK195=0,"",IF(INDEX(LookupData!J:J,$AK195)="","",INDEX(LookupData!J:J,$AK195))))</f>
        <v/>
      </c>
      <c r="K195" s="7" t="str">
        <f>IF($AK195="","",IF($AK195=0,"",IF(INDEX(LookupData!K:K,$AK195)="","",INDEX(LookupData!K:K,$AK195))))</f>
        <v/>
      </c>
      <c r="L195" s="7" t="str">
        <f>IF($AK195="","",IF($AK195=0,"",IF(INDEX(LookupData!L:L,$AK195)="","",INDEX(LookupData!L:L,$AK195))))</f>
        <v/>
      </c>
      <c r="M195" s="7" t="str">
        <f>IF($AK195="","",IF($AK195=0,"",IF(INDEX(LookupData!M:M,$AK195)="","",INDEX(LookupData!M:M,$AK195))))</f>
        <v/>
      </c>
      <c r="N195" s="7" t="str">
        <f>IF($AK195="","",IF($AK195=0,"",IF(INDEX(LookupData!N:N,$AK195)="","",INDEX(LookupData!N:N,$AK195))))</f>
        <v/>
      </c>
      <c r="O195" s="7" t="str">
        <f>IF($AK195="","",IF($AK195=0,"",IF(INDEX(LookupData!O:O,$AK195)="","",INDEX(LookupData!O:O,$AK195))))</f>
        <v/>
      </c>
      <c r="P195" s="7" t="str">
        <f>IF($AK195="","",IF($AK195=0,"",IF(INDEX(LookupData!P:P,$AK195)="","",INDEX(LookupData!P:P,$AK195))))</f>
        <v/>
      </c>
      <c r="Q195" s="7" t="str">
        <f>IF($AK195="","",IF($AK195=0,"",IF(INDEX(LookupData!Q:Q,$AK195)="","",INDEX(LookupData!Q:Q,$AK195))))</f>
        <v/>
      </c>
      <c r="R195" s="7" t="str">
        <f>IF($AK195="","",IF($AK195=0,"",IF(INDEX(LookupData!R:R,$AK195)="","",INDEX(LookupData!R:R,$AK195))))</f>
        <v/>
      </c>
      <c r="S195" s="7" t="str">
        <f>IF($AK195="","",IF($AK195=0,"",IF(INDEX(LookupData!S:S,$AK195)="","",INDEX(LookupData!S:S,$AK195))))</f>
        <v/>
      </c>
      <c r="T195" s="7" t="str">
        <f>IF($AK195="","",IF($AK195=0,"",IF(INDEX(LookupData!T:T,$AK195)="","",INDEX(LookupData!T:T,$AK195))))</f>
        <v/>
      </c>
      <c r="U195" s="7" t="str">
        <f>IF($AK195="","",IF($AK195=0,"",IF(INDEX(LookupData!U:U,$AK195)="","",INDEX(LookupData!U:U,$AK195))))</f>
        <v/>
      </c>
      <c r="V195" s="7" t="str">
        <f>IF($AK195="","",IF($AK195=0,"",IF(INDEX(LookupData!V:V,$AK195)="","",INDEX(LookupData!V:V,$AK195))))</f>
        <v/>
      </c>
      <c r="W195" t="str">
        <f>IF($AK195="","",IF($AK195=0,"",IF(INDEX(LookupData!W:W,$AK195)="","",INDEX(LookupData!W:W,$AK195))))</f>
        <v/>
      </c>
      <c r="X195" s="7" t="str">
        <f>IF($AK195="","",IF($AK195=0,"",IF(INDEX(LookupData!X:X,$AK195)="","",INDEX(LookupData!X:X,$AK195))))</f>
        <v/>
      </c>
      <c r="Y195" s="7" t="str">
        <f>IF($AK195="","",IF($AK195=0,"",IF(INDEX(LookupData!Y:Y,$AK195)="","",INDEX(LookupData!Y:Y,$AK195))))</f>
        <v/>
      </c>
      <c r="Z195" s="7" t="str">
        <f>IF($AK195="","",IF($AK195=0,"",IF(INDEX(LookupData!Z:Z,$AK195)="","",INDEX(LookupData!Z:Z,$AK195))))</f>
        <v/>
      </c>
      <c r="AA195" s="7" t="str">
        <f>IF($AK195="","",IF($AK195=0,"",IF(INDEX(LookupData!AA:AA,$AK195)="","",INDEX(LookupData!AA:AA,$AK195))))</f>
        <v/>
      </c>
      <c r="AB195" s="7" t="str">
        <f>IF($AK195="","",IF($AK195=0,"",IF(INDEX(LookupData!AB:AB,$AK195)="","",INDEX(LookupData!AB:AB,$AK195))))</f>
        <v/>
      </c>
      <c r="AC195" s="7" t="str">
        <f>IF($AK195="","",IF($AK195=0,"",IF(INDEX(LookupData!AC:AC,$AK195)="","",INDEX(LookupData!AC:AC,$AK195))))</f>
        <v/>
      </c>
      <c r="AD195" s="7" t="str">
        <f>IF($AK195="","",IF($AK195=0,"",IF(INDEX(LookupData!AD:AD,$AK195)="","",INDEX(LookupData!AD:AD,$AK195))))</f>
        <v/>
      </c>
      <c r="AE195" s="7" t="str">
        <f>IF($AK195="","",IF($AK195=0,"",IF(INDEX(LookupData!AE:AE,$AK195)="","",INDEX(LookupData!AE:AE,$AK195))))</f>
        <v/>
      </c>
      <c r="AF195" t="str">
        <f>IF($AK195="","",IF($AK195=0,"",IF(INDEX(LookupData!AF:AF,$AK195)="","",INDEX(LookupData!AF:AF,$AK195))))</f>
        <v/>
      </c>
      <c r="AG195" t="str">
        <f>IF($AK195="","",IF($AK195=0,"",IF(INDEX(LookupData!AG:AG,$AK195)="","",INDEX(LookupData!AG:AG,$AK195))))</f>
        <v/>
      </c>
      <c r="AH195" s="11" t="str">
        <f>IF($AK195="","",IF($AK195=0,"",IF(INDEX(LookupData!AH:AH,$AK195)="","",INDEX(LookupData!AH:AH,$AK195))))</f>
        <v/>
      </c>
      <c r="AI195" s="12" t="str">
        <f>IF($AK195="","",IF($AK195=0,"",IF(INDEX(LookupData!AI:AI,$AK195)="","",HYPERLINK(INDEX(LookupData!AI:AI,$AK195),"Open"))))</f>
        <v/>
      </c>
      <c r="AK195" t="str">
        <f>IF(AL195="","",IFERROR(MATCH(AL195,LookupData!$A:$A,0),0))</f>
        <v/>
      </c>
      <c r="AL195" t="str">
        <f t="shared" si="12"/>
        <v/>
      </c>
      <c r="AM195" t="str">
        <f t="shared" ref="AM195:AM226" si="13">IF(AL195="",AM194,IF(AM194="",AL195,AM194&amp;"|"&amp;AL195))</f>
        <v/>
      </c>
    </row>
    <row r="196" spans="1:39" x14ac:dyDescent="0.2">
      <c r="A196" s="9"/>
      <c r="B196" s="10" t="str">
        <f>IF($AK196="","",IF($AK196=0,"not in the database",IF(INDEX(LookupData!B:B,$AK196)="","",INDEX(LookupData!B:B,$AK196))))</f>
        <v/>
      </c>
      <c r="C196" t="str">
        <f>IF($AK196="","",IF($AK196=0,"",IF(INDEX(LookupData!C:C,$AK196)="","",INDEX(LookupData!C:C,$AK196))))</f>
        <v/>
      </c>
      <c r="D196" t="str">
        <f>IF($AK196="","",IF($AK196=0,"",IF(INDEX(LookupData!D:D,$AK196)="","",INDEX(LookupData!D:D,$AK196))))</f>
        <v/>
      </c>
      <c r="E196" t="str">
        <f>IF($AK196="","",IF($AK196=0,"",IF(INDEX(LookupData!E:E,$AK196)="","",INDEX(LookupData!E:E,$AK196))))</f>
        <v/>
      </c>
      <c r="F196" t="str">
        <f>IF($AK196="","",IF($AK196=0,"",IF(INDEX(LookupData!F:F,$AK196)="","",INDEX(LookupData!F:F,$AK196))))</f>
        <v/>
      </c>
      <c r="G196" t="str">
        <f>IF($AK196="","",IF($AK196=0,"",IF(INDEX(LookupData!G:G,$AK196)="","",INDEX(LookupData!G:G,$AK196))))</f>
        <v/>
      </c>
      <c r="H196" t="str">
        <f>IF($AK196="","",IF($AK196=0,"",IF(INDEX(LookupData!H:H,$AK196)="","",INDEX(LookupData!H:H,$AK196))))</f>
        <v/>
      </c>
      <c r="I196" s="7" t="str">
        <f>IF($AK196="","",IF($AK196=0,"",IF(INDEX(LookupData!I:I,$AK196)="","",INDEX(LookupData!I:I,$AK196))))</f>
        <v/>
      </c>
      <c r="J196" s="7" t="str">
        <f>IF($AK196="","",IF($AK196=0,"",IF(INDEX(LookupData!J:J,$AK196)="","",INDEX(LookupData!J:J,$AK196))))</f>
        <v/>
      </c>
      <c r="K196" s="7" t="str">
        <f>IF($AK196="","",IF($AK196=0,"",IF(INDEX(LookupData!K:K,$AK196)="","",INDEX(LookupData!K:K,$AK196))))</f>
        <v/>
      </c>
      <c r="L196" s="7" t="str">
        <f>IF($AK196="","",IF($AK196=0,"",IF(INDEX(LookupData!L:L,$AK196)="","",INDEX(LookupData!L:L,$AK196))))</f>
        <v/>
      </c>
      <c r="M196" s="7" t="str">
        <f>IF($AK196="","",IF($AK196=0,"",IF(INDEX(LookupData!M:M,$AK196)="","",INDEX(LookupData!M:M,$AK196))))</f>
        <v/>
      </c>
      <c r="N196" s="7" t="str">
        <f>IF($AK196="","",IF($AK196=0,"",IF(INDEX(LookupData!N:N,$AK196)="","",INDEX(LookupData!N:N,$AK196))))</f>
        <v/>
      </c>
      <c r="O196" s="7" t="str">
        <f>IF($AK196="","",IF($AK196=0,"",IF(INDEX(LookupData!O:O,$AK196)="","",INDEX(LookupData!O:O,$AK196))))</f>
        <v/>
      </c>
      <c r="P196" s="7" t="str">
        <f>IF($AK196="","",IF($AK196=0,"",IF(INDEX(LookupData!P:P,$AK196)="","",INDEX(LookupData!P:P,$AK196))))</f>
        <v/>
      </c>
      <c r="Q196" s="7" t="str">
        <f>IF($AK196="","",IF($AK196=0,"",IF(INDEX(LookupData!Q:Q,$AK196)="","",INDEX(LookupData!Q:Q,$AK196))))</f>
        <v/>
      </c>
      <c r="R196" s="7" t="str">
        <f>IF($AK196="","",IF($AK196=0,"",IF(INDEX(LookupData!R:R,$AK196)="","",INDEX(LookupData!R:R,$AK196))))</f>
        <v/>
      </c>
      <c r="S196" s="7" t="str">
        <f>IF($AK196="","",IF($AK196=0,"",IF(INDEX(LookupData!S:S,$AK196)="","",INDEX(LookupData!S:S,$AK196))))</f>
        <v/>
      </c>
      <c r="T196" s="7" t="str">
        <f>IF($AK196="","",IF($AK196=0,"",IF(INDEX(LookupData!T:T,$AK196)="","",INDEX(LookupData!T:T,$AK196))))</f>
        <v/>
      </c>
      <c r="U196" s="7" t="str">
        <f>IF($AK196="","",IF($AK196=0,"",IF(INDEX(LookupData!U:U,$AK196)="","",INDEX(LookupData!U:U,$AK196))))</f>
        <v/>
      </c>
      <c r="V196" s="7" t="str">
        <f>IF($AK196="","",IF($AK196=0,"",IF(INDEX(LookupData!V:V,$AK196)="","",INDEX(LookupData!V:V,$AK196))))</f>
        <v/>
      </c>
      <c r="W196" t="str">
        <f>IF($AK196="","",IF($AK196=0,"",IF(INDEX(LookupData!W:W,$AK196)="","",INDEX(LookupData!W:W,$AK196))))</f>
        <v/>
      </c>
      <c r="X196" s="7" t="str">
        <f>IF($AK196="","",IF($AK196=0,"",IF(INDEX(LookupData!X:X,$AK196)="","",INDEX(LookupData!X:X,$AK196))))</f>
        <v/>
      </c>
      <c r="Y196" s="7" t="str">
        <f>IF($AK196="","",IF($AK196=0,"",IF(INDEX(LookupData!Y:Y,$AK196)="","",INDEX(LookupData!Y:Y,$AK196))))</f>
        <v/>
      </c>
      <c r="Z196" s="7" t="str">
        <f>IF($AK196="","",IF($AK196=0,"",IF(INDEX(LookupData!Z:Z,$AK196)="","",INDEX(LookupData!Z:Z,$AK196))))</f>
        <v/>
      </c>
      <c r="AA196" s="7" t="str">
        <f>IF($AK196="","",IF($AK196=0,"",IF(INDEX(LookupData!AA:AA,$AK196)="","",INDEX(LookupData!AA:AA,$AK196))))</f>
        <v/>
      </c>
      <c r="AB196" s="7" t="str">
        <f>IF($AK196="","",IF($AK196=0,"",IF(INDEX(LookupData!AB:AB,$AK196)="","",INDEX(LookupData!AB:AB,$AK196))))</f>
        <v/>
      </c>
      <c r="AC196" s="7" t="str">
        <f>IF($AK196="","",IF($AK196=0,"",IF(INDEX(LookupData!AC:AC,$AK196)="","",INDEX(LookupData!AC:AC,$AK196))))</f>
        <v/>
      </c>
      <c r="AD196" s="7" t="str">
        <f>IF($AK196="","",IF($AK196=0,"",IF(INDEX(LookupData!AD:AD,$AK196)="","",INDEX(LookupData!AD:AD,$AK196))))</f>
        <v/>
      </c>
      <c r="AE196" s="7" t="str">
        <f>IF($AK196="","",IF($AK196=0,"",IF(INDEX(LookupData!AE:AE,$AK196)="","",INDEX(LookupData!AE:AE,$AK196))))</f>
        <v/>
      </c>
      <c r="AF196" t="str">
        <f>IF($AK196="","",IF($AK196=0,"",IF(INDEX(LookupData!AF:AF,$AK196)="","",INDEX(LookupData!AF:AF,$AK196))))</f>
        <v/>
      </c>
      <c r="AG196" t="str">
        <f>IF($AK196="","",IF($AK196=0,"",IF(INDEX(LookupData!AG:AG,$AK196)="","",INDEX(LookupData!AG:AG,$AK196))))</f>
        <v/>
      </c>
      <c r="AH196" s="11" t="str">
        <f>IF($AK196="","",IF($AK196=0,"",IF(INDEX(LookupData!AH:AH,$AK196)="","",INDEX(LookupData!AH:AH,$AK196))))</f>
        <v/>
      </c>
      <c r="AI196" s="12" t="str">
        <f>IF($AK196="","",IF($AK196=0,"",IF(INDEX(LookupData!AI:AI,$AK196)="","",HYPERLINK(INDEX(LookupData!AI:AI,$AK196),"Open"))))</f>
        <v/>
      </c>
      <c r="AK196" t="str">
        <f>IF(AL196="","",IFERROR(MATCH(AL196,LookupData!$A:$A,0),0))</f>
        <v/>
      </c>
      <c r="AL196" t="str">
        <f t="shared" si="12"/>
        <v/>
      </c>
      <c r="AM196" t="str">
        <f t="shared" si="13"/>
        <v/>
      </c>
    </row>
    <row r="197" spans="1:39" x14ac:dyDescent="0.2">
      <c r="A197" s="9"/>
      <c r="B197" s="10" t="str">
        <f>IF($AK197="","",IF($AK197=0,"not in the database",IF(INDEX(LookupData!B:B,$AK197)="","",INDEX(LookupData!B:B,$AK197))))</f>
        <v/>
      </c>
      <c r="C197" t="str">
        <f>IF($AK197="","",IF($AK197=0,"",IF(INDEX(LookupData!C:C,$AK197)="","",INDEX(LookupData!C:C,$AK197))))</f>
        <v/>
      </c>
      <c r="D197" t="str">
        <f>IF($AK197="","",IF($AK197=0,"",IF(INDEX(LookupData!D:D,$AK197)="","",INDEX(LookupData!D:D,$AK197))))</f>
        <v/>
      </c>
      <c r="E197" t="str">
        <f>IF($AK197="","",IF($AK197=0,"",IF(INDEX(LookupData!E:E,$AK197)="","",INDEX(LookupData!E:E,$AK197))))</f>
        <v/>
      </c>
      <c r="F197" t="str">
        <f>IF($AK197="","",IF($AK197=0,"",IF(INDEX(LookupData!F:F,$AK197)="","",INDEX(LookupData!F:F,$AK197))))</f>
        <v/>
      </c>
      <c r="G197" t="str">
        <f>IF($AK197="","",IF($AK197=0,"",IF(INDEX(LookupData!G:G,$AK197)="","",INDEX(LookupData!G:G,$AK197))))</f>
        <v/>
      </c>
      <c r="H197" t="str">
        <f>IF($AK197="","",IF($AK197=0,"",IF(INDEX(LookupData!H:H,$AK197)="","",INDEX(LookupData!H:H,$AK197))))</f>
        <v/>
      </c>
      <c r="I197" s="7" t="str">
        <f>IF($AK197="","",IF($AK197=0,"",IF(INDEX(LookupData!I:I,$AK197)="","",INDEX(LookupData!I:I,$AK197))))</f>
        <v/>
      </c>
      <c r="J197" s="7" t="str">
        <f>IF($AK197="","",IF($AK197=0,"",IF(INDEX(LookupData!J:J,$AK197)="","",INDEX(LookupData!J:J,$AK197))))</f>
        <v/>
      </c>
      <c r="K197" s="7" t="str">
        <f>IF($AK197="","",IF($AK197=0,"",IF(INDEX(LookupData!K:K,$AK197)="","",INDEX(LookupData!K:K,$AK197))))</f>
        <v/>
      </c>
      <c r="L197" s="7" t="str">
        <f>IF($AK197="","",IF($AK197=0,"",IF(INDEX(LookupData!L:L,$AK197)="","",INDEX(LookupData!L:L,$AK197))))</f>
        <v/>
      </c>
      <c r="M197" s="7" t="str">
        <f>IF($AK197="","",IF($AK197=0,"",IF(INDEX(LookupData!M:M,$AK197)="","",INDEX(LookupData!M:M,$AK197))))</f>
        <v/>
      </c>
      <c r="N197" s="7" t="str">
        <f>IF($AK197="","",IF($AK197=0,"",IF(INDEX(LookupData!N:N,$AK197)="","",INDEX(LookupData!N:N,$AK197))))</f>
        <v/>
      </c>
      <c r="O197" s="7" t="str">
        <f>IF($AK197="","",IF($AK197=0,"",IF(INDEX(LookupData!O:O,$AK197)="","",INDEX(LookupData!O:O,$AK197))))</f>
        <v/>
      </c>
      <c r="P197" s="7" t="str">
        <f>IF($AK197="","",IF($AK197=0,"",IF(INDEX(LookupData!P:P,$AK197)="","",INDEX(LookupData!P:P,$AK197))))</f>
        <v/>
      </c>
      <c r="Q197" s="7" t="str">
        <f>IF($AK197="","",IF($AK197=0,"",IF(INDEX(LookupData!Q:Q,$AK197)="","",INDEX(LookupData!Q:Q,$AK197))))</f>
        <v/>
      </c>
      <c r="R197" s="7" t="str">
        <f>IF($AK197="","",IF($AK197=0,"",IF(INDEX(LookupData!R:R,$AK197)="","",INDEX(LookupData!R:R,$AK197))))</f>
        <v/>
      </c>
      <c r="S197" s="7" t="str">
        <f>IF($AK197="","",IF($AK197=0,"",IF(INDEX(LookupData!S:S,$AK197)="","",INDEX(LookupData!S:S,$AK197))))</f>
        <v/>
      </c>
      <c r="T197" s="7" t="str">
        <f>IF($AK197="","",IF($AK197=0,"",IF(INDEX(LookupData!T:T,$AK197)="","",INDEX(LookupData!T:T,$AK197))))</f>
        <v/>
      </c>
      <c r="U197" s="7" t="str">
        <f>IF($AK197="","",IF($AK197=0,"",IF(INDEX(LookupData!U:U,$AK197)="","",INDEX(LookupData!U:U,$AK197))))</f>
        <v/>
      </c>
      <c r="V197" s="7" t="str">
        <f>IF($AK197="","",IF($AK197=0,"",IF(INDEX(LookupData!V:V,$AK197)="","",INDEX(LookupData!V:V,$AK197))))</f>
        <v/>
      </c>
      <c r="W197" t="str">
        <f>IF($AK197="","",IF($AK197=0,"",IF(INDEX(LookupData!W:W,$AK197)="","",INDEX(LookupData!W:W,$AK197))))</f>
        <v/>
      </c>
      <c r="X197" s="7" t="str">
        <f>IF($AK197="","",IF($AK197=0,"",IF(INDEX(LookupData!X:X,$AK197)="","",INDEX(LookupData!X:X,$AK197))))</f>
        <v/>
      </c>
      <c r="Y197" s="7" t="str">
        <f>IF($AK197="","",IF($AK197=0,"",IF(INDEX(LookupData!Y:Y,$AK197)="","",INDEX(LookupData!Y:Y,$AK197))))</f>
        <v/>
      </c>
      <c r="Z197" s="7" t="str">
        <f>IF($AK197="","",IF($AK197=0,"",IF(INDEX(LookupData!Z:Z,$AK197)="","",INDEX(LookupData!Z:Z,$AK197))))</f>
        <v/>
      </c>
      <c r="AA197" s="7" t="str">
        <f>IF($AK197="","",IF($AK197=0,"",IF(INDEX(LookupData!AA:AA,$AK197)="","",INDEX(LookupData!AA:AA,$AK197))))</f>
        <v/>
      </c>
      <c r="AB197" s="7" t="str">
        <f>IF($AK197="","",IF($AK197=0,"",IF(INDEX(LookupData!AB:AB,$AK197)="","",INDEX(LookupData!AB:AB,$AK197))))</f>
        <v/>
      </c>
      <c r="AC197" s="7" t="str">
        <f>IF($AK197="","",IF($AK197=0,"",IF(INDEX(LookupData!AC:AC,$AK197)="","",INDEX(LookupData!AC:AC,$AK197))))</f>
        <v/>
      </c>
      <c r="AD197" s="7" t="str">
        <f>IF($AK197="","",IF($AK197=0,"",IF(INDEX(LookupData!AD:AD,$AK197)="","",INDEX(LookupData!AD:AD,$AK197))))</f>
        <v/>
      </c>
      <c r="AE197" s="7" t="str">
        <f>IF($AK197="","",IF($AK197=0,"",IF(INDEX(LookupData!AE:AE,$AK197)="","",INDEX(LookupData!AE:AE,$AK197))))</f>
        <v/>
      </c>
      <c r="AF197" t="str">
        <f>IF($AK197="","",IF($AK197=0,"",IF(INDEX(LookupData!AF:AF,$AK197)="","",INDEX(LookupData!AF:AF,$AK197))))</f>
        <v/>
      </c>
      <c r="AG197" t="str">
        <f>IF($AK197="","",IF($AK197=0,"",IF(INDEX(LookupData!AG:AG,$AK197)="","",INDEX(LookupData!AG:AG,$AK197))))</f>
        <v/>
      </c>
      <c r="AH197" s="11" t="str">
        <f>IF($AK197="","",IF($AK197=0,"",IF(INDEX(LookupData!AH:AH,$AK197)="","",INDEX(LookupData!AH:AH,$AK197))))</f>
        <v/>
      </c>
      <c r="AI197" s="12" t="str">
        <f>IF($AK197="","",IF($AK197=0,"",IF(INDEX(LookupData!AI:AI,$AK197)="","",HYPERLINK(INDEX(LookupData!AI:AI,$AK197),"Open"))))</f>
        <v/>
      </c>
      <c r="AK197" t="str">
        <f>IF(AL197="","",IFERROR(MATCH(AL197,LookupData!$A:$A,0),0))</f>
        <v/>
      </c>
      <c r="AL197" t="str">
        <f t="shared" si="12"/>
        <v/>
      </c>
      <c r="AM197" t="str">
        <f t="shared" si="13"/>
        <v/>
      </c>
    </row>
    <row r="198" spans="1:39" x14ac:dyDescent="0.2">
      <c r="A198" s="9"/>
      <c r="B198" s="10" t="str">
        <f>IF($AK198="","",IF($AK198=0,"not in the database",IF(INDEX(LookupData!B:B,$AK198)="","",INDEX(LookupData!B:B,$AK198))))</f>
        <v/>
      </c>
      <c r="C198" t="str">
        <f>IF($AK198="","",IF($AK198=0,"",IF(INDEX(LookupData!C:C,$AK198)="","",INDEX(LookupData!C:C,$AK198))))</f>
        <v/>
      </c>
      <c r="D198" t="str">
        <f>IF($AK198="","",IF($AK198=0,"",IF(INDEX(LookupData!D:D,$AK198)="","",INDEX(LookupData!D:D,$AK198))))</f>
        <v/>
      </c>
      <c r="E198" t="str">
        <f>IF($AK198="","",IF($AK198=0,"",IF(INDEX(LookupData!E:E,$AK198)="","",INDEX(LookupData!E:E,$AK198))))</f>
        <v/>
      </c>
      <c r="F198" t="str">
        <f>IF($AK198="","",IF($AK198=0,"",IF(INDEX(LookupData!F:F,$AK198)="","",INDEX(LookupData!F:F,$AK198))))</f>
        <v/>
      </c>
      <c r="G198" t="str">
        <f>IF($AK198="","",IF($AK198=0,"",IF(INDEX(LookupData!G:G,$AK198)="","",INDEX(LookupData!G:G,$AK198))))</f>
        <v/>
      </c>
      <c r="H198" t="str">
        <f>IF($AK198="","",IF($AK198=0,"",IF(INDEX(LookupData!H:H,$AK198)="","",INDEX(LookupData!H:H,$AK198))))</f>
        <v/>
      </c>
      <c r="I198" s="7" t="str">
        <f>IF($AK198="","",IF($AK198=0,"",IF(INDEX(LookupData!I:I,$AK198)="","",INDEX(LookupData!I:I,$AK198))))</f>
        <v/>
      </c>
      <c r="J198" s="7" t="str">
        <f>IF($AK198="","",IF($AK198=0,"",IF(INDEX(LookupData!J:J,$AK198)="","",INDEX(LookupData!J:J,$AK198))))</f>
        <v/>
      </c>
      <c r="K198" s="7" t="str">
        <f>IF($AK198="","",IF($AK198=0,"",IF(INDEX(LookupData!K:K,$AK198)="","",INDEX(LookupData!K:K,$AK198))))</f>
        <v/>
      </c>
      <c r="L198" s="7" t="str">
        <f>IF($AK198="","",IF($AK198=0,"",IF(INDEX(LookupData!L:L,$AK198)="","",INDEX(LookupData!L:L,$AK198))))</f>
        <v/>
      </c>
      <c r="M198" s="7" t="str">
        <f>IF($AK198="","",IF($AK198=0,"",IF(INDEX(LookupData!M:M,$AK198)="","",INDEX(LookupData!M:M,$AK198))))</f>
        <v/>
      </c>
      <c r="N198" s="7" t="str">
        <f>IF($AK198="","",IF($AK198=0,"",IF(INDEX(LookupData!N:N,$AK198)="","",INDEX(LookupData!N:N,$AK198))))</f>
        <v/>
      </c>
      <c r="O198" s="7" t="str">
        <f>IF($AK198="","",IF($AK198=0,"",IF(INDEX(LookupData!O:O,$AK198)="","",INDEX(LookupData!O:O,$AK198))))</f>
        <v/>
      </c>
      <c r="P198" s="7" t="str">
        <f>IF($AK198="","",IF($AK198=0,"",IF(INDEX(LookupData!P:P,$AK198)="","",INDEX(LookupData!P:P,$AK198))))</f>
        <v/>
      </c>
      <c r="Q198" s="7" t="str">
        <f>IF($AK198="","",IF($AK198=0,"",IF(INDEX(LookupData!Q:Q,$AK198)="","",INDEX(LookupData!Q:Q,$AK198))))</f>
        <v/>
      </c>
      <c r="R198" s="7" t="str">
        <f>IF($AK198="","",IF($AK198=0,"",IF(INDEX(LookupData!R:R,$AK198)="","",INDEX(LookupData!R:R,$AK198))))</f>
        <v/>
      </c>
      <c r="S198" s="7" t="str">
        <f>IF($AK198="","",IF($AK198=0,"",IF(INDEX(LookupData!S:S,$AK198)="","",INDEX(LookupData!S:S,$AK198))))</f>
        <v/>
      </c>
      <c r="T198" s="7" t="str">
        <f>IF($AK198="","",IF($AK198=0,"",IF(INDEX(LookupData!T:T,$AK198)="","",INDEX(LookupData!T:T,$AK198))))</f>
        <v/>
      </c>
      <c r="U198" s="7" t="str">
        <f>IF($AK198="","",IF($AK198=0,"",IF(INDEX(LookupData!U:U,$AK198)="","",INDEX(LookupData!U:U,$AK198))))</f>
        <v/>
      </c>
      <c r="V198" s="7" t="str">
        <f>IF($AK198="","",IF($AK198=0,"",IF(INDEX(LookupData!V:V,$AK198)="","",INDEX(LookupData!V:V,$AK198))))</f>
        <v/>
      </c>
      <c r="W198" t="str">
        <f>IF($AK198="","",IF($AK198=0,"",IF(INDEX(LookupData!W:W,$AK198)="","",INDEX(LookupData!W:W,$AK198))))</f>
        <v/>
      </c>
      <c r="X198" s="7" t="str">
        <f>IF($AK198="","",IF($AK198=0,"",IF(INDEX(LookupData!X:X,$AK198)="","",INDEX(LookupData!X:X,$AK198))))</f>
        <v/>
      </c>
      <c r="Y198" s="7" t="str">
        <f>IF($AK198="","",IF($AK198=0,"",IF(INDEX(LookupData!Y:Y,$AK198)="","",INDEX(LookupData!Y:Y,$AK198))))</f>
        <v/>
      </c>
      <c r="Z198" s="7" t="str">
        <f>IF($AK198="","",IF($AK198=0,"",IF(INDEX(LookupData!Z:Z,$AK198)="","",INDEX(LookupData!Z:Z,$AK198))))</f>
        <v/>
      </c>
      <c r="AA198" s="7" t="str">
        <f>IF($AK198="","",IF($AK198=0,"",IF(INDEX(LookupData!AA:AA,$AK198)="","",INDEX(LookupData!AA:AA,$AK198))))</f>
        <v/>
      </c>
      <c r="AB198" s="7" t="str">
        <f>IF($AK198="","",IF($AK198=0,"",IF(INDEX(LookupData!AB:AB,$AK198)="","",INDEX(LookupData!AB:AB,$AK198))))</f>
        <v/>
      </c>
      <c r="AC198" s="7" t="str">
        <f>IF($AK198="","",IF($AK198=0,"",IF(INDEX(LookupData!AC:AC,$AK198)="","",INDEX(LookupData!AC:AC,$AK198))))</f>
        <v/>
      </c>
      <c r="AD198" s="7" t="str">
        <f>IF($AK198="","",IF($AK198=0,"",IF(INDEX(LookupData!AD:AD,$AK198)="","",INDEX(LookupData!AD:AD,$AK198))))</f>
        <v/>
      </c>
      <c r="AE198" s="7" t="str">
        <f>IF($AK198="","",IF($AK198=0,"",IF(INDEX(LookupData!AE:AE,$AK198)="","",INDEX(LookupData!AE:AE,$AK198))))</f>
        <v/>
      </c>
      <c r="AF198" t="str">
        <f>IF($AK198="","",IF($AK198=0,"",IF(INDEX(LookupData!AF:AF,$AK198)="","",INDEX(LookupData!AF:AF,$AK198))))</f>
        <v/>
      </c>
      <c r="AG198" t="str">
        <f>IF($AK198="","",IF($AK198=0,"",IF(INDEX(LookupData!AG:AG,$AK198)="","",INDEX(LookupData!AG:AG,$AK198))))</f>
        <v/>
      </c>
      <c r="AH198" s="11" t="str">
        <f>IF($AK198="","",IF($AK198=0,"",IF(INDEX(LookupData!AH:AH,$AK198)="","",INDEX(LookupData!AH:AH,$AK198))))</f>
        <v/>
      </c>
      <c r="AI198" s="12" t="str">
        <f>IF($AK198="","",IF($AK198=0,"",IF(INDEX(LookupData!AI:AI,$AK198)="","",HYPERLINK(INDEX(LookupData!AI:AI,$AK198),"Open"))))</f>
        <v/>
      </c>
      <c r="AK198" t="str">
        <f>IF(AL198="","",IFERROR(MATCH(AL198,LookupData!$A:$A,0),0))</f>
        <v/>
      </c>
      <c r="AL198" t="str">
        <f t="shared" si="12"/>
        <v/>
      </c>
      <c r="AM198" t="str">
        <f t="shared" si="13"/>
        <v/>
      </c>
    </row>
    <row r="199" spans="1:39" x14ac:dyDescent="0.2">
      <c r="A199" s="9"/>
      <c r="B199" s="10" t="str">
        <f>IF($AK199="","",IF($AK199=0,"not in the database",IF(INDEX(LookupData!B:B,$AK199)="","",INDEX(LookupData!B:B,$AK199))))</f>
        <v/>
      </c>
      <c r="C199" t="str">
        <f>IF($AK199="","",IF($AK199=0,"",IF(INDEX(LookupData!C:C,$AK199)="","",INDEX(LookupData!C:C,$AK199))))</f>
        <v/>
      </c>
      <c r="D199" t="str">
        <f>IF($AK199="","",IF($AK199=0,"",IF(INDEX(LookupData!D:D,$AK199)="","",INDEX(LookupData!D:D,$AK199))))</f>
        <v/>
      </c>
      <c r="E199" t="str">
        <f>IF($AK199="","",IF($AK199=0,"",IF(INDEX(LookupData!E:E,$AK199)="","",INDEX(LookupData!E:E,$AK199))))</f>
        <v/>
      </c>
      <c r="F199" t="str">
        <f>IF($AK199="","",IF($AK199=0,"",IF(INDEX(LookupData!F:F,$AK199)="","",INDEX(LookupData!F:F,$AK199))))</f>
        <v/>
      </c>
      <c r="G199" t="str">
        <f>IF($AK199="","",IF($AK199=0,"",IF(INDEX(LookupData!G:G,$AK199)="","",INDEX(LookupData!G:G,$AK199))))</f>
        <v/>
      </c>
      <c r="H199" t="str">
        <f>IF($AK199="","",IF($AK199=0,"",IF(INDEX(LookupData!H:H,$AK199)="","",INDEX(LookupData!H:H,$AK199))))</f>
        <v/>
      </c>
      <c r="I199" s="7" t="str">
        <f>IF($AK199="","",IF($AK199=0,"",IF(INDEX(LookupData!I:I,$AK199)="","",INDEX(LookupData!I:I,$AK199))))</f>
        <v/>
      </c>
      <c r="J199" s="7" t="str">
        <f>IF($AK199="","",IF($AK199=0,"",IF(INDEX(LookupData!J:J,$AK199)="","",INDEX(LookupData!J:J,$AK199))))</f>
        <v/>
      </c>
      <c r="K199" s="7" t="str">
        <f>IF($AK199="","",IF($AK199=0,"",IF(INDEX(LookupData!K:K,$AK199)="","",INDEX(LookupData!K:K,$AK199))))</f>
        <v/>
      </c>
      <c r="L199" s="7" t="str">
        <f>IF($AK199="","",IF($AK199=0,"",IF(INDEX(LookupData!L:L,$AK199)="","",INDEX(LookupData!L:L,$AK199))))</f>
        <v/>
      </c>
      <c r="M199" s="7" t="str">
        <f>IF($AK199="","",IF($AK199=0,"",IF(INDEX(LookupData!M:M,$AK199)="","",INDEX(LookupData!M:M,$AK199))))</f>
        <v/>
      </c>
      <c r="N199" s="7" t="str">
        <f>IF($AK199="","",IF($AK199=0,"",IF(INDEX(LookupData!N:N,$AK199)="","",INDEX(LookupData!N:N,$AK199))))</f>
        <v/>
      </c>
      <c r="O199" s="7" t="str">
        <f>IF($AK199="","",IF($AK199=0,"",IF(INDEX(LookupData!O:O,$AK199)="","",INDEX(LookupData!O:O,$AK199))))</f>
        <v/>
      </c>
      <c r="P199" s="7" t="str">
        <f>IF($AK199="","",IF($AK199=0,"",IF(INDEX(LookupData!P:P,$AK199)="","",INDEX(LookupData!P:P,$AK199))))</f>
        <v/>
      </c>
      <c r="Q199" s="7" t="str">
        <f>IF($AK199="","",IF($AK199=0,"",IF(INDEX(LookupData!Q:Q,$AK199)="","",INDEX(LookupData!Q:Q,$AK199))))</f>
        <v/>
      </c>
      <c r="R199" s="7" t="str">
        <f>IF($AK199="","",IF($AK199=0,"",IF(INDEX(LookupData!R:R,$AK199)="","",INDEX(LookupData!R:R,$AK199))))</f>
        <v/>
      </c>
      <c r="S199" s="7" t="str">
        <f>IF($AK199="","",IF($AK199=0,"",IF(INDEX(LookupData!S:S,$AK199)="","",INDEX(LookupData!S:S,$AK199))))</f>
        <v/>
      </c>
      <c r="T199" s="7" t="str">
        <f>IF($AK199="","",IF($AK199=0,"",IF(INDEX(LookupData!T:T,$AK199)="","",INDEX(LookupData!T:T,$AK199))))</f>
        <v/>
      </c>
      <c r="U199" s="7" t="str">
        <f>IF($AK199="","",IF($AK199=0,"",IF(INDEX(LookupData!U:U,$AK199)="","",INDEX(LookupData!U:U,$AK199))))</f>
        <v/>
      </c>
      <c r="V199" s="7" t="str">
        <f>IF($AK199="","",IF($AK199=0,"",IF(INDEX(LookupData!V:V,$AK199)="","",INDEX(LookupData!V:V,$AK199))))</f>
        <v/>
      </c>
      <c r="W199" t="str">
        <f>IF($AK199="","",IF($AK199=0,"",IF(INDEX(LookupData!W:W,$AK199)="","",INDEX(LookupData!W:W,$AK199))))</f>
        <v/>
      </c>
      <c r="X199" s="7" t="str">
        <f>IF($AK199="","",IF($AK199=0,"",IF(INDEX(LookupData!X:X,$AK199)="","",INDEX(LookupData!X:X,$AK199))))</f>
        <v/>
      </c>
      <c r="Y199" s="7" t="str">
        <f>IF($AK199="","",IF($AK199=0,"",IF(INDEX(LookupData!Y:Y,$AK199)="","",INDEX(LookupData!Y:Y,$AK199))))</f>
        <v/>
      </c>
      <c r="Z199" s="7" t="str">
        <f>IF($AK199="","",IF($AK199=0,"",IF(INDEX(LookupData!Z:Z,$AK199)="","",INDEX(LookupData!Z:Z,$AK199))))</f>
        <v/>
      </c>
      <c r="AA199" s="7" t="str">
        <f>IF($AK199="","",IF($AK199=0,"",IF(INDEX(LookupData!AA:AA,$AK199)="","",INDEX(LookupData!AA:AA,$AK199))))</f>
        <v/>
      </c>
      <c r="AB199" s="7" t="str">
        <f>IF($AK199="","",IF($AK199=0,"",IF(INDEX(LookupData!AB:AB,$AK199)="","",INDEX(LookupData!AB:AB,$AK199))))</f>
        <v/>
      </c>
      <c r="AC199" s="7" t="str">
        <f>IF($AK199="","",IF($AK199=0,"",IF(INDEX(LookupData!AC:AC,$AK199)="","",INDEX(LookupData!AC:AC,$AK199))))</f>
        <v/>
      </c>
      <c r="AD199" s="7" t="str">
        <f>IF($AK199="","",IF($AK199=0,"",IF(INDEX(LookupData!AD:AD,$AK199)="","",INDEX(LookupData!AD:AD,$AK199))))</f>
        <v/>
      </c>
      <c r="AE199" s="7" t="str">
        <f>IF($AK199="","",IF($AK199=0,"",IF(INDEX(LookupData!AE:AE,$AK199)="","",INDEX(LookupData!AE:AE,$AK199))))</f>
        <v/>
      </c>
      <c r="AF199" t="str">
        <f>IF($AK199="","",IF($AK199=0,"",IF(INDEX(LookupData!AF:AF,$AK199)="","",INDEX(LookupData!AF:AF,$AK199))))</f>
        <v/>
      </c>
      <c r="AG199" t="str">
        <f>IF($AK199="","",IF($AK199=0,"",IF(INDEX(LookupData!AG:AG,$AK199)="","",INDEX(LookupData!AG:AG,$AK199))))</f>
        <v/>
      </c>
      <c r="AH199" s="11" t="str">
        <f>IF($AK199="","",IF($AK199=0,"",IF(INDEX(LookupData!AH:AH,$AK199)="","",INDEX(LookupData!AH:AH,$AK199))))</f>
        <v/>
      </c>
      <c r="AI199" s="12" t="str">
        <f>IF($AK199="","",IF($AK199=0,"",IF(INDEX(LookupData!AI:AI,$AK199)="","",HYPERLINK(INDEX(LookupData!AI:AI,$AK199),"Open"))))</f>
        <v/>
      </c>
      <c r="AK199" t="str">
        <f>IF(AL199="","",IFERROR(MATCH(AL199,LookupData!$A:$A,0),0))</f>
        <v/>
      </c>
      <c r="AL199" t="str">
        <f t="shared" si="12"/>
        <v/>
      </c>
      <c r="AM199" t="str">
        <f t="shared" si="13"/>
        <v/>
      </c>
    </row>
    <row r="200" spans="1:39" x14ac:dyDescent="0.2">
      <c r="A200" s="9"/>
      <c r="B200" s="10" t="str">
        <f>IF($AK200="","",IF($AK200=0,"not in the database",IF(INDEX(LookupData!B:B,$AK200)="","",INDEX(LookupData!B:B,$AK200))))</f>
        <v/>
      </c>
      <c r="C200" t="str">
        <f>IF($AK200="","",IF($AK200=0,"",IF(INDEX(LookupData!C:C,$AK200)="","",INDEX(LookupData!C:C,$AK200))))</f>
        <v/>
      </c>
      <c r="D200" t="str">
        <f>IF($AK200="","",IF($AK200=0,"",IF(INDEX(LookupData!D:D,$AK200)="","",INDEX(LookupData!D:D,$AK200))))</f>
        <v/>
      </c>
      <c r="E200" t="str">
        <f>IF($AK200="","",IF($AK200=0,"",IF(INDEX(LookupData!E:E,$AK200)="","",INDEX(LookupData!E:E,$AK200))))</f>
        <v/>
      </c>
      <c r="F200" t="str">
        <f>IF($AK200="","",IF($AK200=0,"",IF(INDEX(LookupData!F:F,$AK200)="","",INDEX(LookupData!F:F,$AK200))))</f>
        <v/>
      </c>
      <c r="G200" t="str">
        <f>IF($AK200="","",IF($AK200=0,"",IF(INDEX(LookupData!G:G,$AK200)="","",INDEX(LookupData!G:G,$AK200))))</f>
        <v/>
      </c>
      <c r="H200" t="str">
        <f>IF($AK200="","",IF($AK200=0,"",IF(INDEX(LookupData!H:H,$AK200)="","",INDEX(LookupData!H:H,$AK200))))</f>
        <v/>
      </c>
      <c r="I200" s="7" t="str">
        <f>IF($AK200="","",IF($AK200=0,"",IF(INDEX(LookupData!I:I,$AK200)="","",INDEX(LookupData!I:I,$AK200))))</f>
        <v/>
      </c>
      <c r="J200" s="7" t="str">
        <f>IF($AK200="","",IF($AK200=0,"",IF(INDEX(LookupData!J:J,$AK200)="","",INDEX(LookupData!J:J,$AK200))))</f>
        <v/>
      </c>
      <c r="K200" s="7" t="str">
        <f>IF($AK200="","",IF($AK200=0,"",IF(INDEX(LookupData!K:K,$AK200)="","",INDEX(LookupData!K:K,$AK200))))</f>
        <v/>
      </c>
      <c r="L200" s="7" t="str">
        <f>IF($AK200="","",IF($AK200=0,"",IF(INDEX(LookupData!L:L,$AK200)="","",INDEX(LookupData!L:L,$AK200))))</f>
        <v/>
      </c>
      <c r="M200" s="7" t="str">
        <f>IF($AK200="","",IF($AK200=0,"",IF(INDEX(LookupData!M:M,$AK200)="","",INDEX(LookupData!M:M,$AK200))))</f>
        <v/>
      </c>
      <c r="N200" s="7" t="str">
        <f>IF($AK200="","",IF($AK200=0,"",IF(INDEX(LookupData!N:N,$AK200)="","",INDEX(LookupData!N:N,$AK200))))</f>
        <v/>
      </c>
      <c r="O200" s="7" t="str">
        <f>IF($AK200="","",IF($AK200=0,"",IF(INDEX(LookupData!O:O,$AK200)="","",INDEX(LookupData!O:O,$AK200))))</f>
        <v/>
      </c>
      <c r="P200" s="7" t="str">
        <f>IF($AK200="","",IF($AK200=0,"",IF(INDEX(LookupData!P:P,$AK200)="","",INDEX(LookupData!P:P,$AK200))))</f>
        <v/>
      </c>
      <c r="Q200" s="7" t="str">
        <f>IF($AK200="","",IF($AK200=0,"",IF(INDEX(LookupData!Q:Q,$AK200)="","",INDEX(LookupData!Q:Q,$AK200))))</f>
        <v/>
      </c>
      <c r="R200" s="7" t="str">
        <f>IF($AK200="","",IF($AK200=0,"",IF(INDEX(LookupData!R:R,$AK200)="","",INDEX(LookupData!R:R,$AK200))))</f>
        <v/>
      </c>
      <c r="S200" s="7" t="str">
        <f>IF($AK200="","",IF($AK200=0,"",IF(INDEX(LookupData!S:S,$AK200)="","",INDEX(LookupData!S:S,$AK200))))</f>
        <v/>
      </c>
      <c r="T200" s="7" t="str">
        <f>IF($AK200="","",IF($AK200=0,"",IF(INDEX(LookupData!T:T,$AK200)="","",INDEX(LookupData!T:T,$AK200))))</f>
        <v/>
      </c>
      <c r="U200" s="7" t="str">
        <f>IF($AK200="","",IF($AK200=0,"",IF(INDEX(LookupData!U:U,$AK200)="","",INDEX(LookupData!U:U,$AK200))))</f>
        <v/>
      </c>
      <c r="V200" s="7" t="str">
        <f>IF($AK200="","",IF($AK200=0,"",IF(INDEX(LookupData!V:V,$AK200)="","",INDEX(LookupData!V:V,$AK200))))</f>
        <v/>
      </c>
      <c r="W200" t="str">
        <f>IF($AK200="","",IF($AK200=0,"",IF(INDEX(LookupData!W:W,$AK200)="","",INDEX(LookupData!W:W,$AK200))))</f>
        <v/>
      </c>
      <c r="X200" s="7" t="str">
        <f>IF($AK200="","",IF($AK200=0,"",IF(INDEX(LookupData!X:X,$AK200)="","",INDEX(LookupData!X:X,$AK200))))</f>
        <v/>
      </c>
      <c r="Y200" s="7" t="str">
        <f>IF($AK200="","",IF($AK200=0,"",IF(INDEX(LookupData!Y:Y,$AK200)="","",INDEX(LookupData!Y:Y,$AK200))))</f>
        <v/>
      </c>
      <c r="Z200" s="7" t="str">
        <f>IF($AK200="","",IF($AK200=0,"",IF(INDEX(LookupData!Z:Z,$AK200)="","",INDEX(LookupData!Z:Z,$AK200))))</f>
        <v/>
      </c>
      <c r="AA200" s="7" t="str">
        <f>IF($AK200="","",IF($AK200=0,"",IF(INDEX(LookupData!AA:AA,$AK200)="","",INDEX(LookupData!AA:AA,$AK200))))</f>
        <v/>
      </c>
      <c r="AB200" s="7" t="str">
        <f>IF($AK200="","",IF($AK200=0,"",IF(INDEX(LookupData!AB:AB,$AK200)="","",INDEX(LookupData!AB:AB,$AK200))))</f>
        <v/>
      </c>
      <c r="AC200" s="7" t="str">
        <f>IF($AK200="","",IF($AK200=0,"",IF(INDEX(LookupData!AC:AC,$AK200)="","",INDEX(LookupData!AC:AC,$AK200))))</f>
        <v/>
      </c>
      <c r="AD200" s="7" t="str">
        <f>IF($AK200="","",IF($AK200=0,"",IF(INDEX(LookupData!AD:AD,$AK200)="","",INDEX(LookupData!AD:AD,$AK200))))</f>
        <v/>
      </c>
      <c r="AE200" s="7" t="str">
        <f>IF($AK200="","",IF($AK200=0,"",IF(INDEX(LookupData!AE:AE,$AK200)="","",INDEX(LookupData!AE:AE,$AK200))))</f>
        <v/>
      </c>
      <c r="AF200" t="str">
        <f>IF($AK200="","",IF($AK200=0,"",IF(INDEX(LookupData!AF:AF,$AK200)="","",INDEX(LookupData!AF:AF,$AK200))))</f>
        <v/>
      </c>
      <c r="AG200" t="str">
        <f>IF($AK200="","",IF($AK200=0,"",IF(INDEX(LookupData!AG:AG,$AK200)="","",INDEX(LookupData!AG:AG,$AK200))))</f>
        <v/>
      </c>
      <c r="AH200" s="11" t="str">
        <f>IF($AK200="","",IF($AK200=0,"",IF(INDEX(LookupData!AH:AH,$AK200)="","",INDEX(LookupData!AH:AH,$AK200))))</f>
        <v/>
      </c>
      <c r="AI200" s="12" t="str">
        <f>IF($AK200="","",IF($AK200=0,"",IF(INDEX(LookupData!AI:AI,$AK200)="","",HYPERLINK(INDEX(LookupData!AI:AI,$AK200),"Open"))))</f>
        <v/>
      </c>
      <c r="AK200" t="str">
        <f>IF(AL200="","",IFERROR(MATCH(AL200,LookupData!$A:$A,0),0))</f>
        <v/>
      </c>
      <c r="AL200" t="str">
        <f t="shared" si="12"/>
        <v/>
      </c>
      <c r="AM200" t="str">
        <f t="shared" si="13"/>
        <v/>
      </c>
    </row>
    <row r="201" spans="1:39" x14ac:dyDescent="0.2">
      <c r="A201" s="9"/>
      <c r="B201" s="10" t="str">
        <f>IF($AK201="","",IF($AK201=0,"not in the database",IF(INDEX(LookupData!B:B,$AK201)="","",INDEX(LookupData!B:B,$AK201))))</f>
        <v/>
      </c>
      <c r="C201" t="str">
        <f>IF($AK201="","",IF($AK201=0,"",IF(INDEX(LookupData!C:C,$AK201)="","",INDEX(LookupData!C:C,$AK201))))</f>
        <v/>
      </c>
      <c r="D201" t="str">
        <f>IF($AK201="","",IF($AK201=0,"",IF(INDEX(LookupData!D:D,$AK201)="","",INDEX(LookupData!D:D,$AK201))))</f>
        <v/>
      </c>
      <c r="E201" t="str">
        <f>IF($AK201="","",IF($AK201=0,"",IF(INDEX(LookupData!E:E,$AK201)="","",INDEX(LookupData!E:E,$AK201))))</f>
        <v/>
      </c>
      <c r="F201" t="str">
        <f>IF($AK201="","",IF($AK201=0,"",IF(INDEX(LookupData!F:F,$AK201)="","",INDEX(LookupData!F:F,$AK201))))</f>
        <v/>
      </c>
      <c r="G201" t="str">
        <f>IF($AK201="","",IF($AK201=0,"",IF(INDEX(LookupData!G:G,$AK201)="","",INDEX(LookupData!G:G,$AK201))))</f>
        <v/>
      </c>
      <c r="H201" t="str">
        <f>IF($AK201="","",IF($AK201=0,"",IF(INDEX(LookupData!H:H,$AK201)="","",INDEX(LookupData!H:H,$AK201))))</f>
        <v/>
      </c>
      <c r="I201" s="7" t="str">
        <f>IF($AK201="","",IF($AK201=0,"",IF(INDEX(LookupData!I:I,$AK201)="","",INDEX(LookupData!I:I,$AK201))))</f>
        <v/>
      </c>
      <c r="J201" s="7" t="str">
        <f>IF($AK201="","",IF($AK201=0,"",IF(INDEX(LookupData!J:J,$AK201)="","",INDEX(LookupData!J:J,$AK201))))</f>
        <v/>
      </c>
      <c r="K201" s="7" t="str">
        <f>IF($AK201="","",IF($AK201=0,"",IF(INDEX(LookupData!K:K,$AK201)="","",INDEX(LookupData!K:K,$AK201))))</f>
        <v/>
      </c>
      <c r="L201" s="7" t="str">
        <f>IF($AK201="","",IF($AK201=0,"",IF(INDEX(LookupData!L:L,$AK201)="","",INDEX(LookupData!L:L,$AK201))))</f>
        <v/>
      </c>
      <c r="M201" s="7" t="str">
        <f>IF($AK201="","",IF($AK201=0,"",IF(INDEX(LookupData!M:M,$AK201)="","",INDEX(LookupData!M:M,$AK201))))</f>
        <v/>
      </c>
      <c r="N201" s="7" t="str">
        <f>IF($AK201="","",IF($AK201=0,"",IF(INDEX(LookupData!N:N,$AK201)="","",INDEX(LookupData!N:N,$AK201))))</f>
        <v/>
      </c>
      <c r="O201" s="7" t="str">
        <f>IF($AK201="","",IF($AK201=0,"",IF(INDEX(LookupData!O:O,$AK201)="","",INDEX(LookupData!O:O,$AK201))))</f>
        <v/>
      </c>
      <c r="P201" s="7" t="str">
        <f>IF($AK201="","",IF($AK201=0,"",IF(INDEX(LookupData!P:P,$AK201)="","",INDEX(LookupData!P:P,$AK201))))</f>
        <v/>
      </c>
      <c r="Q201" s="7" t="str">
        <f>IF($AK201="","",IF($AK201=0,"",IF(INDEX(LookupData!Q:Q,$AK201)="","",INDEX(LookupData!Q:Q,$AK201))))</f>
        <v/>
      </c>
      <c r="R201" s="7" t="str">
        <f>IF($AK201="","",IF($AK201=0,"",IF(INDEX(LookupData!R:R,$AK201)="","",INDEX(LookupData!R:R,$AK201))))</f>
        <v/>
      </c>
      <c r="S201" s="7" t="str">
        <f>IF($AK201="","",IF($AK201=0,"",IF(INDEX(LookupData!S:S,$AK201)="","",INDEX(LookupData!S:S,$AK201))))</f>
        <v/>
      </c>
      <c r="T201" s="7" t="str">
        <f>IF($AK201="","",IF($AK201=0,"",IF(INDEX(LookupData!T:T,$AK201)="","",INDEX(LookupData!T:T,$AK201))))</f>
        <v/>
      </c>
      <c r="U201" s="7" t="str">
        <f>IF($AK201="","",IF($AK201=0,"",IF(INDEX(LookupData!U:U,$AK201)="","",INDEX(LookupData!U:U,$AK201))))</f>
        <v/>
      </c>
      <c r="V201" s="7" t="str">
        <f>IF($AK201="","",IF($AK201=0,"",IF(INDEX(LookupData!V:V,$AK201)="","",INDEX(LookupData!V:V,$AK201))))</f>
        <v/>
      </c>
      <c r="W201" t="str">
        <f>IF($AK201="","",IF($AK201=0,"",IF(INDEX(LookupData!W:W,$AK201)="","",INDEX(LookupData!W:W,$AK201))))</f>
        <v/>
      </c>
      <c r="X201" s="7" t="str">
        <f>IF($AK201="","",IF($AK201=0,"",IF(INDEX(LookupData!X:X,$AK201)="","",INDEX(LookupData!X:X,$AK201))))</f>
        <v/>
      </c>
      <c r="Y201" s="7" t="str">
        <f>IF($AK201="","",IF($AK201=0,"",IF(INDEX(LookupData!Y:Y,$AK201)="","",INDEX(LookupData!Y:Y,$AK201))))</f>
        <v/>
      </c>
      <c r="Z201" s="7" t="str">
        <f>IF($AK201="","",IF($AK201=0,"",IF(INDEX(LookupData!Z:Z,$AK201)="","",INDEX(LookupData!Z:Z,$AK201))))</f>
        <v/>
      </c>
      <c r="AA201" s="7" t="str">
        <f>IF($AK201="","",IF($AK201=0,"",IF(INDEX(LookupData!AA:AA,$AK201)="","",INDEX(LookupData!AA:AA,$AK201))))</f>
        <v/>
      </c>
      <c r="AB201" s="7" t="str">
        <f>IF($AK201="","",IF($AK201=0,"",IF(INDEX(LookupData!AB:AB,$AK201)="","",INDEX(LookupData!AB:AB,$AK201))))</f>
        <v/>
      </c>
      <c r="AC201" s="7" t="str">
        <f>IF($AK201="","",IF($AK201=0,"",IF(INDEX(LookupData!AC:AC,$AK201)="","",INDEX(LookupData!AC:AC,$AK201))))</f>
        <v/>
      </c>
      <c r="AD201" s="7" t="str">
        <f>IF($AK201="","",IF($AK201=0,"",IF(INDEX(LookupData!AD:AD,$AK201)="","",INDEX(LookupData!AD:AD,$AK201))))</f>
        <v/>
      </c>
      <c r="AE201" s="7" t="str">
        <f>IF($AK201="","",IF($AK201=0,"",IF(INDEX(LookupData!AE:AE,$AK201)="","",INDEX(LookupData!AE:AE,$AK201))))</f>
        <v/>
      </c>
      <c r="AF201" t="str">
        <f>IF($AK201="","",IF($AK201=0,"",IF(INDEX(LookupData!AF:AF,$AK201)="","",INDEX(LookupData!AF:AF,$AK201))))</f>
        <v/>
      </c>
      <c r="AG201" t="str">
        <f>IF($AK201="","",IF($AK201=0,"",IF(INDEX(LookupData!AG:AG,$AK201)="","",INDEX(LookupData!AG:AG,$AK201))))</f>
        <v/>
      </c>
      <c r="AH201" s="11" t="str">
        <f>IF($AK201="","",IF($AK201=0,"",IF(INDEX(LookupData!AH:AH,$AK201)="","",INDEX(LookupData!AH:AH,$AK201))))</f>
        <v/>
      </c>
      <c r="AI201" s="12" t="str">
        <f>IF($AK201="","",IF($AK201=0,"",IF(INDEX(LookupData!AI:AI,$AK201)="","",HYPERLINK(INDEX(LookupData!AI:AI,$AK201),"Open"))))</f>
        <v/>
      </c>
      <c r="AK201" t="str">
        <f>IF(AL201="","",IFERROR(MATCH(AL201,LookupData!$A:$A,0),0))</f>
        <v/>
      </c>
      <c r="AL201" t="str">
        <f t="shared" si="12"/>
        <v/>
      </c>
      <c r="AM201" t="str">
        <f t="shared" si="13"/>
        <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J5001"/>
  <sheetViews>
    <sheetView workbookViewId="0"/>
  </sheetViews>
  <sheetFormatPr baseColWidth="10" defaultColWidth="8.83203125" defaultRowHeight="15" x14ac:dyDescent="0.2"/>
  <cols>
    <col min="1" max="1" width="10" customWidth="1"/>
    <col min="2" max="2" width="9.33203125" bestFit="1" customWidth="1"/>
    <col min="3" max="3" width="10.83203125" bestFit="1" customWidth="1"/>
    <col min="4" max="4" width="15.5" bestFit="1" customWidth="1"/>
    <col min="5" max="5" width="9.1640625" bestFit="1" customWidth="1"/>
    <col min="6" max="6" width="8.6640625" bestFit="1" customWidth="1"/>
    <col min="7" max="7" width="11.83203125" bestFit="1" customWidth="1"/>
    <col min="8" max="8" width="15.33203125" bestFit="1" customWidth="1"/>
    <col min="9" max="9" width="7.33203125" bestFit="1" customWidth="1"/>
    <col min="10" max="10" width="9.6640625" bestFit="1" customWidth="1"/>
    <col min="11" max="11" width="9.33203125" bestFit="1" customWidth="1"/>
    <col min="12" max="12" width="21.83203125" bestFit="1" customWidth="1"/>
    <col min="13" max="13" width="19.1640625" bestFit="1" customWidth="1"/>
    <col min="14" max="14" width="9.33203125" bestFit="1" customWidth="1"/>
    <col min="15" max="15" width="10.33203125" bestFit="1" customWidth="1"/>
    <col min="16" max="16" width="10.6640625" bestFit="1" customWidth="1"/>
    <col min="17" max="17" width="5.1640625" bestFit="1" customWidth="1"/>
    <col min="18" max="18" width="7.5" bestFit="1" customWidth="1"/>
    <col min="19" max="19" width="10.83203125" bestFit="1" customWidth="1"/>
    <col min="20" max="20" width="12" bestFit="1" customWidth="1"/>
    <col min="21" max="21" width="12.33203125" bestFit="1" customWidth="1"/>
    <col min="22" max="22" width="14.33203125" bestFit="1" customWidth="1"/>
    <col min="23" max="23" width="17.1640625" bestFit="1" customWidth="1"/>
    <col min="24" max="24" width="6.6640625" bestFit="1" customWidth="1"/>
    <col min="25" max="25" width="4.83203125" bestFit="1" customWidth="1"/>
    <col min="26" max="26" width="12.5" bestFit="1" customWidth="1"/>
    <col min="27" max="27" width="20" bestFit="1" customWidth="1"/>
    <col min="28" max="28" width="17" bestFit="1" customWidth="1"/>
    <col min="29" max="29" width="10.83203125" bestFit="1" customWidth="1"/>
    <col min="30" max="30" width="13.5" bestFit="1" customWidth="1"/>
    <col min="31" max="31" width="13.1640625" bestFit="1" customWidth="1"/>
    <col min="32" max="32" width="17" bestFit="1" customWidth="1"/>
    <col min="33" max="33" width="11.6640625" bestFit="1" customWidth="1"/>
    <col min="34" max="34" width="13.83203125" bestFit="1" customWidth="1"/>
    <col min="35" max="35" width="11" bestFit="1" customWidth="1"/>
    <col min="36" max="36" width="11.33203125" bestFit="1" customWidth="1"/>
  </cols>
  <sheetData>
    <row r="1" spans="1:36" s="18" customFormat="1" x14ac:dyDescent="0.2">
      <c r="A1" s="6" t="s">
        <v>53</v>
      </c>
      <c r="B1" s="18" t="s">
        <v>54</v>
      </c>
      <c r="C1" s="18" t="s">
        <v>21</v>
      </c>
      <c r="D1" s="18" t="s">
        <v>22</v>
      </c>
      <c r="E1" s="18" t="s">
        <v>23</v>
      </c>
      <c r="F1" s="18" t="s">
        <v>24</v>
      </c>
      <c r="G1" s="18" t="s">
        <v>25</v>
      </c>
      <c r="H1" s="18" t="s">
        <v>26</v>
      </c>
      <c r="I1" s="18" t="s">
        <v>27</v>
      </c>
      <c r="J1" s="18" t="s">
        <v>28</v>
      </c>
      <c r="K1" s="18" t="s">
        <v>29</v>
      </c>
      <c r="L1" s="18" t="s">
        <v>30</v>
      </c>
      <c r="M1" s="18" t="s">
        <v>31</v>
      </c>
      <c r="N1" s="18" t="s">
        <v>32</v>
      </c>
      <c r="O1" s="18" t="s">
        <v>33</v>
      </c>
      <c r="P1" s="18" t="s">
        <v>34</v>
      </c>
      <c r="Q1" s="18" t="s">
        <v>35</v>
      </c>
      <c r="R1" s="18" t="s">
        <v>36</v>
      </c>
      <c r="S1" s="18" t="s">
        <v>37</v>
      </c>
      <c r="T1" s="18" t="s">
        <v>38</v>
      </c>
      <c r="U1" s="18" t="s">
        <v>39</v>
      </c>
      <c r="V1" s="18" t="s">
        <v>40</v>
      </c>
      <c r="W1" s="18" t="s">
        <v>41</v>
      </c>
      <c r="X1" s="18" t="s">
        <v>42</v>
      </c>
      <c r="Y1" s="18" t="s">
        <v>43</v>
      </c>
      <c r="Z1" s="18" t="s">
        <v>44</v>
      </c>
      <c r="AA1" s="18" t="s">
        <v>45</v>
      </c>
      <c r="AB1" s="18" t="s">
        <v>46</v>
      </c>
      <c r="AC1" s="18" t="s">
        <v>47</v>
      </c>
      <c r="AD1" s="18" t="s">
        <v>48</v>
      </c>
      <c r="AE1" s="18" t="s">
        <v>49</v>
      </c>
      <c r="AF1" s="18" t="s">
        <v>50</v>
      </c>
      <c r="AG1" s="18" t="s">
        <v>13</v>
      </c>
      <c r="AH1" s="18" t="s">
        <v>51</v>
      </c>
      <c r="AI1" s="18" t="s">
        <v>52</v>
      </c>
      <c r="AJ1" s="18" t="s">
        <v>55</v>
      </c>
    </row>
    <row r="2" spans="1:36" x14ac:dyDescent="0.2">
      <c r="A2" s="12" t="str">
        <f t="shared" ref="A2:A65" si="0">IF(INDEX($AJ:$AJ,ROW())="","",HYPERLINK(INDEX($AJ:$AJ,ROW()),"Open"))</f>
        <v/>
      </c>
      <c r="C2" s="16"/>
      <c r="AI2" s="17"/>
    </row>
    <row r="3" spans="1:36" x14ac:dyDescent="0.2">
      <c r="A3" s="12" t="str">
        <f t="shared" si="0"/>
        <v/>
      </c>
    </row>
    <row r="4" spans="1:36" x14ac:dyDescent="0.2">
      <c r="A4" s="12" t="str">
        <f t="shared" si="0"/>
        <v/>
      </c>
    </row>
    <row r="5" spans="1:36" x14ac:dyDescent="0.2">
      <c r="A5" s="12" t="str">
        <f t="shared" si="0"/>
        <v/>
      </c>
    </row>
    <row r="6" spans="1:36" x14ac:dyDescent="0.2">
      <c r="A6" s="12" t="str">
        <f t="shared" si="0"/>
        <v/>
      </c>
    </row>
    <row r="7" spans="1:36" x14ac:dyDescent="0.2">
      <c r="A7" s="12" t="str">
        <f t="shared" si="0"/>
        <v/>
      </c>
    </row>
    <row r="8" spans="1:36" x14ac:dyDescent="0.2">
      <c r="A8" s="12" t="str">
        <f t="shared" si="0"/>
        <v/>
      </c>
    </row>
    <row r="9" spans="1:36" x14ac:dyDescent="0.2">
      <c r="A9" s="12" t="str">
        <f t="shared" si="0"/>
        <v/>
      </c>
    </row>
    <row r="10" spans="1:36" x14ac:dyDescent="0.2">
      <c r="A10" s="12" t="str">
        <f t="shared" si="0"/>
        <v/>
      </c>
    </row>
    <row r="11" spans="1:36" x14ac:dyDescent="0.2">
      <c r="A11" s="12" t="str">
        <f t="shared" si="0"/>
        <v/>
      </c>
    </row>
    <row r="12" spans="1:36" x14ac:dyDescent="0.2">
      <c r="A12" s="12" t="str">
        <f t="shared" si="0"/>
        <v/>
      </c>
    </row>
    <row r="13" spans="1:36" x14ac:dyDescent="0.2">
      <c r="A13" s="12" t="str">
        <f t="shared" si="0"/>
        <v/>
      </c>
    </row>
    <row r="14" spans="1:36" x14ac:dyDescent="0.2">
      <c r="A14" s="12" t="str">
        <f t="shared" si="0"/>
        <v/>
      </c>
    </row>
    <row r="15" spans="1:36" x14ac:dyDescent="0.2">
      <c r="A15" s="12" t="str">
        <f t="shared" si="0"/>
        <v/>
      </c>
    </row>
    <row r="16" spans="1:36" x14ac:dyDescent="0.2">
      <c r="A16" s="12" t="str">
        <f t="shared" si="0"/>
        <v/>
      </c>
    </row>
    <row r="17" spans="1:1" x14ac:dyDescent="0.2">
      <c r="A17" s="12" t="str">
        <f t="shared" si="0"/>
        <v/>
      </c>
    </row>
    <row r="18" spans="1:1" x14ac:dyDescent="0.2">
      <c r="A18" s="12" t="str">
        <f t="shared" si="0"/>
        <v/>
      </c>
    </row>
    <row r="19" spans="1:1" x14ac:dyDescent="0.2">
      <c r="A19" s="12" t="str">
        <f t="shared" si="0"/>
        <v/>
      </c>
    </row>
    <row r="20" spans="1:1" x14ac:dyDescent="0.2">
      <c r="A20" s="12" t="str">
        <f t="shared" si="0"/>
        <v/>
      </c>
    </row>
    <row r="21" spans="1:1" x14ac:dyDescent="0.2">
      <c r="A21" s="12" t="str">
        <f t="shared" si="0"/>
        <v/>
      </c>
    </row>
    <row r="22" spans="1:1" x14ac:dyDescent="0.2">
      <c r="A22" s="12" t="str">
        <f t="shared" si="0"/>
        <v/>
      </c>
    </row>
    <row r="23" spans="1:1" x14ac:dyDescent="0.2">
      <c r="A23" s="12" t="str">
        <f t="shared" si="0"/>
        <v/>
      </c>
    </row>
    <row r="24" spans="1:1" x14ac:dyDescent="0.2">
      <c r="A24" s="12" t="str">
        <f t="shared" si="0"/>
        <v/>
      </c>
    </row>
    <row r="25" spans="1:1" x14ac:dyDescent="0.2">
      <c r="A25" s="12" t="str">
        <f t="shared" si="0"/>
        <v/>
      </c>
    </row>
    <row r="26" spans="1:1" x14ac:dyDescent="0.2">
      <c r="A26" s="12" t="str">
        <f t="shared" si="0"/>
        <v/>
      </c>
    </row>
    <row r="27" spans="1:1" x14ac:dyDescent="0.2">
      <c r="A27" s="12" t="str">
        <f t="shared" si="0"/>
        <v/>
      </c>
    </row>
    <row r="28" spans="1:1" x14ac:dyDescent="0.2">
      <c r="A28" s="12" t="str">
        <f t="shared" si="0"/>
        <v/>
      </c>
    </row>
    <row r="29" spans="1:1" x14ac:dyDescent="0.2">
      <c r="A29" s="12" t="str">
        <f t="shared" si="0"/>
        <v/>
      </c>
    </row>
    <row r="30" spans="1:1" x14ac:dyDescent="0.2">
      <c r="A30" s="12" t="str">
        <f t="shared" si="0"/>
        <v/>
      </c>
    </row>
    <row r="31" spans="1:1" x14ac:dyDescent="0.2">
      <c r="A31" s="12" t="str">
        <f t="shared" si="0"/>
        <v/>
      </c>
    </row>
    <row r="32" spans="1:1" x14ac:dyDescent="0.2">
      <c r="A32" s="12" t="str">
        <f t="shared" si="0"/>
        <v/>
      </c>
    </row>
    <row r="33" spans="1:1" x14ac:dyDescent="0.2">
      <c r="A33" s="12" t="str">
        <f t="shared" si="0"/>
        <v/>
      </c>
    </row>
    <row r="34" spans="1:1" x14ac:dyDescent="0.2">
      <c r="A34" s="12" t="str">
        <f t="shared" si="0"/>
        <v/>
      </c>
    </row>
    <row r="35" spans="1:1" x14ac:dyDescent="0.2">
      <c r="A35" s="12" t="str">
        <f t="shared" si="0"/>
        <v/>
      </c>
    </row>
    <row r="36" spans="1:1" x14ac:dyDescent="0.2">
      <c r="A36" s="12" t="str">
        <f t="shared" si="0"/>
        <v/>
      </c>
    </row>
    <row r="37" spans="1:1" x14ac:dyDescent="0.2">
      <c r="A37" s="12" t="str">
        <f t="shared" si="0"/>
        <v/>
      </c>
    </row>
    <row r="38" spans="1:1" x14ac:dyDescent="0.2">
      <c r="A38" s="12" t="str">
        <f t="shared" si="0"/>
        <v/>
      </c>
    </row>
    <row r="39" spans="1:1" x14ac:dyDescent="0.2">
      <c r="A39" s="12" t="str">
        <f t="shared" si="0"/>
        <v/>
      </c>
    </row>
    <row r="40" spans="1:1" x14ac:dyDescent="0.2">
      <c r="A40" s="12" t="str">
        <f t="shared" si="0"/>
        <v/>
      </c>
    </row>
    <row r="41" spans="1:1" x14ac:dyDescent="0.2">
      <c r="A41" s="12" t="str">
        <f t="shared" si="0"/>
        <v/>
      </c>
    </row>
    <row r="42" spans="1:1" x14ac:dyDescent="0.2">
      <c r="A42" s="12" t="str">
        <f t="shared" si="0"/>
        <v/>
      </c>
    </row>
    <row r="43" spans="1:1" x14ac:dyDescent="0.2">
      <c r="A43" s="12" t="str">
        <f t="shared" si="0"/>
        <v/>
      </c>
    </row>
    <row r="44" spans="1:1" x14ac:dyDescent="0.2">
      <c r="A44" s="12" t="str">
        <f t="shared" si="0"/>
        <v/>
      </c>
    </row>
    <row r="45" spans="1:1" x14ac:dyDescent="0.2">
      <c r="A45" s="12" t="str">
        <f t="shared" si="0"/>
        <v/>
      </c>
    </row>
    <row r="46" spans="1:1" x14ac:dyDescent="0.2">
      <c r="A46" s="12" t="str">
        <f t="shared" si="0"/>
        <v/>
      </c>
    </row>
    <row r="47" spans="1:1" x14ac:dyDescent="0.2">
      <c r="A47" s="12" t="str">
        <f t="shared" si="0"/>
        <v/>
      </c>
    </row>
    <row r="48" spans="1:1" x14ac:dyDescent="0.2">
      <c r="A48" s="12" t="str">
        <f t="shared" si="0"/>
        <v/>
      </c>
    </row>
    <row r="49" spans="1:1" x14ac:dyDescent="0.2">
      <c r="A49" s="12" t="str">
        <f t="shared" si="0"/>
        <v/>
      </c>
    </row>
    <row r="50" spans="1:1" x14ac:dyDescent="0.2">
      <c r="A50" s="12" t="str">
        <f t="shared" si="0"/>
        <v/>
      </c>
    </row>
    <row r="51" spans="1:1" x14ac:dyDescent="0.2">
      <c r="A51" s="12" t="str">
        <f t="shared" si="0"/>
        <v/>
      </c>
    </row>
    <row r="52" spans="1:1" x14ac:dyDescent="0.2">
      <c r="A52" s="12" t="str">
        <f t="shared" si="0"/>
        <v/>
      </c>
    </row>
    <row r="53" spans="1:1" x14ac:dyDescent="0.2">
      <c r="A53" s="12" t="str">
        <f t="shared" si="0"/>
        <v/>
      </c>
    </row>
    <row r="54" spans="1:1" x14ac:dyDescent="0.2">
      <c r="A54" s="12" t="str">
        <f t="shared" si="0"/>
        <v/>
      </c>
    </row>
    <row r="55" spans="1:1" x14ac:dyDescent="0.2">
      <c r="A55" s="12" t="str">
        <f t="shared" si="0"/>
        <v/>
      </c>
    </row>
    <row r="56" spans="1:1" x14ac:dyDescent="0.2">
      <c r="A56" s="12" t="str">
        <f t="shared" si="0"/>
        <v/>
      </c>
    </row>
    <row r="57" spans="1:1" x14ac:dyDescent="0.2">
      <c r="A57" s="12" t="str">
        <f t="shared" si="0"/>
        <v/>
      </c>
    </row>
    <row r="58" spans="1:1" x14ac:dyDescent="0.2">
      <c r="A58" s="12" t="str">
        <f t="shared" si="0"/>
        <v/>
      </c>
    </row>
    <row r="59" spans="1:1" x14ac:dyDescent="0.2">
      <c r="A59" s="12" t="str">
        <f t="shared" si="0"/>
        <v/>
      </c>
    </row>
    <row r="60" spans="1:1" x14ac:dyDescent="0.2">
      <c r="A60" s="12" t="str">
        <f t="shared" si="0"/>
        <v/>
      </c>
    </row>
    <row r="61" spans="1:1" x14ac:dyDescent="0.2">
      <c r="A61" s="12" t="str">
        <f t="shared" si="0"/>
        <v/>
      </c>
    </row>
    <row r="62" spans="1:1" x14ac:dyDescent="0.2">
      <c r="A62" s="12" t="str">
        <f t="shared" si="0"/>
        <v/>
      </c>
    </row>
    <row r="63" spans="1:1" x14ac:dyDescent="0.2">
      <c r="A63" s="12" t="str">
        <f t="shared" si="0"/>
        <v/>
      </c>
    </row>
    <row r="64" spans="1:1" x14ac:dyDescent="0.2">
      <c r="A64" s="12" t="str">
        <f t="shared" si="0"/>
        <v/>
      </c>
    </row>
    <row r="65" spans="1:1" x14ac:dyDescent="0.2">
      <c r="A65" s="12" t="str">
        <f t="shared" si="0"/>
        <v/>
      </c>
    </row>
    <row r="66" spans="1:1" x14ac:dyDescent="0.2">
      <c r="A66" s="12" t="str">
        <f t="shared" ref="A66:A129" si="1">IF(INDEX($AJ:$AJ,ROW())="","",HYPERLINK(INDEX($AJ:$AJ,ROW()),"Open"))</f>
        <v/>
      </c>
    </row>
    <row r="67" spans="1:1" x14ac:dyDescent="0.2">
      <c r="A67" s="12" t="str">
        <f t="shared" si="1"/>
        <v/>
      </c>
    </row>
    <row r="68" spans="1:1" x14ac:dyDescent="0.2">
      <c r="A68" s="12" t="str">
        <f t="shared" si="1"/>
        <v/>
      </c>
    </row>
    <row r="69" spans="1:1" x14ac:dyDescent="0.2">
      <c r="A69" s="12" t="str">
        <f t="shared" si="1"/>
        <v/>
      </c>
    </row>
    <row r="70" spans="1:1" x14ac:dyDescent="0.2">
      <c r="A70" s="12" t="str">
        <f t="shared" si="1"/>
        <v/>
      </c>
    </row>
    <row r="71" spans="1:1" x14ac:dyDescent="0.2">
      <c r="A71" s="12" t="str">
        <f t="shared" si="1"/>
        <v/>
      </c>
    </row>
    <row r="72" spans="1:1" x14ac:dyDescent="0.2">
      <c r="A72" s="12" t="str">
        <f t="shared" si="1"/>
        <v/>
      </c>
    </row>
    <row r="73" spans="1:1" x14ac:dyDescent="0.2">
      <c r="A73" s="12" t="str">
        <f t="shared" si="1"/>
        <v/>
      </c>
    </row>
    <row r="74" spans="1:1" x14ac:dyDescent="0.2">
      <c r="A74" s="12" t="str">
        <f t="shared" si="1"/>
        <v/>
      </c>
    </row>
    <row r="75" spans="1:1" x14ac:dyDescent="0.2">
      <c r="A75" s="12" t="str">
        <f t="shared" si="1"/>
        <v/>
      </c>
    </row>
    <row r="76" spans="1:1" x14ac:dyDescent="0.2">
      <c r="A76" s="12" t="str">
        <f t="shared" si="1"/>
        <v/>
      </c>
    </row>
    <row r="77" spans="1:1" x14ac:dyDescent="0.2">
      <c r="A77" s="12" t="str">
        <f t="shared" si="1"/>
        <v/>
      </c>
    </row>
    <row r="78" spans="1:1" x14ac:dyDescent="0.2">
      <c r="A78" s="12" t="str">
        <f t="shared" si="1"/>
        <v/>
      </c>
    </row>
    <row r="79" spans="1:1" x14ac:dyDescent="0.2">
      <c r="A79" s="12" t="str">
        <f t="shared" si="1"/>
        <v/>
      </c>
    </row>
    <row r="80" spans="1:1" x14ac:dyDescent="0.2">
      <c r="A80" s="12" t="str">
        <f t="shared" si="1"/>
        <v/>
      </c>
    </row>
    <row r="81" spans="1:1" x14ac:dyDescent="0.2">
      <c r="A81" s="12" t="str">
        <f t="shared" si="1"/>
        <v/>
      </c>
    </row>
    <row r="82" spans="1:1" x14ac:dyDescent="0.2">
      <c r="A82" s="12" t="str">
        <f t="shared" si="1"/>
        <v/>
      </c>
    </row>
    <row r="83" spans="1:1" x14ac:dyDescent="0.2">
      <c r="A83" s="12" t="str">
        <f t="shared" si="1"/>
        <v/>
      </c>
    </row>
    <row r="84" spans="1:1" x14ac:dyDescent="0.2">
      <c r="A84" s="12" t="str">
        <f t="shared" si="1"/>
        <v/>
      </c>
    </row>
    <row r="85" spans="1:1" x14ac:dyDescent="0.2">
      <c r="A85" s="12" t="str">
        <f t="shared" si="1"/>
        <v/>
      </c>
    </row>
    <row r="86" spans="1:1" x14ac:dyDescent="0.2">
      <c r="A86" s="12" t="str">
        <f t="shared" si="1"/>
        <v/>
      </c>
    </row>
    <row r="87" spans="1:1" x14ac:dyDescent="0.2">
      <c r="A87" s="12" t="str">
        <f t="shared" si="1"/>
        <v/>
      </c>
    </row>
    <row r="88" spans="1:1" x14ac:dyDescent="0.2">
      <c r="A88" s="12" t="str">
        <f t="shared" si="1"/>
        <v/>
      </c>
    </row>
    <row r="89" spans="1:1" x14ac:dyDescent="0.2">
      <c r="A89" s="12" t="str">
        <f t="shared" si="1"/>
        <v/>
      </c>
    </row>
    <row r="90" spans="1:1" x14ac:dyDescent="0.2">
      <c r="A90" s="12" t="str">
        <f t="shared" si="1"/>
        <v/>
      </c>
    </row>
    <row r="91" spans="1:1" x14ac:dyDescent="0.2">
      <c r="A91" s="12" t="str">
        <f t="shared" si="1"/>
        <v/>
      </c>
    </row>
    <row r="92" spans="1:1" x14ac:dyDescent="0.2">
      <c r="A92" s="12" t="str">
        <f t="shared" si="1"/>
        <v/>
      </c>
    </row>
    <row r="93" spans="1:1" x14ac:dyDescent="0.2">
      <c r="A93" s="12" t="str">
        <f t="shared" si="1"/>
        <v/>
      </c>
    </row>
    <row r="94" spans="1:1" x14ac:dyDescent="0.2">
      <c r="A94" s="12" t="str">
        <f t="shared" si="1"/>
        <v/>
      </c>
    </row>
    <row r="95" spans="1:1" x14ac:dyDescent="0.2">
      <c r="A95" s="12" t="str">
        <f t="shared" si="1"/>
        <v/>
      </c>
    </row>
    <row r="96" spans="1:1" x14ac:dyDescent="0.2">
      <c r="A96" s="12" t="str">
        <f t="shared" si="1"/>
        <v/>
      </c>
    </row>
    <row r="97" spans="1:1" x14ac:dyDescent="0.2">
      <c r="A97" s="12" t="str">
        <f t="shared" si="1"/>
        <v/>
      </c>
    </row>
    <row r="98" spans="1:1" x14ac:dyDescent="0.2">
      <c r="A98" s="12" t="str">
        <f t="shared" si="1"/>
        <v/>
      </c>
    </row>
    <row r="99" spans="1:1" x14ac:dyDescent="0.2">
      <c r="A99" s="12" t="str">
        <f t="shared" si="1"/>
        <v/>
      </c>
    </row>
    <row r="100" spans="1:1" x14ac:dyDescent="0.2">
      <c r="A100" s="12" t="str">
        <f t="shared" si="1"/>
        <v/>
      </c>
    </row>
    <row r="101" spans="1:1" x14ac:dyDescent="0.2">
      <c r="A101" s="12" t="str">
        <f t="shared" si="1"/>
        <v/>
      </c>
    </row>
    <row r="102" spans="1:1" x14ac:dyDescent="0.2">
      <c r="A102" s="12" t="str">
        <f t="shared" si="1"/>
        <v/>
      </c>
    </row>
    <row r="103" spans="1:1" x14ac:dyDescent="0.2">
      <c r="A103" s="12" t="str">
        <f t="shared" si="1"/>
        <v/>
      </c>
    </row>
    <row r="104" spans="1:1" x14ac:dyDescent="0.2">
      <c r="A104" s="12" t="str">
        <f t="shared" si="1"/>
        <v/>
      </c>
    </row>
    <row r="105" spans="1:1" x14ac:dyDescent="0.2">
      <c r="A105" s="12" t="str">
        <f t="shared" si="1"/>
        <v/>
      </c>
    </row>
    <row r="106" spans="1:1" x14ac:dyDescent="0.2">
      <c r="A106" s="12" t="str">
        <f t="shared" si="1"/>
        <v/>
      </c>
    </row>
    <row r="107" spans="1:1" x14ac:dyDescent="0.2">
      <c r="A107" s="12" t="str">
        <f t="shared" si="1"/>
        <v/>
      </c>
    </row>
    <row r="108" spans="1:1" x14ac:dyDescent="0.2">
      <c r="A108" s="12" t="str">
        <f t="shared" si="1"/>
        <v/>
      </c>
    </row>
    <row r="109" spans="1:1" x14ac:dyDescent="0.2">
      <c r="A109" s="12" t="str">
        <f t="shared" si="1"/>
        <v/>
      </c>
    </row>
    <row r="110" spans="1:1" x14ac:dyDescent="0.2">
      <c r="A110" s="12" t="str">
        <f t="shared" si="1"/>
        <v/>
      </c>
    </row>
    <row r="111" spans="1:1" x14ac:dyDescent="0.2">
      <c r="A111" s="12" t="str">
        <f t="shared" si="1"/>
        <v/>
      </c>
    </row>
    <row r="112" spans="1:1" x14ac:dyDescent="0.2">
      <c r="A112" s="12" t="str">
        <f t="shared" si="1"/>
        <v/>
      </c>
    </row>
    <row r="113" spans="1:1" x14ac:dyDescent="0.2">
      <c r="A113" s="12" t="str">
        <f t="shared" si="1"/>
        <v/>
      </c>
    </row>
    <row r="114" spans="1:1" x14ac:dyDescent="0.2">
      <c r="A114" s="12" t="str">
        <f t="shared" si="1"/>
        <v/>
      </c>
    </row>
    <row r="115" spans="1:1" x14ac:dyDescent="0.2">
      <c r="A115" s="12" t="str">
        <f t="shared" si="1"/>
        <v/>
      </c>
    </row>
    <row r="116" spans="1:1" x14ac:dyDescent="0.2">
      <c r="A116" s="12" t="str">
        <f t="shared" si="1"/>
        <v/>
      </c>
    </row>
    <row r="117" spans="1:1" x14ac:dyDescent="0.2">
      <c r="A117" s="12" t="str">
        <f t="shared" si="1"/>
        <v/>
      </c>
    </row>
    <row r="118" spans="1:1" x14ac:dyDescent="0.2">
      <c r="A118" s="12" t="str">
        <f t="shared" si="1"/>
        <v/>
      </c>
    </row>
    <row r="119" spans="1:1" x14ac:dyDescent="0.2">
      <c r="A119" s="12" t="str">
        <f t="shared" si="1"/>
        <v/>
      </c>
    </row>
    <row r="120" spans="1:1" x14ac:dyDescent="0.2">
      <c r="A120" s="12" t="str">
        <f t="shared" si="1"/>
        <v/>
      </c>
    </row>
    <row r="121" spans="1:1" x14ac:dyDescent="0.2">
      <c r="A121" s="12" t="str">
        <f t="shared" si="1"/>
        <v/>
      </c>
    </row>
    <row r="122" spans="1:1" x14ac:dyDescent="0.2">
      <c r="A122" s="12" t="str">
        <f t="shared" si="1"/>
        <v/>
      </c>
    </row>
    <row r="123" spans="1:1" x14ac:dyDescent="0.2">
      <c r="A123" s="12" t="str">
        <f t="shared" si="1"/>
        <v/>
      </c>
    </row>
    <row r="124" spans="1:1" x14ac:dyDescent="0.2">
      <c r="A124" s="12" t="str">
        <f t="shared" si="1"/>
        <v/>
      </c>
    </row>
    <row r="125" spans="1:1" x14ac:dyDescent="0.2">
      <c r="A125" s="12" t="str">
        <f t="shared" si="1"/>
        <v/>
      </c>
    </row>
    <row r="126" spans="1:1" x14ac:dyDescent="0.2">
      <c r="A126" s="12" t="str">
        <f t="shared" si="1"/>
        <v/>
      </c>
    </row>
    <row r="127" spans="1:1" x14ac:dyDescent="0.2">
      <c r="A127" s="12" t="str">
        <f t="shared" si="1"/>
        <v/>
      </c>
    </row>
    <row r="128" spans="1:1" x14ac:dyDescent="0.2">
      <c r="A128" s="12" t="str">
        <f t="shared" si="1"/>
        <v/>
      </c>
    </row>
    <row r="129" spans="1:1" x14ac:dyDescent="0.2">
      <c r="A129" s="12" t="str">
        <f t="shared" si="1"/>
        <v/>
      </c>
    </row>
    <row r="130" spans="1:1" x14ac:dyDescent="0.2">
      <c r="A130" s="12" t="str">
        <f t="shared" ref="A130:A193" si="2">IF(INDEX($AJ:$AJ,ROW())="","",HYPERLINK(INDEX($AJ:$AJ,ROW()),"Open"))</f>
        <v/>
      </c>
    </row>
    <row r="131" spans="1:1" x14ac:dyDescent="0.2">
      <c r="A131" s="12" t="str">
        <f t="shared" si="2"/>
        <v/>
      </c>
    </row>
    <row r="132" spans="1:1" x14ac:dyDescent="0.2">
      <c r="A132" s="12" t="str">
        <f t="shared" si="2"/>
        <v/>
      </c>
    </row>
    <row r="133" spans="1:1" x14ac:dyDescent="0.2">
      <c r="A133" s="12" t="str">
        <f t="shared" si="2"/>
        <v/>
      </c>
    </row>
    <row r="134" spans="1:1" x14ac:dyDescent="0.2">
      <c r="A134" s="12" t="str">
        <f t="shared" si="2"/>
        <v/>
      </c>
    </row>
    <row r="135" spans="1:1" x14ac:dyDescent="0.2">
      <c r="A135" s="12" t="str">
        <f t="shared" si="2"/>
        <v/>
      </c>
    </row>
    <row r="136" spans="1:1" x14ac:dyDescent="0.2">
      <c r="A136" s="12" t="str">
        <f t="shared" si="2"/>
        <v/>
      </c>
    </row>
    <row r="137" spans="1:1" x14ac:dyDescent="0.2">
      <c r="A137" s="12" t="str">
        <f t="shared" si="2"/>
        <v/>
      </c>
    </row>
    <row r="138" spans="1:1" x14ac:dyDescent="0.2">
      <c r="A138" s="12" t="str">
        <f t="shared" si="2"/>
        <v/>
      </c>
    </row>
    <row r="139" spans="1:1" x14ac:dyDescent="0.2">
      <c r="A139" s="12" t="str">
        <f t="shared" si="2"/>
        <v/>
      </c>
    </row>
    <row r="140" spans="1:1" x14ac:dyDescent="0.2">
      <c r="A140" s="12" t="str">
        <f t="shared" si="2"/>
        <v/>
      </c>
    </row>
    <row r="141" spans="1:1" x14ac:dyDescent="0.2">
      <c r="A141" s="12" t="str">
        <f t="shared" si="2"/>
        <v/>
      </c>
    </row>
    <row r="142" spans="1:1" x14ac:dyDescent="0.2">
      <c r="A142" s="12" t="str">
        <f t="shared" si="2"/>
        <v/>
      </c>
    </row>
    <row r="143" spans="1:1" x14ac:dyDescent="0.2">
      <c r="A143" s="12" t="str">
        <f t="shared" si="2"/>
        <v/>
      </c>
    </row>
    <row r="144" spans="1:1" x14ac:dyDescent="0.2">
      <c r="A144" s="12" t="str">
        <f t="shared" si="2"/>
        <v/>
      </c>
    </row>
    <row r="145" spans="1:1" x14ac:dyDescent="0.2">
      <c r="A145" s="12" t="str">
        <f t="shared" si="2"/>
        <v/>
      </c>
    </row>
    <row r="146" spans="1:1" x14ac:dyDescent="0.2">
      <c r="A146" s="12" t="str">
        <f t="shared" si="2"/>
        <v/>
      </c>
    </row>
    <row r="147" spans="1:1" x14ac:dyDescent="0.2">
      <c r="A147" s="12" t="str">
        <f t="shared" si="2"/>
        <v/>
      </c>
    </row>
    <row r="148" spans="1:1" x14ac:dyDescent="0.2">
      <c r="A148" s="12" t="str">
        <f t="shared" si="2"/>
        <v/>
      </c>
    </row>
    <row r="149" spans="1:1" x14ac:dyDescent="0.2">
      <c r="A149" s="12" t="str">
        <f t="shared" si="2"/>
        <v/>
      </c>
    </row>
    <row r="150" spans="1:1" x14ac:dyDescent="0.2">
      <c r="A150" s="12" t="str">
        <f t="shared" si="2"/>
        <v/>
      </c>
    </row>
    <row r="151" spans="1:1" x14ac:dyDescent="0.2">
      <c r="A151" s="12" t="str">
        <f t="shared" si="2"/>
        <v/>
      </c>
    </row>
    <row r="152" spans="1:1" x14ac:dyDescent="0.2">
      <c r="A152" s="12" t="str">
        <f t="shared" si="2"/>
        <v/>
      </c>
    </row>
    <row r="153" spans="1:1" x14ac:dyDescent="0.2">
      <c r="A153" s="12" t="str">
        <f t="shared" si="2"/>
        <v/>
      </c>
    </row>
    <row r="154" spans="1:1" x14ac:dyDescent="0.2">
      <c r="A154" s="12" t="str">
        <f t="shared" si="2"/>
        <v/>
      </c>
    </row>
    <row r="155" spans="1:1" x14ac:dyDescent="0.2">
      <c r="A155" s="12" t="str">
        <f t="shared" si="2"/>
        <v/>
      </c>
    </row>
    <row r="156" spans="1:1" x14ac:dyDescent="0.2">
      <c r="A156" s="12" t="str">
        <f t="shared" si="2"/>
        <v/>
      </c>
    </row>
    <row r="157" spans="1:1" x14ac:dyDescent="0.2">
      <c r="A157" s="12" t="str">
        <f t="shared" si="2"/>
        <v/>
      </c>
    </row>
    <row r="158" spans="1:1" x14ac:dyDescent="0.2">
      <c r="A158" s="12" t="str">
        <f t="shared" si="2"/>
        <v/>
      </c>
    </row>
    <row r="159" spans="1:1" x14ac:dyDescent="0.2">
      <c r="A159" s="12" t="str">
        <f t="shared" si="2"/>
        <v/>
      </c>
    </row>
    <row r="160" spans="1:1" x14ac:dyDescent="0.2">
      <c r="A160" s="12" t="str">
        <f t="shared" si="2"/>
        <v/>
      </c>
    </row>
    <row r="161" spans="1:1" x14ac:dyDescent="0.2">
      <c r="A161" s="12" t="str">
        <f t="shared" si="2"/>
        <v/>
      </c>
    </row>
    <row r="162" spans="1:1" x14ac:dyDescent="0.2">
      <c r="A162" s="12" t="str">
        <f t="shared" si="2"/>
        <v/>
      </c>
    </row>
    <row r="163" spans="1:1" x14ac:dyDescent="0.2">
      <c r="A163" s="12" t="str">
        <f t="shared" si="2"/>
        <v/>
      </c>
    </row>
    <row r="164" spans="1:1" x14ac:dyDescent="0.2">
      <c r="A164" s="12" t="str">
        <f t="shared" si="2"/>
        <v/>
      </c>
    </row>
    <row r="165" spans="1:1" x14ac:dyDescent="0.2">
      <c r="A165" s="12" t="str">
        <f t="shared" si="2"/>
        <v/>
      </c>
    </row>
    <row r="166" spans="1:1" x14ac:dyDescent="0.2">
      <c r="A166" s="12" t="str">
        <f t="shared" si="2"/>
        <v/>
      </c>
    </row>
    <row r="167" spans="1:1" x14ac:dyDescent="0.2">
      <c r="A167" s="12" t="str">
        <f t="shared" si="2"/>
        <v/>
      </c>
    </row>
    <row r="168" spans="1:1" x14ac:dyDescent="0.2">
      <c r="A168" s="12" t="str">
        <f t="shared" si="2"/>
        <v/>
      </c>
    </row>
    <row r="169" spans="1:1" x14ac:dyDescent="0.2">
      <c r="A169" s="12" t="str">
        <f t="shared" si="2"/>
        <v/>
      </c>
    </row>
    <row r="170" spans="1:1" x14ac:dyDescent="0.2">
      <c r="A170" s="12" t="str">
        <f t="shared" si="2"/>
        <v/>
      </c>
    </row>
    <row r="171" spans="1:1" x14ac:dyDescent="0.2">
      <c r="A171" s="12" t="str">
        <f t="shared" si="2"/>
        <v/>
      </c>
    </row>
    <row r="172" spans="1:1" x14ac:dyDescent="0.2">
      <c r="A172" s="12" t="str">
        <f t="shared" si="2"/>
        <v/>
      </c>
    </row>
    <row r="173" spans="1:1" x14ac:dyDescent="0.2">
      <c r="A173" s="12" t="str">
        <f t="shared" si="2"/>
        <v/>
      </c>
    </row>
    <row r="174" spans="1:1" x14ac:dyDescent="0.2">
      <c r="A174" s="12" t="str">
        <f t="shared" si="2"/>
        <v/>
      </c>
    </row>
    <row r="175" spans="1:1" x14ac:dyDescent="0.2">
      <c r="A175" s="12" t="str">
        <f t="shared" si="2"/>
        <v/>
      </c>
    </row>
    <row r="176" spans="1:1" x14ac:dyDescent="0.2">
      <c r="A176" s="12" t="str">
        <f t="shared" si="2"/>
        <v/>
      </c>
    </row>
    <row r="177" spans="1:1" x14ac:dyDescent="0.2">
      <c r="A177" s="12" t="str">
        <f t="shared" si="2"/>
        <v/>
      </c>
    </row>
    <row r="178" spans="1:1" x14ac:dyDescent="0.2">
      <c r="A178" s="12" t="str">
        <f t="shared" si="2"/>
        <v/>
      </c>
    </row>
    <row r="179" spans="1:1" x14ac:dyDescent="0.2">
      <c r="A179" s="12" t="str">
        <f t="shared" si="2"/>
        <v/>
      </c>
    </row>
    <row r="180" spans="1:1" x14ac:dyDescent="0.2">
      <c r="A180" s="12" t="str">
        <f t="shared" si="2"/>
        <v/>
      </c>
    </row>
    <row r="181" spans="1:1" x14ac:dyDescent="0.2">
      <c r="A181" s="12" t="str">
        <f t="shared" si="2"/>
        <v/>
      </c>
    </row>
    <row r="182" spans="1:1" x14ac:dyDescent="0.2">
      <c r="A182" s="12" t="str">
        <f t="shared" si="2"/>
        <v/>
      </c>
    </row>
    <row r="183" spans="1:1" x14ac:dyDescent="0.2">
      <c r="A183" s="12" t="str">
        <f t="shared" si="2"/>
        <v/>
      </c>
    </row>
    <row r="184" spans="1:1" x14ac:dyDescent="0.2">
      <c r="A184" s="12" t="str">
        <f t="shared" si="2"/>
        <v/>
      </c>
    </row>
    <row r="185" spans="1:1" x14ac:dyDescent="0.2">
      <c r="A185" s="12" t="str">
        <f t="shared" si="2"/>
        <v/>
      </c>
    </row>
    <row r="186" spans="1:1" x14ac:dyDescent="0.2">
      <c r="A186" s="12" t="str">
        <f t="shared" si="2"/>
        <v/>
      </c>
    </row>
    <row r="187" spans="1:1" x14ac:dyDescent="0.2">
      <c r="A187" s="12" t="str">
        <f t="shared" si="2"/>
        <v/>
      </c>
    </row>
    <row r="188" spans="1:1" x14ac:dyDescent="0.2">
      <c r="A188" s="12" t="str">
        <f t="shared" si="2"/>
        <v/>
      </c>
    </row>
    <row r="189" spans="1:1" x14ac:dyDescent="0.2">
      <c r="A189" s="12" t="str">
        <f t="shared" si="2"/>
        <v/>
      </c>
    </row>
    <row r="190" spans="1:1" x14ac:dyDescent="0.2">
      <c r="A190" s="12" t="str">
        <f t="shared" si="2"/>
        <v/>
      </c>
    </row>
    <row r="191" spans="1:1" x14ac:dyDescent="0.2">
      <c r="A191" s="12" t="str">
        <f t="shared" si="2"/>
        <v/>
      </c>
    </row>
    <row r="192" spans="1:1" x14ac:dyDescent="0.2">
      <c r="A192" s="12" t="str">
        <f t="shared" si="2"/>
        <v/>
      </c>
    </row>
    <row r="193" spans="1:1" x14ac:dyDescent="0.2">
      <c r="A193" s="12" t="str">
        <f t="shared" si="2"/>
        <v/>
      </c>
    </row>
    <row r="194" spans="1:1" x14ac:dyDescent="0.2">
      <c r="A194" s="12" t="str">
        <f t="shared" ref="A194:A257" si="3">IF(INDEX($AJ:$AJ,ROW())="","",HYPERLINK(INDEX($AJ:$AJ,ROW()),"Open"))</f>
        <v/>
      </c>
    </row>
    <row r="195" spans="1:1" x14ac:dyDescent="0.2">
      <c r="A195" s="12" t="str">
        <f t="shared" si="3"/>
        <v/>
      </c>
    </row>
    <row r="196" spans="1:1" x14ac:dyDescent="0.2">
      <c r="A196" s="12" t="str">
        <f t="shared" si="3"/>
        <v/>
      </c>
    </row>
    <row r="197" spans="1:1" x14ac:dyDescent="0.2">
      <c r="A197" s="12" t="str">
        <f t="shared" si="3"/>
        <v/>
      </c>
    </row>
    <row r="198" spans="1:1" x14ac:dyDescent="0.2">
      <c r="A198" s="12" t="str">
        <f t="shared" si="3"/>
        <v/>
      </c>
    </row>
    <row r="199" spans="1:1" x14ac:dyDescent="0.2">
      <c r="A199" s="12" t="str">
        <f t="shared" si="3"/>
        <v/>
      </c>
    </row>
    <row r="200" spans="1:1" x14ac:dyDescent="0.2">
      <c r="A200" s="12" t="str">
        <f t="shared" si="3"/>
        <v/>
      </c>
    </row>
    <row r="201" spans="1:1" x14ac:dyDescent="0.2">
      <c r="A201" s="12" t="str">
        <f t="shared" si="3"/>
        <v/>
      </c>
    </row>
    <row r="202" spans="1:1" x14ac:dyDescent="0.2">
      <c r="A202" s="12" t="str">
        <f t="shared" si="3"/>
        <v/>
      </c>
    </row>
    <row r="203" spans="1:1" x14ac:dyDescent="0.2">
      <c r="A203" s="12" t="str">
        <f t="shared" si="3"/>
        <v/>
      </c>
    </row>
    <row r="204" spans="1:1" x14ac:dyDescent="0.2">
      <c r="A204" s="12" t="str">
        <f t="shared" si="3"/>
        <v/>
      </c>
    </row>
    <row r="205" spans="1:1" x14ac:dyDescent="0.2">
      <c r="A205" s="12" t="str">
        <f t="shared" si="3"/>
        <v/>
      </c>
    </row>
    <row r="206" spans="1:1" x14ac:dyDescent="0.2">
      <c r="A206" s="12" t="str">
        <f t="shared" si="3"/>
        <v/>
      </c>
    </row>
    <row r="207" spans="1:1" x14ac:dyDescent="0.2">
      <c r="A207" s="12" t="str">
        <f t="shared" si="3"/>
        <v/>
      </c>
    </row>
    <row r="208" spans="1:1" x14ac:dyDescent="0.2">
      <c r="A208" s="12" t="str">
        <f t="shared" si="3"/>
        <v/>
      </c>
    </row>
    <row r="209" spans="1:1" x14ac:dyDescent="0.2">
      <c r="A209" s="12" t="str">
        <f t="shared" si="3"/>
        <v/>
      </c>
    </row>
    <row r="210" spans="1:1" x14ac:dyDescent="0.2">
      <c r="A210" s="12" t="str">
        <f t="shared" si="3"/>
        <v/>
      </c>
    </row>
    <row r="211" spans="1:1" x14ac:dyDescent="0.2">
      <c r="A211" s="12" t="str">
        <f t="shared" si="3"/>
        <v/>
      </c>
    </row>
    <row r="212" spans="1:1" x14ac:dyDescent="0.2">
      <c r="A212" s="12" t="str">
        <f t="shared" si="3"/>
        <v/>
      </c>
    </row>
    <row r="213" spans="1:1" x14ac:dyDescent="0.2">
      <c r="A213" s="12" t="str">
        <f t="shared" si="3"/>
        <v/>
      </c>
    </row>
    <row r="214" spans="1:1" x14ac:dyDescent="0.2">
      <c r="A214" s="12" t="str">
        <f t="shared" si="3"/>
        <v/>
      </c>
    </row>
    <row r="215" spans="1:1" x14ac:dyDescent="0.2">
      <c r="A215" s="12" t="str">
        <f t="shared" si="3"/>
        <v/>
      </c>
    </row>
    <row r="216" spans="1:1" x14ac:dyDescent="0.2">
      <c r="A216" s="12" t="str">
        <f t="shared" si="3"/>
        <v/>
      </c>
    </row>
    <row r="217" spans="1:1" x14ac:dyDescent="0.2">
      <c r="A217" s="12" t="str">
        <f t="shared" si="3"/>
        <v/>
      </c>
    </row>
    <row r="218" spans="1:1" x14ac:dyDescent="0.2">
      <c r="A218" s="12" t="str">
        <f t="shared" si="3"/>
        <v/>
      </c>
    </row>
    <row r="219" spans="1:1" x14ac:dyDescent="0.2">
      <c r="A219" s="12" t="str">
        <f t="shared" si="3"/>
        <v/>
      </c>
    </row>
    <row r="220" spans="1:1" x14ac:dyDescent="0.2">
      <c r="A220" s="12" t="str">
        <f t="shared" si="3"/>
        <v/>
      </c>
    </row>
    <row r="221" spans="1:1" x14ac:dyDescent="0.2">
      <c r="A221" s="12" t="str">
        <f t="shared" si="3"/>
        <v/>
      </c>
    </row>
    <row r="222" spans="1:1" x14ac:dyDescent="0.2">
      <c r="A222" s="12" t="str">
        <f t="shared" si="3"/>
        <v/>
      </c>
    </row>
    <row r="223" spans="1:1" x14ac:dyDescent="0.2">
      <c r="A223" s="12" t="str">
        <f t="shared" si="3"/>
        <v/>
      </c>
    </row>
    <row r="224" spans="1:1" x14ac:dyDescent="0.2">
      <c r="A224" s="12" t="str">
        <f t="shared" si="3"/>
        <v/>
      </c>
    </row>
    <row r="225" spans="1:1" x14ac:dyDescent="0.2">
      <c r="A225" s="12" t="str">
        <f t="shared" si="3"/>
        <v/>
      </c>
    </row>
    <row r="226" spans="1:1" x14ac:dyDescent="0.2">
      <c r="A226" s="12" t="str">
        <f t="shared" si="3"/>
        <v/>
      </c>
    </row>
    <row r="227" spans="1:1" x14ac:dyDescent="0.2">
      <c r="A227" s="12" t="str">
        <f t="shared" si="3"/>
        <v/>
      </c>
    </row>
    <row r="228" spans="1:1" x14ac:dyDescent="0.2">
      <c r="A228" s="12" t="str">
        <f t="shared" si="3"/>
        <v/>
      </c>
    </row>
    <row r="229" spans="1:1" x14ac:dyDescent="0.2">
      <c r="A229" s="12" t="str">
        <f t="shared" si="3"/>
        <v/>
      </c>
    </row>
    <row r="230" spans="1:1" x14ac:dyDescent="0.2">
      <c r="A230" s="12" t="str">
        <f t="shared" si="3"/>
        <v/>
      </c>
    </row>
    <row r="231" spans="1:1" x14ac:dyDescent="0.2">
      <c r="A231" s="12" t="str">
        <f t="shared" si="3"/>
        <v/>
      </c>
    </row>
    <row r="232" spans="1:1" x14ac:dyDescent="0.2">
      <c r="A232" s="12" t="str">
        <f t="shared" si="3"/>
        <v/>
      </c>
    </row>
    <row r="233" spans="1:1" x14ac:dyDescent="0.2">
      <c r="A233" s="12" t="str">
        <f t="shared" si="3"/>
        <v/>
      </c>
    </row>
    <row r="234" spans="1:1" x14ac:dyDescent="0.2">
      <c r="A234" s="12" t="str">
        <f t="shared" si="3"/>
        <v/>
      </c>
    </row>
    <row r="235" spans="1:1" x14ac:dyDescent="0.2">
      <c r="A235" s="12" t="str">
        <f t="shared" si="3"/>
        <v/>
      </c>
    </row>
    <row r="236" spans="1:1" x14ac:dyDescent="0.2">
      <c r="A236" s="12" t="str">
        <f t="shared" si="3"/>
        <v/>
      </c>
    </row>
    <row r="237" spans="1:1" x14ac:dyDescent="0.2">
      <c r="A237" s="12" t="str">
        <f t="shared" si="3"/>
        <v/>
      </c>
    </row>
    <row r="238" spans="1:1" x14ac:dyDescent="0.2">
      <c r="A238" s="12" t="str">
        <f t="shared" si="3"/>
        <v/>
      </c>
    </row>
    <row r="239" spans="1:1" x14ac:dyDescent="0.2">
      <c r="A239" s="12" t="str">
        <f t="shared" si="3"/>
        <v/>
      </c>
    </row>
    <row r="240" spans="1:1" x14ac:dyDescent="0.2">
      <c r="A240" s="12" t="str">
        <f t="shared" si="3"/>
        <v/>
      </c>
    </row>
    <row r="241" spans="1:1" x14ac:dyDescent="0.2">
      <c r="A241" s="12" t="str">
        <f t="shared" si="3"/>
        <v/>
      </c>
    </row>
    <row r="242" spans="1:1" x14ac:dyDescent="0.2">
      <c r="A242" s="12" t="str">
        <f t="shared" si="3"/>
        <v/>
      </c>
    </row>
    <row r="243" spans="1:1" x14ac:dyDescent="0.2">
      <c r="A243" s="12" t="str">
        <f t="shared" si="3"/>
        <v/>
      </c>
    </row>
    <row r="244" spans="1:1" x14ac:dyDescent="0.2">
      <c r="A244" s="12" t="str">
        <f t="shared" si="3"/>
        <v/>
      </c>
    </row>
    <row r="245" spans="1:1" x14ac:dyDescent="0.2">
      <c r="A245" s="12" t="str">
        <f t="shared" si="3"/>
        <v/>
      </c>
    </row>
    <row r="246" spans="1:1" x14ac:dyDescent="0.2">
      <c r="A246" s="12" t="str">
        <f t="shared" si="3"/>
        <v/>
      </c>
    </row>
    <row r="247" spans="1:1" x14ac:dyDescent="0.2">
      <c r="A247" s="12" t="str">
        <f t="shared" si="3"/>
        <v/>
      </c>
    </row>
    <row r="248" spans="1:1" x14ac:dyDescent="0.2">
      <c r="A248" s="12" t="str">
        <f t="shared" si="3"/>
        <v/>
      </c>
    </row>
    <row r="249" spans="1:1" x14ac:dyDescent="0.2">
      <c r="A249" s="12" t="str">
        <f t="shared" si="3"/>
        <v/>
      </c>
    </row>
    <row r="250" spans="1:1" x14ac:dyDescent="0.2">
      <c r="A250" s="12" t="str">
        <f t="shared" si="3"/>
        <v/>
      </c>
    </row>
    <row r="251" spans="1:1" x14ac:dyDescent="0.2">
      <c r="A251" s="12" t="str">
        <f t="shared" si="3"/>
        <v/>
      </c>
    </row>
    <row r="252" spans="1:1" x14ac:dyDescent="0.2">
      <c r="A252" s="12" t="str">
        <f t="shared" si="3"/>
        <v/>
      </c>
    </row>
    <row r="253" spans="1:1" x14ac:dyDescent="0.2">
      <c r="A253" s="12" t="str">
        <f t="shared" si="3"/>
        <v/>
      </c>
    </row>
    <row r="254" spans="1:1" x14ac:dyDescent="0.2">
      <c r="A254" s="12" t="str">
        <f t="shared" si="3"/>
        <v/>
      </c>
    </row>
    <row r="255" spans="1:1" x14ac:dyDescent="0.2">
      <c r="A255" s="12" t="str">
        <f t="shared" si="3"/>
        <v/>
      </c>
    </row>
    <row r="256" spans="1:1" x14ac:dyDescent="0.2">
      <c r="A256" s="12" t="str">
        <f t="shared" si="3"/>
        <v/>
      </c>
    </row>
    <row r="257" spans="1:1" x14ac:dyDescent="0.2">
      <c r="A257" s="12" t="str">
        <f t="shared" si="3"/>
        <v/>
      </c>
    </row>
    <row r="258" spans="1:1" x14ac:dyDescent="0.2">
      <c r="A258" s="12" t="str">
        <f t="shared" ref="A258:A321" si="4">IF(INDEX($AJ:$AJ,ROW())="","",HYPERLINK(INDEX($AJ:$AJ,ROW()),"Open"))</f>
        <v/>
      </c>
    </row>
    <row r="259" spans="1:1" x14ac:dyDescent="0.2">
      <c r="A259" s="12" t="str">
        <f t="shared" si="4"/>
        <v/>
      </c>
    </row>
    <row r="260" spans="1:1" x14ac:dyDescent="0.2">
      <c r="A260" s="12" t="str">
        <f t="shared" si="4"/>
        <v/>
      </c>
    </row>
    <row r="261" spans="1:1" x14ac:dyDescent="0.2">
      <c r="A261" s="12" t="str">
        <f t="shared" si="4"/>
        <v/>
      </c>
    </row>
    <row r="262" spans="1:1" x14ac:dyDescent="0.2">
      <c r="A262" s="12" t="str">
        <f t="shared" si="4"/>
        <v/>
      </c>
    </row>
    <row r="263" spans="1:1" x14ac:dyDescent="0.2">
      <c r="A263" s="12" t="str">
        <f t="shared" si="4"/>
        <v/>
      </c>
    </row>
    <row r="264" spans="1:1" x14ac:dyDescent="0.2">
      <c r="A264" s="12" t="str">
        <f t="shared" si="4"/>
        <v/>
      </c>
    </row>
    <row r="265" spans="1:1" x14ac:dyDescent="0.2">
      <c r="A265" s="12" t="str">
        <f t="shared" si="4"/>
        <v/>
      </c>
    </row>
    <row r="266" spans="1:1" x14ac:dyDescent="0.2">
      <c r="A266" s="12" t="str">
        <f t="shared" si="4"/>
        <v/>
      </c>
    </row>
    <row r="267" spans="1:1" x14ac:dyDescent="0.2">
      <c r="A267" s="12" t="str">
        <f t="shared" si="4"/>
        <v/>
      </c>
    </row>
    <row r="268" spans="1:1" x14ac:dyDescent="0.2">
      <c r="A268" s="12" t="str">
        <f t="shared" si="4"/>
        <v/>
      </c>
    </row>
    <row r="269" spans="1:1" x14ac:dyDescent="0.2">
      <c r="A269" s="12" t="str">
        <f t="shared" si="4"/>
        <v/>
      </c>
    </row>
    <row r="270" spans="1:1" x14ac:dyDescent="0.2">
      <c r="A270" s="12" t="str">
        <f t="shared" si="4"/>
        <v/>
      </c>
    </row>
    <row r="271" spans="1:1" x14ac:dyDescent="0.2">
      <c r="A271" s="12" t="str">
        <f t="shared" si="4"/>
        <v/>
      </c>
    </row>
    <row r="272" spans="1:1" x14ac:dyDescent="0.2">
      <c r="A272" s="12" t="str">
        <f t="shared" si="4"/>
        <v/>
      </c>
    </row>
    <row r="273" spans="1:1" x14ac:dyDescent="0.2">
      <c r="A273" s="12" t="str">
        <f t="shared" si="4"/>
        <v/>
      </c>
    </row>
    <row r="274" spans="1:1" x14ac:dyDescent="0.2">
      <c r="A274" s="12" t="str">
        <f t="shared" si="4"/>
        <v/>
      </c>
    </row>
    <row r="275" spans="1:1" x14ac:dyDescent="0.2">
      <c r="A275" s="12" t="str">
        <f t="shared" si="4"/>
        <v/>
      </c>
    </row>
    <row r="276" spans="1:1" x14ac:dyDescent="0.2">
      <c r="A276" s="12" t="str">
        <f t="shared" si="4"/>
        <v/>
      </c>
    </row>
    <row r="277" spans="1:1" x14ac:dyDescent="0.2">
      <c r="A277" s="12" t="str">
        <f t="shared" si="4"/>
        <v/>
      </c>
    </row>
    <row r="278" spans="1:1" x14ac:dyDescent="0.2">
      <c r="A278" s="12" t="str">
        <f t="shared" si="4"/>
        <v/>
      </c>
    </row>
    <row r="279" spans="1:1" x14ac:dyDescent="0.2">
      <c r="A279" s="12" t="str">
        <f t="shared" si="4"/>
        <v/>
      </c>
    </row>
    <row r="280" spans="1:1" x14ac:dyDescent="0.2">
      <c r="A280" s="12" t="str">
        <f t="shared" si="4"/>
        <v/>
      </c>
    </row>
    <row r="281" spans="1:1" x14ac:dyDescent="0.2">
      <c r="A281" s="12" t="str">
        <f t="shared" si="4"/>
        <v/>
      </c>
    </row>
    <row r="282" spans="1:1" x14ac:dyDescent="0.2">
      <c r="A282" s="12" t="str">
        <f t="shared" si="4"/>
        <v/>
      </c>
    </row>
    <row r="283" spans="1:1" x14ac:dyDescent="0.2">
      <c r="A283" s="12" t="str">
        <f t="shared" si="4"/>
        <v/>
      </c>
    </row>
    <row r="284" spans="1:1" x14ac:dyDescent="0.2">
      <c r="A284" s="12" t="str">
        <f t="shared" si="4"/>
        <v/>
      </c>
    </row>
    <row r="285" spans="1:1" x14ac:dyDescent="0.2">
      <c r="A285" s="12" t="str">
        <f t="shared" si="4"/>
        <v/>
      </c>
    </row>
    <row r="286" spans="1:1" x14ac:dyDescent="0.2">
      <c r="A286" s="12" t="str">
        <f t="shared" si="4"/>
        <v/>
      </c>
    </row>
    <row r="287" spans="1:1" x14ac:dyDescent="0.2">
      <c r="A287" s="12" t="str">
        <f t="shared" si="4"/>
        <v/>
      </c>
    </row>
    <row r="288" spans="1:1" x14ac:dyDescent="0.2">
      <c r="A288" s="12" t="str">
        <f t="shared" si="4"/>
        <v/>
      </c>
    </row>
    <row r="289" spans="1:1" x14ac:dyDescent="0.2">
      <c r="A289" s="12" t="str">
        <f t="shared" si="4"/>
        <v/>
      </c>
    </row>
    <row r="290" spans="1:1" x14ac:dyDescent="0.2">
      <c r="A290" s="12" t="str">
        <f t="shared" si="4"/>
        <v/>
      </c>
    </row>
    <row r="291" spans="1:1" x14ac:dyDescent="0.2">
      <c r="A291" s="12" t="str">
        <f t="shared" si="4"/>
        <v/>
      </c>
    </row>
    <row r="292" spans="1:1" x14ac:dyDescent="0.2">
      <c r="A292" s="12" t="str">
        <f t="shared" si="4"/>
        <v/>
      </c>
    </row>
    <row r="293" spans="1:1" x14ac:dyDescent="0.2">
      <c r="A293" s="12" t="str">
        <f t="shared" si="4"/>
        <v/>
      </c>
    </row>
    <row r="294" spans="1:1" x14ac:dyDescent="0.2">
      <c r="A294" s="12" t="str">
        <f t="shared" si="4"/>
        <v/>
      </c>
    </row>
    <row r="295" spans="1:1" x14ac:dyDescent="0.2">
      <c r="A295" s="12" t="str">
        <f t="shared" si="4"/>
        <v/>
      </c>
    </row>
    <row r="296" spans="1:1" x14ac:dyDescent="0.2">
      <c r="A296" s="12" t="str">
        <f t="shared" si="4"/>
        <v/>
      </c>
    </row>
    <row r="297" spans="1:1" x14ac:dyDescent="0.2">
      <c r="A297" s="12" t="str">
        <f t="shared" si="4"/>
        <v/>
      </c>
    </row>
    <row r="298" spans="1:1" x14ac:dyDescent="0.2">
      <c r="A298" s="12" t="str">
        <f t="shared" si="4"/>
        <v/>
      </c>
    </row>
    <row r="299" spans="1:1" x14ac:dyDescent="0.2">
      <c r="A299" s="12" t="str">
        <f t="shared" si="4"/>
        <v/>
      </c>
    </row>
    <row r="300" spans="1:1" x14ac:dyDescent="0.2">
      <c r="A300" s="12" t="str">
        <f t="shared" si="4"/>
        <v/>
      </c>
    </row>
    <row r="301" spans="1:1" x14ac:dyDescent="0.2">
      <c r="A301" s="12" t="str">
        <f t="shared" si="4"/>
        <v/>
      </c>
    </row>
    <row r="302" spans="1:1" x14ac:dyDescent="0.2">
      <c r="A302" s="12" t="str">
        <f t="shared" si="4"/>
        <v/>
      </c>
    </row>
    <row r="303" spans="1:1" x14ac:dyDescent="0.2">
      <c r="A303" s="12" t="str">
        <f t="shared" si="4"/>
        <v/>
      </c>
    </row>
    <row r="304" spans="1:1" x14ac:dyDescent="0.2">
      <c r="A304" s="12" t="str">
        <f t="shared" si="4"/>
        <v/>
      </c>
    </row>
    <row r="305" spans="1:1" x14ac:dyDescent="0.2">
      <c r="A305" s="12" t="str">
        <f t="shared" si="4"/>
        <v/>
      </c>
    </row>
    <row r="306" spans="1:1" x14ac:dyDescent="0.2">
      <c r="A306" s="12" t="str">
        <f t="shared" si="4"/>
        <v/>
      </c>
    </row>
    <row r="307" spans="1:1" x14ac:dyDescent="0.2">
      <c r="A307" s="12" t="str">
        <f t="shared" si="4"/>
        <v/>
      </c>
    </row>
    <row r="308" spans="1:1" x14ac:dyDescent="0.2">
      <c r="A308" s="12" t="str">
        <f t="shared" si="4"/>
        <v/>
      </c>
    </row>
    <row r="309" spans="1:1" x14ac:dyDescent="0.2">
      <c r="A309" s="12" t="str">
        <f t="shared" si="4"/>
        <v/>
      </c>
    </row>
    <row r="310" spans="1:1" x14ac:dyDescent="0.2">
      <c r="A310" s="12" t="str">
        <f t="shared" si="4"/>
        <v/>
      </c>
    </row>
    <row r="311" spans="1:1" x14ac:dyDescent="0.2">
      <c r="A311" s="12" t="str">
        <f t="shared" si="4"/>
        <v/>
      </c>
    </row>
    <row r="312" spans="1:1" x14ac:dyDescent="0.2">
      <c r="A312" s="12" t="str">
        <f t="shared" si="4"/>
        <v/>
      </c>
    </row>
    <row r="313" spans="1:1" x14ac:dyDescent="0.2">
      <c r="A313" s="12" t="str">
        <f t="shared" si="4"/>
        <v/>
      </c>
    </row>
    <row r="314" spans="1:1" x14ac:dyDescent="0.2">
      <c r="A314" s="12" t="str">
        <f t="shared" si="4"/>
        <v/>
      </c>
    </row>
    <row r="315" spans="1:1" x14ac:dyDescent="0.2">
      <c r="A315" s="12" t="str">
        <f t="shared" si="4"/>
        <v/>
      </c>
    </row>
    <row r="316" spans="1:1" x14ac:dyDescent="0.2">
      <c r="A316" s="12" t="str">
        <f t="shared" si="4"/>
        <v/>
      </c>
    </row>
    <row r="317" spans="1:1" x14ac:dyDescent="0.2">
      <c r="A317" s="12" t="str">
        <f t="shared" si="4"/>
        <v/>
      </c>
    </row>
    <row r="318" spans="1:1" x14ac:dyDescent="0.2">
      <c r="A318" s="12" t="str">
        <f t="shared" si="4"/>
        <v/>
      </c>
    </row>
    <row r="319" spans="1:1" x14ac:dyDescent="0.2">
      <c r="A319" s="12" t="str">
        <f t="shared" si="4"/>
        <v/>
      </c>
    </row>
    <row r="320" spans="1:1" x14ac:dyDescent="0.2">
      <c r="A320" s="12" t="str">
        <f t="shared" si="4"/>
        <v/>
      </c>
    </row>
    <row r="321" spans="1:1" x14ac:dyDescent="0.2">
      <c r="A321" s="12" t="str">
        <f t="shared" si="4"/>
        <v/>
      </c>
    </row>
    <row r="322" spans="1:1" x14ac:dyDescent="0.2">
      <c r="A322" s="12" t="str">
        <f t="shared" ref="A322:A385" si="5">IF(INDEX($AJ:$AJ,ROW())="","",HYPERLINK(INDEX($AJ:$AJ,ROW()),"Open"))</f>
        <v/>
      </c>
    </row>
    <row r="323" spans="1:1" x14ac:dyDescent="0.2">
      <c r="A323" s="12" t="str">
        <f t="shared" si="5"/>
        <v/>
      </c>
    </row>
    <row r="324" spans="1:1" x14ac:dyDescent="0.2">
      <c r="A324" s="12" t="str">
        <f t="shared" si="5"/>
        <v/>
      </c>
    </row>
    <row r="325" spans="1:1" x14ac:dyDescent="0.2">
      <c r="A325" s="12" t="str">
        <f t="shared" si="5"/>
        <v/>
      </c>
    </row>
    <row r="326" spans="1:1" x14ac:dyDescent="0.2">
      <c r="A326" s="12" t="str">
        <f t="shared" si="5"/>
        <v/>
      </c>
    </row>
    <row r="327" spans="1:1" x14ac:dyDescent="0.2">
      <c r="A327" s="12" t="str">
        <f t="shared" si="5"/>
        <v/>
      </c>
    </row>
    <row r="328" spans="1:1" x14ac:dyDescent="0.2">
      <c r="A328" s="12" t="str">
        <f t="shared" si="5"/>
        <v/>
      </c>
    </row>
    <row r="329" spans="1:1" x14ac:dyDescent="0.2">
      <c r="A329" s="12" t="str">
        <f t="shared" si="5"/>
        <v/>
      </c>
    </row>
    <row r="330" spans="1:1" x14ac:dyDescent="0.2">
      <c r="A330" s="12" t="str">
        <f t="shared" si="5"/>
        <v/>
      </c>
    </row>
    <row r="331" spans="1:1" x14ac:dyDescent="0.2">
      <c r="A331" s="12" t="str">
        <f t="shared" si="5"/>
        <v/>
      </c>
    </row>
    <row r="332" spans="1:1" x14ac:dyDescent="0.2">
      <c r="A332" s="12" t="str">
        <f t="shared" si="5"/>
        <v/>
      </c>
    </row>
    <row r="333" spans="1:1" x14ac:dyDescent="0.2">
      <c r="A333" s="12" t="str">
        <f t="shared" si="5"/>
        <v/>
      </c>
    </row>
    <row r="334" spans="1:1" x14ac:dyDescent="0.2">
      <c r="A334" s="12" t="str">
        <f t="shared" si="5"/>
        <v/>
      </c>
    </row>
    <row r="335" spans="1:1" x14ac:dyDescent="0.2">
      <c r="A335" s="12" t="str">
        <f t="shared" si="5"/>
        <v/>
      </c>
    </row>
    <row r="336" spans="1:1" x14ac:dyDescent="0.2">
      <c r="A336" s="12" t="str">
        <f t="shared" si="5"/>
        <v/>
      </c>
    </row>
    <row r="337" spans="1:1" x14ac:dyDescent="0.2">
      <c r="A337" s="12" t="str">
        <f t="shared" si="5"/>
        <v/>
      </c>
    </row>
    <row r="338" spans="1:1" x14ac:dyDescent="0.2">
      <c r="A338" s="12" t="str">
        <f t="shared" si="5"/>
        <v/>
      </c>
    </row>
    <row r="339" spans="1:1" x14ac:dyDescent="0.2">
      <c r="A339" s="12" t="str">
        <f t="shared" si="5"/>
        <v/>
      </c>
    </row>
    <row r="340" spans="1:1" x14ac:dyDescent="0.2">
      <c r="A340" s="12" t="str">
        <f t="shared" si="5"/>
        <v/>
      </c>
    </row>
    <row r="341" spans="1:1" x14ac:dyDescent="0.2">
      <c r="A341" s="12" t="str">
        <f t="shared" si="5"/>
        <v/>
      </c>
    </row>
    <row r="342" spans="1:1" x14ac:dyDescent="0.2">
      <c r="A342" s="12" t="str">
        <f t="shared" si="5"/>
        <v/>
      </c>
    </row>
    <row r="343" spans="1:1" x14ac:dyDescent="0.2">
      <c r="A343" s="12" t="str">
        <f t="shared" si="5"/>
        <v/>
      </c>
    </row>
    <row r="344" spans="1:1" x14ac:dyDescent="0.2">
      <c r="A344" s="12" t="str">
        <f t="shared" si="5"/>
        <v/>
      </c>
    </row>
    <row r="345" spans="1:1" x14ac:dyDescent="0.2">
      <c r="A345" s="12" t="str">
        <f t="shared" si="5"/>
        <v/>
      </c>
    </row>
    <row r="346" spans="1:1" x14ac:dyDescent="0.2">
      <c r="A346" s="12" t="str">
        <f t="shared" si="5"/>
        <v/>
      </c>
    </row>
    <row r="347" spans="1:1" x14ac:dyDescent="0.2">
      <c r="A347" s="12" t="str">
        <f t="shared" si="5"/>
        <v/>
      </c>
    </row>
    <row r="348" spans="1:1" x14ac:dyDescent="0.2">
      <c r="A348" s="12" t="str">
        <f t="shared" si="5"/>
        <v/>
      </c>
    </row>
    <row r="349" spans="1:1" x14ac:dyDescent="0.2">
      <c r="A349" s="12" t="str">
        <f t="shared" si="5"/>
        <v/>
      </c>
    </row>
    <row r="350" spans="1:1" x14ac:dyDescent="0.2">
      <c r="A350" s="12" t="str">
        <f t="shared" si="5"/>
        <v/>
      </c>
    </row>
    <row r="351" spans="1:1" x14ac:dyDescent="0.2">
      <c r="A351" s="12" t="str">
        <f t="shared" si="5"/>
        <v/>
      </c>
    </row>
    <row r="352" spans="1:1" x14ac:dyDescent="0.2">
      <c r="A352" s="12" t="str">
        <f t="shared" si="5"/>
        <v/>
      </c>
    </row>
    <row r="353" spans="1:1" x14ac:dyDescent="0.2">
      <c r="A353" s="12" t="str">
        <f t="shared" si="5"/>
        <v/>
      </c>
    </row>
    <row r="354" spans="1:1" x14ac:dyDescent="0.2">
      <c r="A354" s="12" t="str">
        <f t="shared" si="5"/>
        <v/>
      </c>
    </row>
    <row r="355" spans="1:1" x14ac:dyDescent="0.2">
      <c r="A355" s="12" t="str">
        <f t="shared" si="5"/>
        <v/>
      </c>
    </row>
    <row r="356" spans="1:1" x14ac:dyDescent="0.2">
      <c r="A356" s="12" t="str">
        <f t="shared" si="5"/>
        <v/>
      </c>
    </row>
    <row r="357" spans="1:1" x14ac:dyDescent="0.2">
      <c r="A357" s="12" t="str">
        <f t="shared" si="5"/>
        <v/>
      </c>
    </row>
    <row r="358" spans="1:1" x14ac:dyDescent="0.2">
      <c r="A358" s="12" t="str">
        <f t="shared" si="5"/>
        <v/>
      </c>
    </row>
    <row r="359" spans="1:1" x14ac:dyDescent="0.2">
      <c r="A359" s="12" t="str">
        <f t="shared" si="5"/>
        <v/>
      </c>
    </row>
    <row r="360" spans="1:1" x14ac:dyDescent="0.2">
      <c r="A360" s="12" t="str">
        <f t="shared" si="5"/>
        <v/>
      </c>
    </row>
    <row r="361" spans="1:1" x14ac:dyDescent="0.2">
      <c r="A361" s="12" t="str">
        <f t="shared" si="5"/>
        <v/>
      </c>
    </row>
    <row r="362" spans="1:1" x14ac:dyDescent="0.2">
      <c r="A362" s="12" t="str">
        <f t="shared" si="5"/>
        <v/>
      </c>
    </row>
    <row r="363" spans="1:1" x14ac:dyDescent="0.2">
      <c r="A363" s="12" t="str">
        <f t="shared" si="5"/>
        <v/>
      </c>
    </row>
    <row r="364" spans="1:1" x14ac:dyDescent="0.2">
      <c r="A364" s="12" t="str">
        <f t="shared" si="5"/>
        <v/>
      </c>
    </row>
    <row r="365" spans="1:1" x14ac:dyDescent="0.2">
      <c r="A365" s="12" t="str">
        <f t="shared" si="5"/>
        <v/>
      </c>
    </row>
    <row r="366" spans="1:1" x14ac:dyDescent="0.2">
      <c r="A366" s="12" t="str">
        <f t="shared" si="5"/>
        <v/>
      </c>
    </row>
    <row r="367" spans="1:1" x14ac:dyDescent="0.2">
      <c r="A367" s="12" t="str">
        <f t="shared" si="5"/>
        <v/>
      </c>
    </row>
    <row r="368" spans="1:1" x14ac:dyDescent="0.2">
      <c r="A368" s="12" t="str">
        <f t="shared" si="5"/>
        <v/>
      </c>
    </row>
    <row r="369" spans="1:1" x14ac:dyDescent="0.2">
      <c r="A369" s="12" t="str">
        <f t="shared" si="5"/>
        <v/>
      </c>
    </row>
    <row r="370" spans="1:1" x14ac:dyDescent="0.2">
      <c r="A370" s="12" t="str">
        <f t="shared" si="5"/>
        <v/>
      </c>
    </row>
    <row r="371" spans="1:1" x14ac:dyDescent="0.2">
      <c r="A371" s="12" t="str">
        <f t="shared" si="5"/>
        <v/>
      </c>
    </row>
    <row r="372" spans="1:1" x14ac:dyDescent="0.2">
      <c r="A372" s="12" t="str">
        <f t="shared" si="5"/>
        <v/>
      </c>
    </row>
    <row r="373" spans="1:1" x14ac:dyDescent="0.2">
      <c r="A373" s="12" t="str">
        <f t="shared" si="5"/>
        <v/>
      </c>
    </row>
    <row r="374" spans="1:1" x14ac:dyDescent="0.2">
      <c r="A374" s="12" t="str">
        <f t="shared" si="5"/>
        <v/>
      </c>
    </row>
    <row r="375" spans="1:1" x14ac:dyDescent="0.2">
      <c r="A375" s="12" t="str">
        <f t="shared" si="5"/>
        <v/>
      </c>
    </row>
    <row r="376" spans="1:1" x14ac:dyDescent="0.2">
      <c r="A376" s="12" t="str">
        <f t="shared" si="5"/>
        <v/>
      </c>
    </row>
    <row r="377" spans="1:1" x14ac:dyDescent="0.2">
      <c r="A377" s="12" t="str">
        <f t="shared" si="5"/>
        <v/>
      </c>
    </row>
    <row r="378" spans="1:1" x14ac:dyDescent="0.2">
      <c r="A378" s="12" t="str">
        <f t="shared" si="5"/>
        <v/>
      </c>
    </row>
    <row r="379" spans="1:1" x14ac:dyDescent="0.2">
      <c r="A379" s="12" t="str">
        <f t="shared" si="5"/>
        <v/>
      </c>
    </row>
    <row r="380" spans="1:1" x14ac:dyDescent="0.2">
      <c r="A380" s="12" t="str">
        <f t="shared" si="5"/>
        <v/>
      </c>
    </row>
    <row r="381" spans="1:1" x14ac:dyDescent="0.2">
      <c r="A381" s="12" t="str">
        <f t="shared" si="5"/>
        <v/>
      </c>
    </row>
    <row r="382" spans="1:1" x14ac:dyDescent="0.2">
      <c r="A382" s="12" t="str">
        <f t="shared" si="5"/>
        <v/>
      </c>
    </row>
    <row r="383" spans="1:1" x14ac:dyDescent="0.2">
      <c r="A383" s="12" t="str">
        <f t="shared" si="5"/>
        <v/>
      </c>
    </row>
    <row r="384" spans="1:1" x14ac:dyDescent="0.2">
      <c r="A384" s="12" t="str">
        <f t="shared" si="5"/>
        <v/>
      </c>
    </row>
    <row r="385" spans="1:1" x14ac:dyDescent="0.2">
      <c r="A385" s="12" t="str">
        <f t="shared" si="5"/>
        <v/>
      </c>
    </row>
    <row r="386" spans="1:1" x14ac:dyDescent="0.2">
      <c r="A386" s="12" t="str">
        <f t="shared" ref="A386:A449" si="6">IF(INDEX($AJ:$AJ,ROW())="","",HYPERLINK(INDEX($AJ:$AJ,ROW()),"Open"))</f>
        <v/>
      </c>
    </row>
    <row r="387" spans="1:1" x14ac:dyDescent="0.2">
      <c r="A387" s="12" t="str">
        <f t="shared" si="6"/>
        <v/>
      </c>
    </row>
    <row r="388" spans="1:1" x14ac:dyDescent="0.2">
      <c r="A388" s="12" t="str">
        <f t="shared" si="6"/>
        <v/>
      </c>
    </row>
    <row r="389" spans="1:1" x14ac:dyDescent="0.2">
      <c r="A389" s="12" t="str">
        <f t="shared" si="6"/>
        <v/>
      </c>
    </row>
    <row r="390" spans="1:1" x14ac:dyDescent="0.2">
      <c r="A390" s="12" t="str">
        <f t="shared" si="6"/>
        <v/>
      </c>
    </row>
    <row r="391" spans="1:1" x14ac:dyDescent="0.2">
      <c r="A391" s="12" t="str">
        <f t="shared" si="6"/>
        <v/>
      </c>
    </row>
    <row r="392" spans="1:1" x14ac:dyDescent="0.2">
      <c r="A392" s="12" t="str">
        <f t="shared" si="6"/>
        <v/>
      </c>
    </row>
    <row r="393" spans="1:1" x14ac:dyDescent="0.2">
      <c r="A393" s="12" t="str">
        <f t="shared" si="6"/>
        <v/>
      </c>
    </row>
    <row r="394" spans="1:1" x14ac:dyDescent="0.2">
      <c r="A394" s="12" t="str">
        <f t="shared" si="6"/>
        <v/>
      </c>
    </row>
    <row r="395" spans="1:1" x14ac:dyDescent="0.2">
      <c r="A395" s="12" t="str">
        <f t="shared" si="6"/>
        <v/>
      </c>
    </row>
    <row r="396" spans="1:1" x14ac:dyDescent="0.2">
      <c r="A396" s="12" t="str">
        <f t="shared" si="6"/>
        <v/>
      </c>
    </row>
    <row r="397" spans="1:1" x14ac:dyDescent="0.2">
      <c r="A397" s="12" t="str">
        <f t="shared" si="6"/>
        <v/>
      </c>
    </row>
    <row r="398" spans="1:1" x14ac:dyDescent="0.2">
      <c r="A398" s="12" t="str">
        <f t="shared" si="6"/>
        <v/>
      </c>
    </row>
    <row r="399" spans="1:1" x14ac:dyDescent="0.2">
      <c r="A399" s="12" t="str">
        <f t="shared" si="6"/>
        <v/>
      </c>
    </row>
    <row r="400" spans="1:1" x14ac:dyDescent="0.2">
      <c r="A400" s="12" t="str">
        <f t="shared" si="6"/>
        <v/>
      </c>
    </row>
    <row r="401" spans="1:1" x14ac:dyDescent="0.2">
      <c r="A401" s="12" t="str">
        <f t="shared" si="6"/>
        <v/>
      </c>
    </row>
    <row r="402" spans="1:1" x14ac:dyDescent="0.2">
      <c r="A402" s="12" t="str">
        <f t="shared" si="6"/>
        <v/>
      </c>
    </row>
    <row r="403" spans="1:1" x14ac:dyDescent="0.2">
      <c r="A403" s="12" t="str">
        <f t="shared" si="6"/>
        <v/>
      </c>
    </row>
    <row r="404" spans="1:1" x14ac:dyDescent="0.2">
      <c r="A404" s="12" t="str">
        <f t="shared" si="6"/>
        <v/>
      </c>
    </row>
    <row r="405" spans="1:1" x14ac:dyDescent="0.2">
      <c r="A405" s="12" t="str">
        <f t="shared" si="6"/>
        <v/>
      </c>
    </row>
    <row r="406" spans="1:1" x14ac:dyDescent="0.2">
      <c r="A406" s="12" t="str">
        <f t="shared" si="6"/>
        <v/>
      </c>
    </row>
    <row r="407" spans="1:1" x14ac:dyDescent="0.2">
      <c r="A407" s="12" t="str">
        <f t="shared" si="6"/>
        <v/>
      </c>
    </row>
    <row r="408" spans="1:1" x14ac:dyDescent="0.2">
      <c r="A408" s="12" t="str">
        <f t="shared" si="6"/>
        <v/>
      </c>
    </row>
    <row r="409" spans="1:1" x14ac:dyDescent="0.2">
      <c r="A409" s="12" t="str">
        <f t="shared" si="6"/>
        <v/>
      </c>
    </row>
    <row r="410" spans="1:1" x14ac:dyDescent="0.2">
      <c r="A410" s="12" t="str">
        <f t="shared" si="6"/>
        <v/>
      </c>
    </row>
    <row r="411" spans="1:1" x14ac:dyDescent="0.2">
      <c r="A411" s="12" t="str">
        <f t="shared" si="6"/>
        <v/>
      </c>
    </row>
    <row r="412" spans="1:1" x14ac:dyDescent="0.2">
      <c r="A412" s="12" t="str">
        <f t="shared" si="6"/>
        <v/>
      </c>
    </row>
    <row r="413" spans="1:1" x14ac:dyDescent="0.2">
      <c r="A413" s="12" t="str">
        <f t="shared" si="6"/>
        <v/>
      </c>
    </row>
    <row r="414" spans="1:1" x14ac:dyDescent="0.2">
      <c r="A414" s="12" t="str">
        <f t="shared" si="6"/>
        <v/>
      </c>
    </row>
    <row r="415" spans="1:1" x14ac:dyDescent="0.2">
      <c r="A415" s="12" t="str">
        <f t="shared" si="6"/>
        <v/>
      </c>
    </row>
    <row r="416" spans="1:1" x14ac:dyDescent="0.2">
      <c r="A416" s="12" t="str">
        <f t="shared" si="6"/>
        <v/>
      </c>
    </row>
    <row r="417" spans="1:1" x14ac:dyDescent="0.2">
      <c r="A417" s="12" t="str">
        <f t="shared" si="6"/>
        <v/>
      </c>
    </row>
    <row r="418" spans="1:1" x14ac:dyDescent="0.2">
      <c r="A418" s="12" t="str">
        <f t="shared" si="6"/>
        <v/>
      </c>
    </row>
    <row r="419" spans="1:1" x14ac:dyDescent="0.2">
      <c r="A419" s="12" t="str">
        <f t="shared" si="6"/>
        <v/>
      </c>
    </row>
    <row r="420" spans="1:1" x14ac:dyDescent="0.2">
      <c r="A420" s="12" t="str">
        <f t="shared" si="6"/>
        <v/>
      </c>
    </row>
    <row r="421" spans="1:1" x14ac:dyDescent="0.2">
      <c r="A421" s="12" t="str">
        <f t="shared" si="6"/>
        <v/>
      </c>
    </row>
    <row r="422" spans="1:1" x14ac:dyDescent="0.2">
      <c r="A422" s="12" t="str">
        <f t="shared" si="6"/>
        <v/>
      </c>
    </row>
    <row r="423" spans="1:1" x14ac:dyDescent="0.2">
      <c r="A423" s="12" t="str">
        <f t="shared" si="6"/>
        <v/>
      </c>
    </row>
    <row r="424" spans="1:1" x14ac:dyDescent="0.2">
      <c r="A424" s="12" t="str">
        <f t="shared" si="6"/>
        <v/>
      </c>
    </row>
    <row r="425" spans="1:1" x14ac:dyDescent="0.2">
      <c r="A425" s="12" t="str">
        <f t="shared" si="6"/>
        <v/>
      </c>
    </row>
    <row r="426" spans="1:1" x14ac:dyDescent="0.2">
      <c r="A426" s="12" t="str">
        <f t="shared" si="6"/>
        <v/>
      </c>
    </row>
    <row r="427" spans="1:1" x14ac:dyDescent="0.2">
      <c r="A427" s="12" t="str">
        <f t="shared" si="6"/>
        <v/>
      </c>
    </row>
    <row r="428" spans="1:1" x14ac:dyDescent="0.2">
      <c r="A428" s="12" t="str">
        <f t="shared" si="6"/>
        <v/>
      </c>
    </row>
    <row r="429" spans="1:1" x14ac:dyDescent="0.2">
      <c r="A429" s="12" t="str">
        <f t="shared" si="6"/>
        <v/>
      </c>
    </row>
    <row r="430" spans="1:1" x14ac:dyDescent="0.2">
      <c r="A430" s="12" t="str">
        <f t="shared" si="6"/>
        <v/>
      </c>
    </row>
    <row r="431" spans="1:1" x14ac:dyDescent="0.2">
      <c r="A431" s="12" t="str">
        <f t="shared" si="6"/>
        <v/>
      </c>
    </row>
    <row r="432" spans="1:1" x14ac:dyDescent="0.2">
      <c r="A432" s="12" t="str">
        <f t="shared" si="6"/>
        <v/>
      </c>
    </row>
    <row r="433" spans="1:1" x14ac:dyDescent="0.2">
      <c r="A433" s="12" t="str">
        <f t="shared" si="6"/>
        <v/>
      </c>
    </row>
    <row r="434" spans="1:1" x14ac:dyDescent="0.2">
      <c r="A434" s="12" t="str">
        <f t="shared" si="6"/>
        <v/>
      </c>
    </row>
    <row r="435" spans="1:1" x14ac:dyDescent="0.2">
      <c r="A435" s="12" t="str">
        <f t="shared" si="6"/>
        <v/>
      </c>
    </row>
    <row r="436" spans="1:1" x14ac:dyDescent="0.2">
      <c r="A436" s="12" t="str">
        <f t="shared" si="6"/>
        <v/>
      </c>
    </row>
    <row r="437" spans="1:1" x14ac:dyDescent="0.2">
      <c r="A437" s="12" t="str">
        <f t="shared" si="6"/>
        <v/>
      </c>
    </row>
    <row r="438" spans="1:1" x14ac:dyDescent="0.2">
      <c r="A438" s="12" t="str">
        <f t="shared" si="6"/>
        <v/>
      </c>
    </row>
    <row r="439" spans="1:1" x14ac:dyDescent="0.2">
      <c r="A439" s="12" t="str">
        <f t="shared" si="6"/>
        <v/>
      </c>
    </row>
    <row r="440" spans="1:1" x14ac:dyDescent="0.2">
      <c r="A440" s="12" t="str">
        <f t="shared" si="6"/>
        <v/>
      </c>
    </row>
    <row r="441" spans="1:1" x14ac:dyDescent="0.2">
      <c r="A441" s="12" t="str">
        <f t="shared" si="6"/>
        <v/>
      </c>
    </row>
    <row r="442" spans="1:1" x14ac:dyDescent="0.2">
      <c r="A442" s="12" t="str">
        <f t="shared" si="6"/>
        <v/>
      </c>
    </row>
    <row r="443" spans="1:1" x14ac:dyDescent="0.2">
      <c r="A443" s="12" t="str">
        <f t="shared" si="6"/>
        <v/>
      </c>
    </row>
    <row r="444" spans="1:1" x14ac:dyDescent="0.2">
      <c r="A444" s="12" t="str">
        <f t="shared" si="6"/>
        <v/>
      </c>
    </row>
    <row r="445" spans="1:1" x14ac:dyDescent="0.2">
      <c r="A445" s="12" t="str">
        <f t="shared" si="6"/>
        <v/>
      </c>
    </row>
    <row r="446" spans="1:1" x14ac:dyDescent="0.2">
      <c r="A446" s="12" t="str">
        <f t="shared" si="6"/>
        <v/>
      </c>
    </row>
    <row r="447" spans="1:1" x14ac:dyDescent="0.2">
      <c r="A447" s="12" t="str">
        <f t="shared" si="6"/>
        <v/>
      </c>
    </row>
    <row r="448" spans="1:1" x14ac:dyDescent="0.2">
      <c r="A448" s="12" t="str">
        <f t="shared" si="6"/>
        <v/>
      </c>
    </row>
    <row r="449" spans="1:1" x14ac:dyDescent="0.2">
      <c r="A449" s="12" t="str">
        <f t="shared" si="6"/>
        <v/>
      </c>
    </row>
    <row r="450" spans="1:1" x14ac:dyDescent="0.2">
      <c r="A450" s="12" t="str">
        <f t="shared" ref="A450:A513" si="7">IF(INDEX($AJ:$AJ,ROW())="","",HYPERLINK(INDEX($AJ:$AJ,ROW()),"Open"))</f>
        <v/>
      </c>
    </row>
    <row r="451" spans="1:1" x14ac:dyDescent="0.2">
      <c r="A451" s="12" t="str">
        <f t="shared" si="7"/>
        <v/>
      </c>
    </row>
    <row r="452" spans="1:1" x14ac:dyDescent="0.2">
      <c r="A452" s="12" t="str">
        <f t="shared" si="7"/>
        <v/>
      </c>
    </row>
    <row r="453" spans="1:1" x14ac:dyDescent="0.2">
      <c r="A453" s="12" t="str">
        <f t="shared" si="7"/>
        <v/>
      </c>
    </row>
    <row r="454" spans="1:1" x14ac:dyDescent="0.2">
      <c r="A454" s="12" t="str">
        <f t="shared" si="7"/>
        <v/>
      </c>
    </row>
    <row r="455" spans="1:1" x14ac:dyDescent="0.2">
      <c r="A455" s="12" t="str">
        <f t="shared" si="7"/>
        <v/>
      </c>
    </row>
    <row r="456" spans="1:1" x14ac:dyDescent="0.2">
      <c r="A456" s="12" t="str">
        <f t="shared" si="7"/>
        <v/>
      </c>
    </row>
    <row r="457" spans="1:1" x14ac:dyDescent="0.2">
      <c r="A457" s="12" t="str">
        <f t="shared" si="7"/>
        <v/>
      </c>
    </row>
    <row r="458" spans="1:1" x14ac:dyDescent="0.2">
      <c r="A458" s="12" t="str">
        <f t="shared" si="7"/>
        <v/>
      </c>
    </row>
    <row r="459" spans="1:1" x14ac:dyDescent="0.2">
      <c r="A459" s="12" t="str">
        <f t="shared" si="7"/>
        <v/>
      </c>
    </row>
    <row r="460" spans="1:1" x14ac:dyDescent="0.2">
      <c r="A460" s="12" t="str">
        <f t="shared" si="7"/>
        <v/>
      </c>
    </row>
    <row r="461" spans="1:1" x14ac:dyDescent="0.2">
      <c r="A461" s="12" t="str">
        <f t="shared" si="7"/>
        <v/>
      </c>
    </row>
    <row r="462" spans="1:1" x14ac:dyDescent="0.2">
      <c r="A462" s="12" t="str">
        <f t="shared" si="7"/>
        <v/>
      </c>
    </row>
    <row r="463" spans="1:1" x14ac:dyDescent="0.2">
      <c r="A463" s="12" t="str">
        <f t="shared" si="7"/>
        <v/>
      </c>
    </row>
    <row r="464" spans="1:1" x14ac:dyDescent="0.2">
      <c r="A464" s="12" t="str">
        <f t="shared" si="7"/>
        <v/>
      </c>
    </row>
    <row r="465" spans="1:1" x14ac:dyDescent="0.2">
      <c r="A465" s="12" t="str">
        <f t="shared" si="7"/>
        <v/>
      </c>
    </row>
    <row r="466" spans="1:1" x14ac:dyDescent="0.2">
      <c r="A466" s="12" t="str">
        <f t="shared" si="7"/>
        <v/>
      </c>
    </row>
    <row r="467" spans="1:1" x14ac:dyDescent="0.2">
      <c r="A467" s="12" t="str">
        <f t="shared" si="7"/>
        <v/>
      </c>
    </row>
    <row r="468" spans="1:1" x14ac:dyDescent="0.2">
      <c r="A468" s="12" t="str">
        <f t="shared" si="7"/>
        <v/>
      </c>
    </row>
    <row r="469" spans="1:1" x14ac:dyDescent="0.2">
      <c r="A469" s="12" t="str">
        <f t="shared" si="7"/>
        <v/>
      </c>
    </row>
    <row r="470" spans="1:1" x14ac:dyDescent="0.2">
      <c r="A470" s="12" t="str">
        <f t="shared" si="7"/>
        <v/>
      </c>
    </row>
    <row r="471" spans="1:1" x14ac:dyDescent="0.2">
      <c r="A471" s="12" t="str">
        <f t="shared" si="7"/>
        <v/>
      </c>
    </row>
    <row r="472" spans="1:1" x14ac:dyDescent="0.2">
      <c r="A472" s="12" t="str">
        <f t="shared" si="7"/>
        <v/>
      </c>
    </row>
    <row r="473" spans="1:1" x14ac:dyDescent="0.2">
      <c r="A473" s="12" t="str">
        <f t="shared" si="7"/>
        <v/>
      </c>
    </row>
    <row r="474" spans="1:1" x14ac:dyDescent="0.2">
      <c r="A474" s="12" t="str">
        <f t="shared" si="7"/>
        <v/>
      </c>
    </row>
    <row r="475" spans="1:1" x14ac:dyDescent="0.2">
      <c r="A475" s="12" t="str">
        <f t="shared" si="7"/>
        <v/>
      </c>
    </row>
    <row r="476" spans="1:1" x14ac:dyDescent="0.2">
      <c r="A476" s="12" t="str">
        <f t="shared" si="7"/>
        <v/>
      </c>
    </row>
    <row r="477" spans="1:1" x14ac:dyDescent="0.2">
      <c r="A477" s="12" t="str">
        <f t="shared" si="7"/>
        <v/>
      </c>
    </row>
    <row r="478" spans="1:1" x14ac:dyDescent="0.2">
      <c r="A478" s="12" t="str">
        <f t="shared" si="7"/>
        <v/>
      </c>
    </row>
    <row r="479" spans="1:1" x14ac:dyDescent="0.2">
      <c r="A479" s="12" t="str">
        <f t="shared" si="7"/>
        <v/>
      </c>
    </row>
    <row r="480" spans="1:1" x14ac:dyDescent="0.2">
      <c r="A480" s="12" t="str">
        <f t="shared" si="7"/>
        <v/>
      </c>
    </row>
    <row r="481" spans="1:1" x14ac:dyDescent="0.2">
      <c r="A481" s="12" t="str">
        <f t="shared" si="7"/>
        <v/>
      </c>
    </row>
    <row r="482" spans="1:1" x14ac:dyDescent="0.2">
      <c r="A482" s="12" t="str">
        <f t="shared" si="7"/>
        <v/>
      </c>
    </row>
    <row r="483" spans="1:1" x14ac:dyDescent="0.2">
      <c r="A483" s="12" t="str">
        <f t="shared" si="7"/>
        <v/>
      </c>
    </row>
    <row r="484" spans="1:1" x14ac:dyDescent="0.2">
      <c r="A484" s="12" t="str">
        <f t="shared" si="7"/>
        <v/>
      </c>
    </row>
    <row r="485" spans="1:1" x14ac:dyDescent="0.2">
      <c r="A485" s="12" t="str">
        <f t="shared" si="7"/>
        <v/>
      </c>
    </row>
    <row r="486" spans="1:1" x14ac:dyDescent="0.2">
      <c r="A486" s="12" t="str">
        <f t="shared" si="7"/>
        <v/>
      </c>
    </row>
    <row r="487" spans="1:1" x14ac:dyDescent="0.2">
      <c r="A487" s="12" t="str">
        <f t="shared" si="7"/>
        <v/>
      </c>
    </row>
    <row r="488" spans="1:1" x14ac:dyDescent="0.2">
      <c r="A488" s="12" t="str">
        <f t="shared" si="7"/>
        <v/>
      </c>
    </row>
    <row r="489" spans="1:1" x14ac:dyDescent="0.2">
      <c r="A489" s="12" t="str">
        <f t="shared" si="7"/>
        <v/>
      </c>
    </row>
    <row r="490" spans="1:1" x14ac:dyDescent="0.2">
      <c r="A490" s="12" t="str">
        <f t="shared" si="7"/>
        <v/>
      </c>
    </row>
    <row r="491" spans="1:1" x14ac:dyDescent="0.2">
      <c r="A491" s="12" t="str">
        <f t="shared" si="7"/>
        <v/>
      </c>
    </row>
    <row r="492" spans="1:1" x14ac:dyDescent="0.2">
      <c r="A492" s="12" t="str">
        <f t="shared" si="7"/>
        <v/>
      </c>
    </row>
    <row r="493" spans="1:1" x14ac:dyDescent="0.2">
      <c r="A493" s="12" t="str">
        <f t="shared" si="7"/>
        <v/>
      </c>
    </row>
    <row r="494" spans="1:1" x14ac:dyDescent="0.2">
      <c r="A494" s="12" t="str">
        <f t="shared" si="7"/>
        <v/>
      </c>
    </row>
    <row r="495" spans="1:1" x14ac:dyDescent="0.2">
      <c r="A495" s="12" t="str">
        <f t="shared" si="7"/>
        <v/>
      </c>
    </row>
    <row r="496" spans="1:1" x14ac:dyDescent="0.2">
      <c r="A496" s="12" t="str">
        <f t="shared" si="7"/>
        <v/>
      </c>
    </row>
    <row r="497" spans="1:1" x14ac:dyDescent="0.2">
      <c r="A497" s="12" t="str">
        <f t="shared" si="7"/>
        <v/>
      </c>
    </row>
    <row r="498" spans="1:1" x14ac:dyDescent="0.2">
      <c r="A498" s="12" t="str">
        <f t="shared" si="7"/>
        <v/>
      </c>
    </row>
    <row r="499" spans="1:1" x14ac:dyDescent="0.2">
      <c r="A499" s="12" t="str">
        <f t="shared" si="7"/>
        <v/>
      </c>
    </row>
    <row r="500" spans="1:1" x14ac:dyDescent="0.2">
      <c r="A500" s="12" t="str">
        <f t="shared" si="7"/>
        <v/>
      </c>
    </row>
    <row r="501" spans="1:1" x14ac:dyDescent="0.2">
      <c r="A501" s="12" t="str">
        <f t="shared" si="7"/>
        <v/>
      </c>
    </row>
    <row r="502" spans="1:1" x14ac:dyDescent="0.2">
      <c r="A502" s="12" t="str">
        <f t="shared" si="7"/>
        <v/>
      </c>
    </row>
    <row r="503" spans="1:1" x14ac:dyDescent="0.2">
      <c r="A503" s="12" t="str">
        <f t="shared" si="7"/>
        <v/>
      </c>
    </row>
    <row r="504" spans="1:1" x14ac:dyDescent="0.2">
      <c r="A504" s="12" t="str">
        <f t="shared" si="7"/>
        <v/>
      </c>
    </row>
    <row r="505" spans="1:1" x14ac:dyDescent="0.2">
      <c r="A505" s="12" t="str">
        <f t="shared" si="7"/>
        <v/>
      </c>
    </row>
    <row r="506" spans="1:1" x14ac:dyDescent="0.2">
      <c r="A506" s="12" t="str">
        <f t="shared" si="7"/>
        <v/>
      </c>
    </row>
    <row r="507" spans="1:1" x14ac:dyDescent="0.2">
      <c r="A507" s="12" t="str">
        <f t="shared" si="7"/>
        <v/>
      </c>
    </row>
    <row r="508" spans="1:1" x14ac:dyDescent="0.2">
      <c r="A508" s="12" t="str">
        <f t="shared" si="7"/>
        <v/>
      </c>
    </row>
    <row r="509" spans="1:1" x14ac:dyDescent="0.2">
      <c r="A509" s="12" t="str">
        <f t="shared" si="7"/>
        <v/>
      </c>
    </row>
    <row r="510" spans="1:1" x14ac:dyDescent="0.2">
      <c r="A510" s="12" t="str">
        <f t="shared" si="7"/>
        <v/>
      </c>
    </row>
    <row r="511" spans="1:1" x14ac:dyDescent="0.2">
      <c r="A511" s="12" t="str">
        <f t="shared" si="7"/>
        <v/>
      </c>
    </row>
    <row r="512" spans="1:1" x14ac:dyDescent="0.2">
      <c r="A512" s="12" t="str">
        <f t="shared" si="7"/>
        <v/>
      </c>
    </row>
    <row r="513" spans="1:1" x14ac:dyDescent="0.2">
      <c r="A513" s="12" t="str">
        <f t="shared" si="7"/>
        <v/>
      </c>
    </row>
    <row r="514" spans="1:1" x14ac:dyDescent="0.2">
      <c r="A514" s="12" t="str">
        <f t="shared" ref="A514:A577" si="8">IF(INDEX($AJ:$AJ,ROW())="","",HYPERLINK(INDEX($AJ:$AJ,ROW()),"Open"))</f>
        <v/>
      </c>
    </row>
    <row r="515" spans="1:1" x14ac:dyDescent="0.2">
      <c r="A515" s="12" t="str">
        <f t="shared" si="8"/>
        <v/>
      </c>
    </row>
    <row r="516" spans="1:1" x14ac:dyDescent="0.2">
      <c r="A516" s="12" t="str">
        <f t="shared" si="8"/>
        <v/>
      </c>
    </row>
    <row r="517" spans="1:1" x14ac:dyDescent="0.2">
      <c r="A517" s="12" t="str">
        <f t="shared" si="8"/>
        <v/>
      </c>
    </row>
    <row r="518" spans="1:1" x14ac:dyDescent="0.2">
      <c r="A518" s="12" t="str">
        <f t="shared" si="8"/>
        <v/>
      </c>
    </row>
    <row r="519" spans="1:1" x14ac:dyDescent="0.2">
      <c r="A519" s="12" t="str">
        <f t="shared" si="8"/>
        <v/>
      </c>
    </row>
    <row r="520" spans="1:1" x14ac:dyDescent="0.2">
      <c r="A520" s="12" t="str">
        <f t="shared" si="8"/>
        <v/>
      </c>
    </row>
    <row r="521" spans="1:1" x14ac:dyDescent="0.2">
      <c r="A521" s="12" t="str">
        <f t="shared" si="8"/>
        <v/>
      </c>
    </row>
    <row r="522" spans="1:1" x14ac:dyDescent="0.2">
      <c r="A522" s="12" t="str">
        <f t="shared" si="8"/>
        <v/>
      </c>
    </row>
    <row r="523" spans="1:1" x14ac:dyDescent="0.2">
      <c r="A523" s="12" t="str">
        <f t="shared" si="8"/>
        <v/>
      </c>
    </row>
    <row r="524" spans="1:1" x14ac:dyDescent="0.2">
      <c r="A524" s="12" t="str">
        <f t="shared" si="8"/>
        <v/>
      </c>
    </row>
    <row r="525" spans="1:1" x14ac:dyDescent="0.2">
      <c r="A525" s="12" t="str">
        <f t="shared" si="8"/>
        <v/>
      </c>
    </row>
    <row r="526" spans="1:1" x14ac:dyDescent="0.2">
      <c r="A526" s="12" t="str">
        <f t="shared" si="8"/>
        <v/>
      </c>
    </row>
    <row r="527" spans="1:1" x14ac:dyDescent="0.2">
      <c r="A527" s="12" t="str">
        <f t="shared" si="8"/>
        <v/>
      </c>
    </row>
    <row r="528" spans="1:1" x14ac:dyDescent="0.2">
      <c r="A528" s="12" t="str">
        <f t="shared" si="8"/>
        <v/>
      </c>
    </row>
    <row r="529" spans="1:1" x14ac:dyDescent="0.2">
      <c r="A529" s="12" t="str">
        <f t="shared" si="8"/>
        <v/>
      </c>
    </row>
    <row r="530" spans="1:1" x14ac:dyDescent="0.2">
      <c r="A530" s="12" t="str">
        <f t="shared" si="8"/>
        <v/>
      </c>
    </row>
    <row r="531" spans="1:1" x14ac:dyDescent="0.2">
      <c r="A531" s="12" t="str">
        <f t="shared" si="8"/>
        <v/>
      </c>
    </row>
    <row r="532" spans="1:1" x14ac:dyDescent="0.2">
      <c r="A532" s="12" t="str">
        <f t="shared" si="8"/>
        <v/>
      </c>
    </row>
    <row r="533" spans="1:1" x14ac:dyDescent="0.2">
      <c r="A533" s="12" t="str">
        <f t="shared" si="8"/>
        <v/>
      </c>
    </row>
    <row r="534" spans="1:1" x14ac:dyDescent="0.2">
      <c r="A534" s="12" t="str">
        <f t="shared" si="8"/>
        <v/>
      </c>
    </row>
    <row r="535" spans="1:1" x14ac:dyDescent="0.2">
      <c r="A535" s="12" t="str">
        <f t="shared" si="8"/>
        <v/>
      </c>
    </row>
    <row r="536" spans="1:1" x14ac:dyDescent="0.2">
      <c r="A536" s="12" t="str">
        <f t="shared" si="8"/>
        <v/>
      </c>
    </row>
    <row r="537" spans="1:1" x14ac:dyDescent="0.2">
      <c r="A537" s="12" t="str">
        <f t="shared" si="8"/>
        <v/>
      </c>
    </row>
    <row r="538" spans="1:1" x14ac:dyDescent="0.2">
      <c r="A538" s="12" t="str">
        <f t="shared" si="8"/>
        <v/>
      </c>
    </row>
    <row r="539" spans="1:1" x14ac:dyDescent="0.2">
      <c r="A539" s="12" t="str">
        <f t="shared" si="8"/>
        <v/>
      </c>
    </row>
    <row r="540" spans="1:1" x14ac:dyDescent="0.2">
      <c r="A540" s="12" t="str">
        <f t="shared" si="8"/>
        <v/>
      </c>
    </row>
    <row r="541" spans="1:1" x14ac:dyDescent="0.2">
      <c r="A541" s="12" t="str">
        <f t="shared" si="8"/>
        <v/>
      </c>
    </row>
    <row r="542" spans="1:1" x14ac:dyDescent="0.2">
      <c r="A542" s="12" t="str">
        <f t="shared" si="8"/>
        <v/>
      </c>
    </row>
    <row r="543" spans="1:1" x14ac:dyDescent="0.2">
      <c r="A543" s="12" t="str">
        <f t="shared" si="8"/>
        <v/>
      </c>
    </row>
    <row r="544" spans="1:1" x14ac:dyDescent="0.2">
      <c r="A544" s="12" t="str">
        <f t="shared" si="8"/>
        <v/>
      </c>
    </row>
    <row r="545" spans="1:1" x14ac:dyDescent="0.2">
      <c r="A545" s="12" t="str">
        <f t="shared" si="8"/>
        <v/>
      </c>
    </row>
    <row r="546" spans="1:1" x14ac:dyDescent="0.2">
      <c r="A546" s="12" t="str">
        <f t="shared" si="8"/>
        <v/>
      </c>
    </row>
    <row r="547" spans="1:1" x14ac:dyDescent="0.2">
      <c r="A547" s="12" t="str">
        <f t="shared" si="8"/>
        <v/>
      </c>
    </row>
    <row r="548" spans="1:1" x14ac:dyDescent="0.2">
      <c r="A548" s="12" t="str">
        <f t="shared" si="8"/>
        <v/>
      </c>
    </row>
    <row r="549" spans="1:1" x14ac:dyDescent="0.2">
      <c r="A549" s="12" t="str">
        <f t="shared" si="8"/>
        <v/>
      </c>
    </row>
    <row r="550" spans="1:1" x14ac:dyDescent="0.2">
      <c r="A550" s="12" t="str">
        <f t="shared" si="8"/>
        <v/>
      </c>
    </row>
    <row r="551" spans="1:1" x14ac:dyDescent="0.2">
      <c r="A551" s="12" t="str">
        <f t="shared" si="8"/>
        <v/>
      </c>
    </row>
    <row r="552" spans="1:1" x14ac:dyDescent="0.2">
      <c r="A552" s="12" t="str">
        <f t="shared" si="8"/>
        <v/>
      </c>
    </row>
    <row r="553" spans="1:1" x14ac:dyDescent="0.2">
      <c r="A553" s="12" t="str">
        <f t="shared" si="8"/>
        <v/>
      </c>
    </row>
    <row r="554" spans="1:1" x14ac:dyDescent="0.2">
      <c r="A554" s="12" t="str">
        <f t="shared" si="8"/>
        <v/>
      </c>
    </row>
    <row r="555" spans="1:1" x14ac:dyDescent="0.2">
      <c r="A555" s="12" t="str">
        <f t="shared" si="8"/>
        <v/>
      </c>
    </row>
    <row r="556" spans="1:1" x14ac:dyDescent="0.2">
      <c r="A556" s="12" t="str">
        <f t="shared" si="8"/>
        <v/>
      </c>
    </row>
    <row r="557" spans="1:1" x14ac:dyDescent="0.2">
      <c r="A557" s="12" t="str">
        <f t="shared" si="8"/>
        <v/>
      </c>
    </row>
    <row r="558" spans="1:1" x14ac:dyDescent="0.2">
      <c r="A558" s="12" t="str">
        <f t="shared" si="8"/>
        <v/>
      </c>
    </row>
    <row r="559" spans="1:1" x14ac:dyDescent="0.2">
      <c r="A559" s="12" t="str">
        <f t="shared" si="8"/>
        <v/>
      </c>
    </row>
    <row r="560" spans="1:1" x14ac:dyDescent="0.2">
      <c r="A560" s="12" t="str">
        <f t="shared" si="8"/>
        <v/>
      </c>
    </row>
    <row r="561" spans="1:1" x14ac:dyDescent="0.2">
      <c r="A561" s="12" t="str">
        <f t="shared" si="8"/>
        <v/>
      </c>
    </row>
    <row r="562" spans="1:1" x14ac:dyDescent="0.2">
      <c r="A562" s="12" t="str">
        <f t="shared" si="8"/>
        <v/>
      </c>
    </row>
    <row r="563" spans="1:1" x14ac:dyDescent="0.2">
      <c r="A563" s="12" t="str">
        <f t="shared" si="8"/>
        <v/>
      </c>
    </row>
    <row r="564" spans="1:1" x14ac:dyDescent="0.2">
      <c r="A564" s="12" t="str">
        <f t="shared" si="8"/>
        <v/>
      </c>
    </row>
    <row r="565" spans="1:1" x14ac:dyDescent="0.2">
      <c r="A565" s="12" t="str">
        <f t="shared" si="8"/>
        <v/>
      </c>
    </row>
    <row r="566" spans="1:1" x14ac:dyDescent="0.2">
      <c r="A566" s="12" t="str">
        <f t="shared" si="8"/>
        <v/>
      </c>
    </row>
    <row r="567" spans="1:1" x14ac:dyDescent="0.2">
      <c r="A567" s="12" t="str">
        <f t="shared" si="8"/>
        <v/>
      </c>
    </row>
    <row r="568" spans="1:1" x14ac:dyDescent="0.2">
      <c r="A568" s="12" t="str">
        <f t="shared" si="8"/>
        <v/>
      </c>
    </row>
    <row r="569" spans="1:1" x14ac:dyDescent="0.2">
      <c r="A569" s="12" t="str">
        <f t="shared" si="8"/>
        <v/>
      </c>
    </row>
    <row r="570" spans="1:1" x14ac:dyDescent="0.2">
      <c r="A570" s="12" t="str">
        <f t="shared" si="8"/>
        <v/>
      </c>
    </row>
    <row r="571" spans="1:1" x14ac:dyDescent="0.2">
      <c r="A571" s="12" t="str">
        <f t="shared" si="8"/>
        <v/>
      </c>
    </row>
    <row r="572" spans="1:1" x14ac:dyDescent="0.2">
      <c r="A572" s="12" t="str">
        <f t="shared" si="8"/>
        <v/>
      </c>
    </row>
    <row r="573" spans="1:1" x14ac:dyDescent="0.2">
      <c r="A573" s="12" t="str">
        <f t="shared" si="8"/>
        <v/>
      </c>
    </row>
    <row r="574" spans="1:1" x14ac:dyDescent="0.2">
      <c r="A574" s="12" t="str">
        <f t="shared" si="8"/>
        <v/>
      </c>
    </row>
    <row r="575" spans="1:1" x14ac:dyDescent="0.2">
      <c r="A575" s="12" t="str">
        <f t="shared" si="8"/>
        <v/>
      </c>
    </row>
    <row r="576" spans="1:1" x14ac:dyDescent="0.2">
      <c r="A576" s="12" t="str">
        <f t="shared" si="8"/>
        <v/>
      </c>
    </row>
    <row r="577" spans="1:1" x14ac:dyDescent="0.2">
      <c r="A577" s="12" t="str">
        <f t="shared" si="8"/>
        <v/>
      </c>
    </row>
    <row r="578" spans="1:1" x14ac:dyDescent="0.2">
      <c r="A578" s="12" t="str">
        <f t="shared" ref="A578:A641" si="9">IF(INDEX($AJ:$AJ,ROW())="","",HYPERLINK(INDEX($AJ:$AJ,ROW()),"Open"))</f>
        <v/>
      </c>
    </row>
    <row r="579" spans="1:1" x14ac:dyDescent="0.2">
      <c r="A579" s="12" t="str">
        <f t="shared" si="9"/>
        <v/>
      </c>
    </row>
    <row r="580" spans="1:1" x14ac:dyDescent="0.2">
      <c r="A580" s="12" t="str">
        <f t="shared" si="9"/>
        <v/>
      </c>
    </row>
    <row r="581" spans="1:1" x14ac:dyDescent="0.2">
      <c r="A581" s="12" t="str">
        <f t="shared" si="9"/>
        <v/>
      </c>
    </row>
    <row r="582" spans="1:1" x14ac:dyDescent="0.2">
      <c r="A582" s="12" t="str">
        <f t="shared" si="9"/>
        <v/>
      </c>
    </row>
    <row r="583" spans="1:1" x14ac:dyDescent="0.2">
      <c r="A583" s="12" t="str">
        <f t="shared" si="9"/>
        <v/>
      </c>
    </row>
    <row r="584" spans="1:1" x14ac:dyDescent="0.2">
      <c r="A584" s="12" t="str">
        <f t="shared" si="9"/>
        <v/>
      </c>
    </row>
    <row r="585" spans="1:1" x14ac:dyDescent="0.2">
      <c r="A585" s="12" t="str">
        <f t="shared" si="9"/>
        <v/>
      </c>
    </row>
    <row r="586" spans="1:1" x14ac:dyDescent="0.2">
      <c r="A586" s="12" t="str">
        <f t="shared" si="9"/>
        <v/>
      </c>
    </row>
    <row r="587" spans="1:1" x14ac:dyDescent="0.2">
      <c r="A587" s="12" t="str">
        <f t="shared" si="9"/>
        <v/>
      </c>
    </row>
    <row r="588" spans="1:1" x14ac:dyDescent="0.2">
      <c r="A588" s="12" t="str">
        <f t="shared" si="9"/>
        <v/>
      </c>
    </row>
    <row r="589" spans="1:1" x14ac:dyDescent="0.2">
      <c r="A589" s="12" t="str">
        <f t="shared" si="9"/>
        <v/>
      </c>
    </row>
    <row r="590" spans="1:1" x14ac:dyDescent="0.2">
      <c r="A590" s="12" t="str">
        <f t="shared" si="9"/>
        <v/>
      </c>
    </row>
    <row r="591" spans="1:1" x14ac:dyDescent="0.2">
      <c r="A591" s="12" t="str">
        <f t="shared" si="9"/>
        <v/>
      </c>
    </row>
    <row r="592" spans="1:1" x14ac:dyDescent="0.2">
      <c r="A592" s="12" t="str">
        <f t="shared" si="9"/>
        <v/>
      </c>
    </row>
    <row r="593" spans="1:1" x14ac:dyDescent="0.2">
      <c r="A593" s="12" t="str">
        <f t="shared" si="9"/>
        <v/>
      </c>
    </row>
    <row r="594" spans="1:1" x14ac:dyDescent="0.2">
      <c r="A594" s="12" t="str">
        <f t="shared" si="9"/>
        <v/>
      </c>
    </row>
    <row r="595" spans="1:1" x14ac:dyDescent="0.2">
      <c r="A595" s="12" t="str">
        <f t="shared" si="9"/>
        <v/>
      </c>
    </row>
    <row r="596" spans="1:1" x14ac:dyDescent="0.2">
      <c r="A596" s="12" t="str">
        <f t="shared" si="9"/>
        <v/>
      </c>
    </row>
    <row r="597" spans="1:1" x14ac:dyDescent="0.2">
      <c r="A597" s="12" t="str">
        <f t="shared" si="9"/>
        <v/>
      </c>
    </row>
    <row r="598" spans="1:1" x14ac:dyDescent="0.2">
      <c r="A598" s="12" t="str">
        <f t="shared" si="9"/>
        <v/>
      </c>
    </row>
    <row r="599" spans="1:1" x14ac:dyDescent="0.2">
      <c r="A599" s="12" t="str">
        <f t="shared" si="9"/>
        <v/>
      </c>
    </row>
    <row r="600" spans="1:1" x14ac:dyDescent="0.2">
      <c r="A600" s="12" t="str">
        <f t="shared" si="9"/>
        <v/>
      </c>
    </row>
    <row r="601" spans="1:1" x14ac:dyDescent="0.2">
      <c r="A601" s="12" t="str">
        <f t="shared" si="9"/>
        <v/>
      </c>
    </row>
    <row r="602" spans="1:1" x14ac:dyDescent="0.2">
      <c r="A602" s="12" t="str">
        <f t="shared" si="9"/>
        <v/>
      </c>
    </row>
    <row r="603" spans="1:1" x14ac:dyDescent="0.2">
      <c r="A603" s="12" t="str">
        <f t="shared" si="9"/>
        <v/>
      </c>
    </row>
    <row r="604" spans="1:1" x14ac:dyDescent="0.2">
      <c r="A604" s="12" t="str">
        <f t="shared" si="9"/>
        <v/>
      </c>
    </row>
    <row r="605" spans="1:1" x14ac:dyDescent="0.2">
      <c r="A605" s="12" t="str">
        <f t="shared" si="9"/>
        <v/>
      </c>
    </row>
    <row r="606" spans="1:1" x14ac:dyDescent="0.2">
      <c r="A606" s="12" t="str">
        <f t="shared" si="9"/>
        <v/>
      </c>
    </row>
    <row r="607" spans="1:1" x14ac:dyDescent="0.2">
      <c r="A607" s="12" t="str">
        <f t="shared" si="9"/>
        <v/>
      </c>
    </row>
    <row r="608" spans="1:1" x14ac:dyDescent="0.2">
      <c r="A608" s="12" t="str">
        <f t="shared" si="9"/>
        <v/>
      </c>
    </row>
    <row r="609" spans="1:1" x14ac:dyDescent="0.2">
      <c r="A609" s="12" t="str">
        <f t="shared" si="9"/>
        <v/>
      </c>
    </row>
    <row r="610" spans="1:1" x14ac:dyDescent="0.2">
      <c r="A610" s="12" t="str">
        <f t="shared" si="9"/>
        <v/>
      </c>
    </row>
    <row r="611" spans="1:1" x14ac:dyDescent="0.2">
      <c r="A611" s="12" t="str">
        <f t="shared" si="9"/>
        <v/>
      </c>
    </row>
    <row r="612" spans="1:1" x14ac:dyDescent="0.2">
      <c r="A612" s="12" t="str">
        <f t="shared" si="9"/>
        <v/>
      </c>
    </row>
    <row r="613" spans="1:1" x14ac:dyDescent="0.2">
      <c r="A613" s="12" t="str">
        <f t="shared" si="9"/>
        <v/>
      </c>
    </row>
    <row r="614" spans="1:1" x14ac:dyDescent="0.2">
      <c r="A614" s="12" t="str">
        <f t="shared" si="9"/>
        <v/>
      </c>
    </row>
    <row r="615" spans="1:1" x14ac:dyDescent="0.2">
      <c r="A615" s="12" t="str">
        <f t="shared" si="9"/>
        <v/>
      </c>
    </row>
    <row r="616" spans="1:1" x14ac:dyDescent="0.2">
      <c r="A616" s="12" t="str">
        <f t="shared" si="9"/>
        <v/>
      </c>
    </row>
    <row r="617" spans="1:1" x14ac:dyDescent="0.2">
      <c r="A617" s="12" t="str">
        <f t="shared" si="9"/>
        <v/>
      </c>
    </row>
    <row r="618" spans="1:1" x14ac:dyDescent="0.2">
      <c r="A618" s="12" t="str">
        <f t="shared" si="9"/>
        <v/>
      </c>
    </row>
    <row r="619" spans="1:1" x14ac:dyDescent="0.2">
      <c r="A619" s="12" t="str">
        <f t="shared" si="9"/>
        <v/>
      </c>
    </row>
    <row r="620" spans="1:1" x14ac:dyDescent="0.2">
      <c r="A620" s="12" t="str">
        <f t="shared" si="9"/>
        <v/>
      </c>
    </row>
    <row r="621" spans="1:1" x14ac:dyDescent="0.2">
      <c r="A621" s="12" t="str">
        <f t="shared" si="9"/>
        <v/>
      </c>
    </row>
    <row r="622" spans="1:1" x14ac:dyDescent="0.2">
      <c r="A622" s="12" t="str">
        <f t="shared" si="9"/>
        <v/>
      </c>
    </row>
    <row r="623" spans="1:1" x14ac:dyDescent="0.2">
      <c r="A623" s="12" t="str">
        <f t="shared" si="9"/>
        <v/>
      </c>
    </row>
    <row r="624" spans="1:1" x14ac:dyDescent="0.2">
      <c r="A624" s="12" t="str">
        <f t="shared" si="9"/>
        <v/>
      </c>
    </row>
    <row r="625" spans="1:1" x14ac:dyDescent="0.2">
      <c r="A625" s="12" t="str">
        <f t="shared" si="9"/>
        <v/>
      </c>
    </row>
    <row r="626" spans="1:1" x14ac:dyDescent="0.2">
      <c r="A626" s="12" t="str">
        <f t="shared" si="9"/>
        <v/>
      </c>
    </row>
    <row r="627" spans="1:1" x14ac:dyDescent="0.2">
      <c r="A627" s="12" t="str">
        <f t="shared" si="9"/>
        <v/>
      </c>
    </row>
    <row r="628" spans="1:1" x14ac:dyDescent="0.2">
      <c r="A628" s="12" t="str">
        <f t="shared" si="9"/>
        <v/>
      </c>
    </row>
    <row r="629" spans="1:1" x14ac:dyDescent="0.2">
      <c r="A629" s="12" t="str">
        <f t="shared" si="9"/>
        <v/>
      </c>
    </row>
    <row r="630" spans="1:1" x14ac:dyDescent="0.2">
      <c r="A630" s="12" t="str">
        <f t="shared" si="9"/>
        <v/>
      </c>
    </row>
    <row r="631" spans="1:1" x14ac:dyDescent="0.2">
      <c r="A631" s="12" t="str">
        <f t="shared" si="9"/>
        <v/>
      </c>
    </row>
    <row r="632" spans="1:1" x14ac:dyDescent="0.2">
      <c r="A632" s="12" t="str">
        <f t="shared" si="9"/>
        <v/>
      </c>
    </row>
    <row r="633" spans="1:1" x14ac:dyDescent="0.2">
      <c r="A633" s="12" t="str">
        <f t="shared" si="9"/>
        <v/>
      </c>
    </row>
    <row r="634" spans="1:1" x14ac:dyDescent="0.2">
      <c r="A634" s="12" t="str">
        <f t="shared" si="9"/>
        <v/>
      </c>
    </row>
    <row r="635" spans="1:1" x14ac:dyDescent="0.2">
      <c r="A635" s="12" t="str">
        <f t="shared" si="9"/>
        <v/>
      </c>
    </row>
    <row r="636" spans="1:1" x14ac:dyDescent="0.2">
      <c r="A636" s="12" t="str">
        <f t="shared" si="9"/>
        <v/>
      </c>
    </row>
    <row r="637" spans="1:1" x14ac:dyDescent="0.2">
      <c r="A637" s="12" t="str">
        <f t="shared" si="9"/>
        <v/>
      </c>
    </row>
    <row r="638" spans="1:1" x14ac:dyDescent="0.2">
      <c r="A638" s="12" t="str">
        <f t="shared" si="9"/>
        <v/>
      </c>
    </row>
    <row r="639" spans="1:1" x14ac:dyDescent="0.2">
      <c r="A639" s="12" t="str">
        <f t="shared" si="9"/>
        <v/>
      </c>
    </row>
    <row r="640" spans="1:1" x14ac:dyDescent="0.2">
      <c r="A640" s="12" t="str">
        <f t="shared" si="9"/>
        <v/>
      </c>
    </row>
    <row r="641" spans="1:1" x14ac:dyDescent="0.2">
      <c r="A641" s="12" t="str">
        <f t="shared" si="9"/>
        <v/>
      </c>
    </row>
    <row r="642" spans="1:1" x14ac:dyDescent="0.2">
      <c r="A642" s="12" t="str">
        <f t="shared" ref="A642:A705" si="10">IF(INDEX($AJ:$AJ,ROW())="","",HYPERLINK(INDEX($AJ:$AJ,ROW()),"Open"))</f>
        <v/>
      </c>
    </row>
    <row r="643" spans="1:1" x14ac:dyDescent="0.2">
      <c r="A643" s="12" t="str">
        <f t="shared" si="10"/>
        <v/>
      </c>
    </row>
    <row r="644" spans="1:1" x14ac:dyDescent="0.2">
      <c r="A644" s="12" t="str">
        <f t="shared" si="10"/>
        <v/>
      </c>
    </row>
    <row r="645" spans="1:1" x14ac:dyDescent="0.2">
      <c r="A645" s="12" t="str">
        <f t="shared" si="10"/>
        <v/>
      </c>
    </row>
    <row r="646" spans="1:1" x14ac:dyDescent="0.2">
      <c r="A646" s="12" t="str">
        <f t="shared" si="10"/>
        <v/>
      </c>
    </row>
    <row r="647" spans="1:1" x14ac:dyDescent="0.2">
      <c r="A647" s="12" t="str">
        <f t="shared" si="10"/>
        <v/>
      </c>
    </row>
    <row r="648" spans="1:1" x14ac:dyDescent="0.2">
      <c r="A648" s="12" t="str">
        <f t="shared" si="10"/>
        <v/>
      </c>
    </row>
    <row r="649" spans="1:1" x14ac:dyDescent="0.2">
      <c r="A649" s="12" t="str">
        <f t="shared" si="10"/>
        <v/>
      </c>
    </row>
    <row r="650" spans="1:1" x14ac:dyDescent="0.2">
      <c r="A650" s="12" t="str">
        <f t="shared" si="10"/>
        <v/>
      </c>
    </row>
    <row r="651" spans="1:1" x14ac:dyDescent="0.2">
      <c r="A651" s="12" t="str">
        <f t="shared" si="10"/>
        <v/>
      </c>
    </row>
    <row r="652" spans="1:1" x14ac:dyDescent="0.2">
      <c r="A652" s="12" t="str">
        <f t="shared" si="10"/>
        <v/>
      </c>
    </row>
    <row r="653" spans="1:1" x14ac:dyDescent="0.2">
      <c r="A653" s="12" t="str">
        <f t="shared" si="10"/>
        <v/>
      </c>
    </row>
    <row r="654" spans="1:1" x14ac:dyDescent="0.2">
      <c r="A654" s="12" t="str">
        <f t="shared" si="10"/>
        <v/>
      </c>
    </row>
    <row r="655" spans="1:1" x14ac:dyDescent="0.2">
      <c r="A655" s="12" t="str">
        <f t="shared" si="10"/>
        <v/>
      </c>
    </row>
    <row r="656" spans="1:1" x14ac:dyDescent="0.2">
      <c r="A656" s="12" t="str">
        <f t="shared" si="10"/>
        <v/>
      </c>
    </row>
    <row r="657" spans="1:1" x14ac:dyDescent="0.2">
      <c r="A657" s="12" t="str">
        <f t="shared" si="10"/>
        <v/>
      </c>
    </row>
    <row r="658" spans="1:1" x14ac:dyDescent="0.2">
      <c r="A658" s="12" t="str">
        <f t="shared" si="10"/>
        <v/>
      </c>
    </row>
    <row r="659" spans="1:1" x14ac:dyDescent="0.2">
      <c r="A659" s="12" t="str">
        <f t="shared" si="10"/>
        <v/>
      </c>
    </row>
    <row r="660" spans="1:1" x14ac:dyDescent="0.2">
      <c r="A660" s="12" t="str">
        <f t="shared" si="10"/>
        <v/>
      </c>
    </row>
    <row r="661" spans="1:1" x14ac:dyDescent="0.2">
      <c r="A661" s="12" t="str">
        <f t="shared" si="10"/>
        <v/>
      </c>
    </row>
    <row r="662" spans="1:1" x14ac:dyDescent="0.2">
      <c r="A662" s="12" t="str">
        <f t="shared" si="10"/>
        <v/>
      </c>
    </row>
    <row r="663" spans="1:1" x14ac:dyDescent="0.2">
      <c r="A663" s="12" t="str">
        <f t="shared" si="10"/>
        <v/>
      </c>
    </row>
    <row r="664" spans="1:1" x14ac:dyDescent="0.2">
      <c r="A664" s="12" t="str">
        <f t="shared" si="10"/>
        <v/>
      </c>
    </row>
    <row r="665" spans="1:1" x14ac:dyDescent="0.2">
      <c r="A665" s="12" t="str">
        <f t="shared" si="10"/>
        <v/>
      </c>
    </row>
    <row r="666" spans="1:1" x14ac:dyDescent="0.2">
      <c r="A666" s="12" t="str">
        <f t="shared" si="10"/>
        <v/>
      </c>
    </row>
    <row r="667" spans="1:1" x14ac:dyDescent="0.2">
      <c r="A667" s="12" t="str">
        <f t="shared" si="10"/>
        <v/>
      </c>
    </row>
    <row r="668" spans="1:1" x14ac:dyDescent="0.2">
      <c r="A668" s="12" t="str">
        <f t="shared" si="10"/>
        <v/>
      </c>
    </row>
    <row r="669" spans="1:1" x14ac:dyDescent="0.2">
      <c r="A669" s="12" t="str">
        <f t="shared" si="10"/>
        <v/>
      </c>
    </row>
    <row r="670" spans="1:1" x14ac:dyDescent="0.2">
      <c r="A670" s="12" t="str">
        <f t="shared" si="10"/>
        <v/>
      </c>
    </row>
    <row r="671" spans="1:1" x14ac:dyDescent="0.2">
      <c r="A671" s="12" t="str">
        <f t="shared" si="10"/>
        <v/>
      </c>
    </row>
    <row r="672" spans="1:1" x14ac:dyDescent="0.2">
      <c r="A672" s="12" t="str">
        <f t="shared" si="10"/>
        <v/>
      </c>
    </row>
    <row r="673" spans="1:1" x14ac:dyDescent="0.2">
      <c r="A673" s="12" t="str">
        <f t="shared" si="10"/>
        <v/>
      </c>
    </row>
    <row r="674" spans="1:1" x14ac:dyDescent="0.2">
      <c r="A674" s="12" t="str">
        <f t="shared" si="10"/>
        <v/>
      </c>
    </row>
    <row r="675" spans="1:1" x14ac:dyDescent="0.2">
      <c r="A675" s="12" t="str">
        <f t="shared" si="10"/>
        <v/>
      </c>
    </row>
    <row r="676" spans="1:1" x14ac:dyDescent="0.2">
      <c r="A676" s="12" t="str">
        <f t="shared" si="10"/>
        <v/>
      </c>
    </row>
    <row r="677" spans="1:1" x14ac:dyDescent="0.2">
      <c r="A677" s="12" t="str">
        <f t="shared" si="10"/>
        <v/>
      </c>
    </row>
    <row r="678" spans="1:1" x14ac:dyDescent="0.2">
      <c r="A678" s="12" t="str">
        <f t="shared" si="10"/>
        <v/>
      </c>
    </row>
    <row r="679" spans="1:1" x14ac:dyDescent="0.2">
      <c r="A679" s="12" t="str">
        <f t="shared" si="10"/>
        <v/>
      </c>
    </row>
    <row r="680" spans="1:1" x14ac:dyDescent="0.2">
      <c r="A680" s="12" t="str">
        <f t="shared" si="10"/>
        <v/>
      </c>
    </row>
    <row r="681" spans="1:1" x14ac:dyDescent="0.2">
      <c r="A681" s="12" t="str">
        <f t="shared" si="10"/>
        <v/>
      </c>
    </row>
    <row r="682" spans="1:1" x14ac:dyDescent="0.2">
      <c r="A682" s="12" t="str">
        <f t="shared" si="10"/>
        <v/>
      </c>
    </row>
    <row r="683" spans="1:1" x14ac:dyDescent="0.2">
      <c r="A683" s="12" t="str">
        <f t="shared" si="10"/>
        <v/>
      </c>
    </row>
    <row r="684" spans="1:1" x14ac:dyDescent="0.2">
      <c r="A684" s="12" t="str">
        <f t="shared" si="10"/>
        <v/>
      </c>
    </row>
    <row r="685" spans="1:1" x14ac:dyDescent="0.2">
      <c r="A685" s="12" t="str">
        <f t="shared" si="10"/>
        <v/>
      </c>
    </row>
    <row r="686" spans="1:1" x14ac:dyDescent="0.2">
      <c r="A686" s="12" t="str">
        <f t="shared" si="10"/>
        <v/>
      </c>
    </row>
    <row r="687" spans="1:1" x14ac:dyDescent="0.2">
      <c r="A687" s="12" t="str">
        <f t="shared" si="10"/>
        <v/>
      </c>
    </row>
    <row r="688" spans="1:1" x14ac:dyDescent="0.2">
      <c r="A688" s="12" t="str">
        <f t="shared" si="10"/>
        <v/>
      </c>
    </row>
    <row r="689" spans="1:1" x14ac:dyDescent="0.2">
      <c r="A689" s="12" t="str">
        <f t="shared" si="10"/>
        <v/>
      </c>
    </row>
    <row r="690" spans="1:1" x14ac:dyDescent="0.2">
      <c r="A690" s="12" t="str">
        <f t="shared" si="10"/>
        <v/>
      </c>
    </row>
    <row r="691" spans="1:1" x14ac:dyDescent="0.2">
      <c r="A691" s="12" t="str">
        <f t="shared" si="10"/>
        <v/>
      </c>
    </row>
    <row r="692" spans="1:1" x14ac:dyDescent="0.2">
      <c r="A692" s="12" t="str">
        <f t="shared" si="10"/>
        <v/>
      </c>
    </row>
    <row r="693" spans="1:1" x14ac:dyDescent="0.2">
      <c r="A693" s="12" t="str">
        <f t="shared" si="10"/>
        <v/>
      </c>
    </row>
    <row r="694" spans="1:1" x14ac:dyDescent="0.2">
      <c r="A694" s="12" t="str">
        <f t="shared" si="10"/>
        <v/>
      </c>
    </row>
    <row r="695" spans="1:1" x14ac:dyDescent="0.2">
      <c r="A695" s="12" t="str">
        <f t="shared" si="10"/>
        <v/>
      </c>
    </row>
    <row r="696" spans="1:1" x14ac:dyDescent="0.2">
      <c r="A696" s="12" t="str">
        <f t="shared" si="10"/>
        <v/>
      </c>
    </row>
    <row r="697" spans="1:1" x14ac:dyDescent="0.2">
      <c r="A697" s="12" t="str">
        <f t="shared" si="10"/>
        <v/>
      </c>
    </row>
    <row r="698" spans="1:1" x14ac:dyDescent="0.2">
      <c r="A698" s="12" t="str">
        <f t="shared" si="10"/>
        <v/>
      </c>
    </row>
    <row r="699" spans="1:1" x14ac:dyDescent="0.2">
      <c r="A699" s="12" t="str">
        <f t="shared" si="10"/>
        <v/>
      </c>
    </row>
    <row r="700" spans="1:1" x14ac:dyDescent="0.2">
      <c r="A700" s="12" t="str">
        <f t="shared" si="10"/>
        <v/>
      </c>
    </row>
    <row r="701" spans="1:1" x14ac:dyDescent="0.2">
      <c r="A701" s="12" t="str">
        <f t="shared" si="10"/>
        <v/>
      </c>
    </row>
    <row r="702" spans="1:1" x14ac:dyDescent="0.2">
      <c r="A702" s="12" t="str">
        <f t="shared" si="10"/>
        <v/>
      </c>
    </row>
    <row r="703" spans="1:1" x14ac:dyDescent="0.2">
      <c r="A703" s="12" t="str">
        <f t="shared" si="10"/>
        <v/>
      </c>
    </row>
    <row r="704" spans="1:1" x14ac:dyDescent="0.2">
      <c r="A704" s="12" t="str">
        <f t="shared" si="10"/>
        <v/>
      </c>
    </row>
    <row r="705" spans="1:1" x14ac:dyDescent="0.2">
      <c r="A705" s="12" t="str">
        <f t="shared" si="10"/>
        <v/>
      </c>
    </row>
    <row r="706" spans="1:1" x14ac:dyDescent="0.2">
      <c r="A706" s="12" t="str">
        <f t="shared" ref="A706:A769" si="11">IF(INDEX($AJ:$AJ,ROW())="","",HYPERLINK(INDEX($AJ:$AJ,ROW()),"Open"))</f>
        <v/>
      </c>
    </row>
    <row r="707" spans="1:1" x14ac:dyDescent="0.2">
      <c r="A707" s="12" t="str">
        <f t="shared" si="11"/>
        <v/>
      </c>
    </row>
    <row r="708" spans="1:1" x14ac:dyDescent="0.2">
      <c r="A708" s="12" t="str">
        <f t="shared" si="11"/>
        <v/>
      </c>
    </row>
    <row r="709" spans="1:1" x14ac:dyDescent="0.2">
      <c r="A709" s="12" t="str">
        <f t="shared" si="11"/>
        <v/>
      </c>
    </row>
    <row r="710" spans="1:1" x14ac:dyDescent="0.2">
      <c r="A710" s="12" t="str">
        <f t="shared" si="11"/>
        <v/>
      </c>
    </row>
    <row r="711" spans="1:1" x14ac:dyDescent="0.2">
      <c r="A711" s="12" t="str">
        <f t="shared" si="11"/>
        <v/>
      </c>
    </row>
    <row r="712" spans="1:1" x14ac:dyDescent="0.2">
      <c r="A712" s="12" t="str">
        <f t="shared" si="11"/>
        <v/>
      </c>
    </row>
    <row r="713" spans="1:1" x14ac:dyDescent="0.2">
      <c r="A713" s="12" t="str">
        <f t="shared" si="11"/>
        <v/>
      </c>
    </row>
    <row r="714" spans="1:1" x14ac:dyDescent="0.2">
      <c r="A714" s="12" t="str">
        <f t="shared" si="11"/>
        <v/>
      </c>
    </row>
    <row r="715" spans="1:1" x14ac:dyDescent="0.2">
      <c r="A715" s="12" t="str">
        <f t="shared" si="11"/>
        <v/>
      </c>
    </row>
    <row r="716" spans="1:1" x14ac:dyDescent="0.2">
      <c r="A716" s="12" t="str">
        <f t="shared" si="11"/>
        <v/>
      </c>
    </row>
    <row r="717" spans="1:1" x14ac:dyDescent="0.2">
      <c r="A717" s="12" t="str">
        <f t="shared" si="11"/>
        <v/>
      </c>
    </row>
    <row r="718" spans="1:1" x14ac:dyDescent="0.2">
      <c r="A718" s="12" t="str">
        <f t="shared" si="11"/>
        <v/>
      </c>
    </row>
    <row r="719" spans="1:1" x14ac:dyDescent="0.2">
      <c r="A719" s="12" t="str">
        <f t="shared" si="11"/>
        <v/>
      </c>
    </row>
    <row r="720" spans="1:1" x14ac:dyDescent="0.2">
      <c r="A720" s="12" t="str">
        <f t="shared" si="11"/>
        <v/>
      </c>
    </row>
    <row r="721" spans="1:1" x14ac:dyDescent="0.2">
      <c r="A721" s="12" t="str">
        <f t="shared" si="11"/>
        <v/>
      </c>
    </row>
    <row r="722" spans="1:1" x14ac:dyDescent="0.2">
      <c r="A722" s="12" t="str">
        <f t="shared" si="11"/>
        <v/>
      </c>
    </row>
    <row r="723" spans="1:1" x14ac:dyDescent="0.2">
      <c r="A723" s="12" t="str">
        <f t="shared" si="11"/>
        <v/>
      </c>
    </row>
    <row r="724" spans="1:1" x14ac:dyDescent="0.2">
      <c r="A724" s="12" t="str">
        <f t="shared" si="11"/>
        <v/>
      </c>
    </row>
    <row r="725" spans="1:1" x14ac:dyDescent="0.2">
      <c r="A725" s="12" t="str">
        <f t="shared" si="11"/>
        <v/>
      </c>
    </row>
    <row r="726" spans="1:1" x14ac:dyDescent="0.2">
      <c r="A726" s="12" t="str">
        <f t="shared" si="11"/>
        <v/>
      </c>
    </row>
    <row r="727" spans="1:1" x14ac:dyDescent="0.2">
      <c r="A727" s="12" t="str">
        <f t="shared" si="11"/>
        <v/>
      </c>
    </row>
    <row r="728" spans="1:1" x14ac:dyDescent="0.2">
      <c r="A728" s="12" t="str">
        <f t="shared" si="11"/>
        <v/>
      </c>
    </row>
    <row r="729" spans="1:1" x14ac:dyDescent="0.2">
      <c r="A729" s="12" t="str">
        <f t="shared" si="11"/>
        <v/>
      </c>
    </row>
    <row r="730" spans="1:1" x14ac:dyDescent="0.2">
      <c r="A730" s="12" t="str">
        <f t="shared" si="11"/>
        <v/>
      </c>
    </row>
    <row r="731" spans="1:1" x14ac:dyDescent="0.2">
      <c r="A731" s="12" t="str">
        <f t="shared" si="11"/>
        <v/>
      </c>
    </row>
    <row r="732" spans="1:1" x14ac:dyDescent="0.2">
      <c r="A732" s="12" t="str">
        <f t="shared" si="11"/>
        <v/>
      </c>
    </row>
    <row r="733" spans="1:1" x14ac:dyDescent="0.2">
      <c r="A733" s="12" t="str">
        <f t="shared" si="11"/>
        <v/>
      </c>
    </row>
    <row r="734" spans="1:1" x14ac:dyDescent="0.2">
      <c r="A734" s="12" t="str">
        <f t="shared" si="11"/>
        <v/>
      </c>
    </row>
    <row r="735" spans="1:1" x14ac:dyDescent="0.2">
      <c r="A735" s="12" t="str">
        <f t="shared" si="11"/>
        <v/>
      </c>
    </row>
    <row r="736" spans="1:1" x14ac:dyDescent="0.2">
      <c r="A736" s="12" t="str">
        <f t="shared" si="11"/>
        <v/>
      </c>
    </row>
    <row r="737" spans="1:1" x14ac:dyDescent="0.2">
      <c r="A737" s="12" t="str">
        <f t="shared" si="11"/>
        <v/>
      </c>
    </row>
    <row r="738" spans="1:1" x14ac:dyDescent="0.2">
      <c r="A738" s="12" t="str">
        <f t="shared" si="11"/>
        <v/>
      </c>
    </row>
    <row r="739" spans="1:1" x14ac:dyDescent="0.2">
      <c r="A739" s="12" t="str">
        <f t="shared" si="11"/>
        <v/>
      </c>
    </row>
    <row r="740" spans="1:1" x14ac:dyDescent="0.2">
      <c r="A740" s="12" t="str">
        <f t="shared" si="11"/>
        <v/>
      </c>
    </row>
    <row r="741" spans="1:1" x14ac:dyDescent="0.2">
      <c r="A741" s="12" t="str">
        <f t="shared" si="11"/>
        <v/>
      </c>
    </row>
    <row r="742" spans="1:1" x14ac:dyDescent="0.2">
      <c r="A742" s="12" t="str">
        <f t="shared" si="11"/>
        <v/>
      </c>
    </row>
    <row r="743" spans="1:1" x14ac:dyDescent="0.2">
      <c r="A743" s="12" t="str">
        <f t="shared" si="11"/>
        <v/>
      </c>
    </row>
    <row r="744" spans="1:1" x14ac:dyDescent="0.2">
      <c r="A744" s="12" t="str">
        <f t="shared" si="11"/>
        <v/>
      </c>
    </row>
    <row r="745" spans="1:1" x14ac:dyDescent="0.2">
      <c r="A745" s="12" t="str">
        <f t="shared" si="11"/>
        <v/>
      </c>
    </row>
    <row r="746" spans="1:1" x14ac:dyDescent="0.2">
      <c r="A746" s="12" t="str">
        <f t="shared" si="11"/>
        <v/>
      </c>
    </row>
    <row r="747" spans="1:1" x14ac:dyDescent="0.2">
      <c r="A747" s="12" t="str">
        <f t="shared" si="11"/>
        <v/>
      </c>
    </row>
    <row r="748" spans="1:1" x14ac:dyDescent="0.2">
      <c r="A748" s="12" t="str">
        <f t="shared" si="11"/>
        <v/>
      </c>
    </row>
    <row r="749" spans="1:1" x14ac:dyDescent="0.2">
      <c r="A749" s="12" t="str">
        <f t="shared" si="11"/>
        <v/>
      </c>
    </row>
    <row r="750" spans="1:1" x14ac:dyDescent="0.2">
      <c r="A750" s="12" t="str">
        <f t="shared" si="11"/>
        <v/>
      </c>
    </row>
    <row r="751" spans="1:1" x14ac:dyDescent="0.2">
      <c r="A751" s="12" t="str">
        <f t="shared" si="11"/>
        <v/>
      </c>
    </row>
    <row r="752" spans="1:1" x14ac:dyDescent="0.2">
      <c r="A752" s="12" t="str">
        <f t="shared" si="11"/>
        <v/>
      </c>
    </row>
    <row r="753" spans="1:1" x14ac:dyDescent="0.2">
      <c r="A753" s="12" t="str">
        <f t="shared" si="11"/>
        <v/>
      </c>
    </row>
    <row r="754" spans="1:1" x14ac:dyDescent="0.2">
      <c r="A754" s="12" t="str">
        <f t="shared" si="11"/>
        <v/>
      </c>
    </row>
    <row r="755" spans="1:1" x14ac:dyDescent="0.2">
      <c r="A755" s="12" t="str">
        <f t="shared" si="11"/>
        <v/>
      </c>
    </row>
    <row r="756" spans="1:1" x14ac:dyDescent="0.2">
      <c r="A756" s="12" t="str">
        <f t="shared" si="11"/>
        <v/>
      </c>
    </row>
    <row r="757" spans="1:1" x14ac:dyDescent="0.2">
      <c r="A757" s="12" t="str">
        <f t="shared" si="11"/>
        <v/>
      </c>
    </row>
    <row r="758" spans="1:1" x14ac:dyDescent="0.2">
      <c r="A758" s="12" t="str">
        <f t="shared" si="11"/>
        <v/>
      </c>
    </row>
    <row r="759" spans="1:1" x14ac:dyDescent="0.2">
      <c r="A759" s="12" t="str">
        <f t="shared" si="11"/>
        <v/>
      </c>
    </row>
    <row r="760" spans="1:1" x14ac:dyDescent="0.2">
      <c r="A760" s="12" t="str">
        <f t="shared" si="11"/>
        <v/>
      </c>
    </row>
    <row r="761" spans="1:1" x14ac:dyDescent="0.2">
      <c r="A761" s="12" t="str">
        <f t="shared" si="11"/>
        <v/>
      </c>
    </row>
    <row r="762" spans="1:1" x14ac:dyDescent="0.2">
      <c r="A762" s="12" t="str">
        <f t="shared" si="11"/>
        <v/>
      </c>
    </row>
    <row r="763" spans="1:1" x14ac:dyDescent="0.2">
      <c r="A763" s="12" t="str">
        <f t="shared" si="11"/>
        <v/>
      </c>
    </row>
    <row r="764" spans="1:1" x14ac:dyDescent="0.2">
      <c r="A764" s="12" t="str">
        <f t="shared" si="11"/>
        <v/>
      </c>
    </row>
    <row r="765" spans="1:1" x14ac:dyDescent="0.2">
      <c r="A765" s="12" t="str">
        <f t="shared" si="11"/>
        <v/>
      </c>
    </row>
    <row r="766" spans="1:1" x14ac:dyDescent="0.2">
      <c r="A766" s="12" t="str">
        <f t="shared" si="11"/>
        <v/>
      </c>
    </row>
    <row r="767" spans="1:1" x14ac:dyDescent="0.2">
      <c r="A767" s="12" t="str">
        <f t="shared" si="11"/>
        <v/>
      </c>
    </row>
    <row r="768" spans="1:1" x14ac:dyDescent="0.2">
      <c r="A768" s="12" t="str">
        <f t="shared" si="11"/>
        <v/>
      </c>
    </row>
    <row r="769" spans="1:1" x14ac:dyDescent="0.2">
      <c r="A769" s="12" t="str">
        <f t="shared" si="11"/>
        <v/>
      </c>
    </row>
    <row r="770" spans="1:1" x14ac:dyDescent="0.2">
      <c r="A770" s="12" t="str">
        <f t="shared" ref="A770:A833" si="12">IF(INDEX($AJ:$AJ,ROW())="","",HYPERLINK(INDEX($AJ:$AJ,ROW()),"Open"))</f>
        <v/>
      </c>
    </row>
    <row r="771" spans="1:1" x14ac:dyDescent="0.2">
      <c r="A771" s="12" t="str">
        <f t="shared" si="12"/>
        <v/>
      </c>
    </row>
    <row r="772" spans="1:1" x14ac:dyDescent="0.2">
      <c r="A772" s="12" t="str">
        <f t="shared" si="12"/>
        <v/>
      </c>
    </row>
    <row r="773" spans="1:1" x14ac:dyDescent="0.2">
      <c r="A773" s="12" t="str">
        <f t="shared" si="12"/>
        <v/>
      </c>
    </row>
    <row r="774" spans="1:1" x14ac:dyDescent="0.2">
      <c r="A774" s="12" t="str">
        <f t="shared" si="12"/>
        <v/>
      </c>
    </row>
    <row r="775" spans="1:1" x14ac:dyDescent="0.2">
      <c r="A775" s="12" t="str">
        <f t="shared" si="12"/>
        <v/>
      </c>
    </row>
    <row r="776" spans="1:1" x14ac:dyDescent="0.2">
      <c r="A776" s="12" t="str">
        <f t="shared" si="12"/>
        <v/>
      </c>
    </row>
    <row r="777" spans="1:1" x14ac:dyDescent="0.2">
      <c r="A777" s="12" t="str">
        <f t="shared" si="12"/>
        <v/>
      </c>
    </row>
    <row r="778" spans="1:1" x14ac:dyDescent="0.2">
      <c r="A778" s="12" t="str">
        <f t="shared" si="12"/>
        <v/>
      </c>
    </row>
    <row r="779" spans="1:1" x14ac:dyDescent="0.2">
      <c r="A779" s="12" t="str">
        <f t="shared" si="12"/>
        <v/>
      </c>
    </row>
    <row r="780" spans="1:1" x14ac:dyDescent="0.2">
      <c r="A780" s="12" t="str">
        <f t="shared" si="12"/>
        <v/>
      </c>
    </row>
    <row r="781" spans="1:1" x14ac:dyDescent="0.2">
      <c r="A781" s="12" t="str">
        <f t="shared" si="12"/>
        <v/>
      </c>
    </row>
    <row r="782" spans="1:1" x14ac:dyDescent="0.2">
      <c r="A782" s="12" t="str">
        <f t="shared" si="12"/>
        <v/>
      </c>
    </row>
    <row r="783" spans="1:1" x14ac:dyDescent="0.2">
      <c r="A783" s="12" t="str">
        <f t="shared" si="12"/>
        <v/>
      </c>
    </row>
    <row r="784" spans="1:1" x14ac:dyDescent="0.2">
      <c r="A784" s="12" t="str">
        <f t="shared" si="12"/>
        <v/>
      </c>
    </row>
    <row r="785" spans="1:1" x14ac:dyDescent="0.2">
      <c r="A785" s="12" t="str">
        <f t="shared" si="12"/>
        <v/>
      </c>
    </row>
    <row r="786" spans="1:1" x14ac:dyDescent="0.2">
      <c r="A786" s="12" t="str">
        <f t="shared" si="12"/>
        <v/>
      </c>
    </row>
    <row r="787" spans="1:1" x14ac:dyDescent="0.2">
      <c r="A787" s="12" t="str">
        <f t="shared" si="12"/>
        <v/>
      </c>
    </row>
    <row r="788" spans="1:1" x14ac:dyDescent="0.2">
      <c r="A788" s="12" t="str">
        <f t="shared" si="12"/>
        <v/>
      </c>
    </row>
    <row r="789" spans="1:1" x14ac:dyDescent="0.2">
      <c r="A789" s="12" t="str">
        <f t="shared" si="12"/>
        <v/>
      </c>
    </row>
    <row r="790" spans="1:1" x14ac:dyDescent="0.2">
      <c r="A790" s="12" t="str">
        <f t="shared" si="12"/>
        <v/>
      </c>
    </row>
    <row r="791" spans="1:1" x14ac:dyDescent="0.2">
      <c r="A791" s="12" t="str">
        <f t="shared" si="12"/>
        <v/>
      </c>
    </row>
    <row r="792" spans="1:1" x14ac:dyDescent="0.2">
      <c r="A792" s="12" t="str">
        <f t="shared" si="12"/>
        <v/>
      </c>
    </row>
    <row r="793" spans="1:1" x14ac:dyDescent="0.2">
      <c r="A793" s="12" t="str">
        <f t="shared" si="12"/>
        <v/>
      </c>
    </row>
    <row r="794" spans="1:1" x14ac:dyDescent="0.2">
      <c r="A794" s="12" t="str">
        <f t="shared" si="12"/>
        <v/>
      </c>
    </row>
    <row r="795" spans="1:1" x14ac:dyDescent="0.2">
      <c r="A795" s="12" t="str">
        <f t="shared" si="12"/>
        <v/>
      </c>
    </row>
    <row r="796" spans="1:1" x14ac:dyDescent="0.2">
      <c r="A796" s="12" t="str">
        <f t="shared" si="12"/>
        <v/>
      </c>
    </row>
    <row r="797" spans="1:1" x14ac:dyDescent="0.2">
      <c r="A797" s="12" t="str">
        <f t="shared" si="12"/>
        <v/>
      </c>
    </row>
    <row r="798" spans="1:1" x14ac:dyDescent="0.2">
      <c r="A798" s="12" t="str">
        <f t="shared" si="12"/>
        <v/>
      </c>
    </row>
    <row r="799" spans="1:1" x14ac:dyDescent="0.2">
      <c r="A799" s="12" t="str">
        <f t="shared" si="12"/>
        <v/>
      </c>
    </row>
    <row r="800" spans="1:1" x14ac:dyDescent="0.2">
      <c r="A800" s="12" t="str">
        <f t="shared" si="12"/>
        <v/>
      </c>
    </row>
    <row r="801" spans="1:1" x14ac:dyDescent="0.2">
      <c r="A801" s="12" t="str">
        <f t="shared" si="12"/>
        <v/>
      </c>
    </row>
    <row r="802" spans="1:1" x14ac:dyDescent="0.2">
      <c r="A802" s="12" t="str">
        <f t="shared" si="12"/>
        <v/>
      </c>
    </row>
    <row r="803" spans="1:1" x14ac:dyDescent="0.2">
      <c r="A803" s="12" t="str">
        <f t="shared" si="12"/>
        <v/>
      </c>
    </row>
    <row r="804" spans="1:1" x14ac:dyDescent="0.2">
      <c r="A804" s="12" t="str">
        <f t="shared" si="12"/>
        <v/>
      </c>
    </row>
    <row r="805" spans="1:1" x14ac:dyDescent="0.2">
      <c r="A805" s="12" t="str">
        <f t="shared" si="12"/>
        <v/>
      </c>
    </row>
    <row r="806" spans="1:1" x14ac:dyDescent="0.2">
      <c r="A806" s="12" t="str">
        <f t="shared" si="12"/>
        <v/>
      </c>
    </row>
    <row r="807" spans="1:1" x14ac:dyDescent="0.2">
      <c r="A807" s="12" t="str">
        <f t="shared" si="12"/>
        <v/>
      </c>
    </row>
    <row r="808" spans="1:1" x14ac:dyDescent="0.2">
      <c r="A808" s="12" t="str">
        <f t="shared" si="12"/>
        <v/>
      </c>
    </row>
    <row r="809" spans="1:1" x14ac:dyDescent="0.2">
      <c r="A809" s="12" t="str">
        <f t="shared" si="12"/>
        <v/>
      </c>
    </row>
    <row r="810" spans="1:1" x14ac:dyDescent="0.2">
      <c r="A810" s="12" t="str">
        <f t="shared" si="12"/>
        <v/>
      </c>
    </row>
    <row r="811" spans="1:1" x14ac:dyDescent="0.2">
      <c r="A811" s="12" t="str">
        <f t="shared" si="12"/>
        <v/>
      </c>
    </row>
    <row r="812" spans="1:1" x14ac:dyDescent="0.2">
      <c r="A812" s="12" t="str">
        <f t="shared" si="12"/>
        <v/>
      </c>
    </row>
    <row r="813" spans="1:1" x14ac:dyDescent="0.2">
      <c r="A813" s="12" t="str">
        <f t="shared" si="12"/>
        <v/>
      </c>
    </row>
    <row r="814" spans="1:1" x14ac:dyDescent="0.2">
      <c r="A814" s="12" t="str">
        <f t="shared" si="12"/>
        <v/>
      </c>
    </row>
    <row r="815" spans="1:1" x14ac:dyDescent="0.2">
      <c r="A815" s="12" t="str">
        <f t="shared" si="12"/>
        <v/>
      </c>
    </row>
    <row r="816" spans="1:1" x14ac:dyDescent="0.2">
      <c r="A816" s="12" t="str">
        <f t="shared" si="12"/>
        <v/>
      </c>
    </row>
    <row r="817" spans="1:1" x14ac:dyDescent="0.2">
      <c r="A817" s="12" t="str">
        <f t="shared" si="12"/>
        <v/>
      </c>
    </row>
    <row r="818" spans="1:1" x14ac:dyDescent="0.2">
      <c r="A818" s="12" t="str">
        <f t="shared" si="12"/>
        <v/>
      </c>
    </row>
    <row r="819" spans="1:1" x14ac:dyDescent="0.2">
      <c r="A819" s="12" t="str">
        <f t="shared" si="12"/>
        <v/>
      </c>
    </row>
    <row r="820" spans="1:1" x14ac:dyDescent="0.2">
      <c r="A820" s="12" t="str">
        <f t="shared" si="12"/>
        <v/>
      </c>
    </row>
    <row r="821" spans="1:1" x14ac:dyDescent="0.2">
      <c r="A821" s="12" t="str">
        <f t="shared" si="12"/>
        <v/>
      </c>
    </row>
    <row r="822" spans="1:1" x14ac:dyDescent="0.2">
      <c r="A822" s="12" t="str">
        <f t="shared" si="12"/>
        <v/>
      </c>
    </row>
    <row r="823" spans="1:1" x14ac:dyDescent="0.2">
      <c r="A823" s="12" t="str">
        <f t="shared" si="12"/>
        <v/>
      </c>
    </row>
    <row r="824" spans="1:1" x14ac:dyDescent="0.2">
      <c r="A824" s="12" t="str">
        <f t="shared" si="12"/>
        <v/>
      </c>
    </row>
    <row r="825" spans="1:1" x14ac:dyDescent="0.2">
      <c r="A825" s="12" t="str">
        <f t="shared" si="12"/>
        <v/>
      </c>
    </row>
    <row r="826" spans="1:1" x14ac:dyDescent="0.2">
      <c r="A826" s="12" t="str">
        <f t="shared" si="12"/>
        <v/>
      </c>
    </row>
    <row r="827" spans="1:1" x14ac:dyDescent="0.2">
      <c r="A827" s="12" t="str">
        <f t="shared" si="12"/>
        <v/>
      </c>
    </row>
    <row r="828" spans="1:1" x14ac:dyDescent="0.2">
      <c r="A828" s="12" t="str">
        <f t="shared" si="12"/>
        <v/>
      </c>
    </row>
    <row r="829" spans="1:1" x14ac:dyDescent="0.2">
      <c r="A829" s="12" t="str">
        <f t="shared" si="12"/>
        <v/>
      </c>
    </row>
    <row r="830" spans="1:1" x14ac:dyDescent="0.2">
      <c r="A830" s="12" t="str">
        <f t="shared" si="12"/>
        <v/>
      </c>
    </row>
    <row r="831" spans="1:1" x14ac:dyDescent="0.2">
      <c r="A831" s="12" t="str">
        <f t="shared" si="12"/>
        <v/>
      </c>
    </row>
    <row r="832" spans="1:1" x14ac:dyDescent="0.2">
      <c r="A832" s="12" t="str">
        <f t="shared" si="12"/>
        <v/>
      </c>
    </row>
    <row r="833" spans="1:1" x14ac:dyDescent="0.2">
      <c r="A833" s="12" t="str">
        <f t="shared" si="12"/>
        <v/>
      </c>
    </row>
    <row r="834" spans="1:1" x14ac:dyDescent="0.2">
      <c r="A834" s="12" t="str">
        <f t="shared" ref="A834:A897" si="13">IF(INDEX($AJ:$AJ,ROW())="","",HYPERLINK(INDEX($AJ:$AJ,ROW()),"Open"))</f>
        <v/>
      </c>
    </row>
    <row r="835" spans="1:1" x14ac:dyDescent="0.2">
      <c r="A835" s="12" t="str">
        <f t="shared" si="13"/>
        <v/>
      </c>
    </row>
    <row r="836" spans="1:1" x14ac:dyDescent="0.2">
      <c r="A836" s="12" t="str">
        <f t="shared" si="13"/>
        <v/>
      </c>
    </row>
    <row r="837" spans="1:1" x14ac:dyDescent="0.2">
      <c r="A837" s="12" t="str">
        <f t="shared" si="13"/>
        <v/>
      </c>
    </row>
    <row r="838" spans="1:1" x14ac:dyDescent="0.2">
      <c r="A838" s="12" t="str">
        <f t="shared" si="13"/>
        <v/>
      </c>
    </row>
    <row r="839" spans="1:1" x14ac:dyDescent="0.2">
      <c r="A839" s="12" t="str">
        <f t="shared" si="13"/>
        <v/>
      </c>
    </row>
    <row r="840" spans="1:1" x14ac:dyDescent="0.2">
      <c r="A840" s="12" t="str">
        <f t="shared" si="13"/>
        <v/>
      </c>
    </row>
    <row r="841" spans="1:1" x14ac:dyDescent="0.2">
      <c r="A841" s="12" t="str">
        <f t="shared" si="13"/>
        <v/>
      </c>
    </row>
    <row r="842" spans="1:1" x14ac:dyDescent="0.2">
      <c r="A842" s="12" t="str">
        <f t="shared" si="13"/>
        <v/>
      </c>
    </row>
    <row r="843" spans="1:1" x14ac:dyDescent="0.2">
      <c r="A843" s="12" t="str">
        <f t="shared" si="13"/>
        <v/>
      </c>
    </row>
    <row r="844" spans="1:1" x14ac:dyDescent="0.2">
      <c r="A844" s="12" t="str">
        <f t="shared" si="13"/>
        <v/>
      </c>
    </row>
    <row r="845" spans="1:1" x14ac:dyDescent="0.2">
      <c r="A845" s="12" t="str">
        <f t="shared" si="13"/>
        <v/>
      </c>
    </row>
    <row r="846" spans="1:1" x14ac:dyDescent="0.2">
      <c r="A846" s="12" t="str">
        <f t="shared" si="13"/>
        <v/>
      </c>
    </row>
    <row r="847" spans="1:1" x14ac:dyDescent="0.2">
      <c r="A847" s="12" t="str">
        <f t="shared" si="13"/>
        <v/>
      </c>
    </row>
    <row r="848" spans="1:1" x14ac:dyDescent="0.2">
      <c r="A848" s="12" t="str">
        <f t="shared" si="13"/>
        <v/>
      </c>
    </row>
    <row r="849" spans="1:1" x14ac:dyDescent="0.2">
      <c r="A849" s="12" t="str">
        <f t="shared" si="13"/>
        <v/>
      </c>
    </row>
    <row r="850" spans="1:1" x14ac:dyDescent="0.2">
      <c r="A850" s="12" t="str">
        <f t="shared" si="13"/>
        <v/>
      </c>
    </row>
    <row r="851" spans="1:1" x14ac:dyDescent="0.2">
      <c r="A851" s="12" t="str">
        <f t="shared" si="13"/>
        <v/>
      </c>
    </row>
    <row r="852" spans="1:1" x14ac:dyDescent="0.2">
      <c r="A852" s="12" t="str">
        <f t="shared" si="13"/>
        <v/>
      </c>
    </row>
    <row r="853" spans="1:1" x14ac:dyDescent="0.2">
      <c r="A853" s="12" t="str">
        <f t="shared" si="13"/>
        <v/>
      </c>
    </row>
    <row r="854" spans="1:1" x14ac:dyDescent="0.2">
      <c r="A854" s="12" t="str">
        <f t="shared" si="13"/>
        <v/>
      </c>
    </row>
    <row r="855" spans="1:1" x14ac:dyDescent="0.2">
      <c r="A855" s="12" t="str">
        <f t="shared" si="13"/>
        <v/>
      </c>
    </row>
    <row r="856" spans="1:1" x14ac:dyDescent="0.2">
      <c r="A856" s="12" t="str">
        <f t="shared" si="13"/>
        <v/>
      </c>
    </row>
    <row r="857" spans="1:1" x14ac:dyDescent="0.2">
      <c r="A857" s="12" t="str">
        <f t="shared" si="13"/>
        <v/>
      </c>
    </row>
    <row r="858" spans="1:1" x14ac:dyDescent="0.2">
      <c r="A858" s="12" t="str">
        <f t="shared" si="13"/>
        <v/>
      </c>
    </row>
    <row r="859" spans="1:1" x14ac:dyDescent="0.2">
      <c r="A859" s="12" t="str">
        <f t="shared" si="13"/>
        <v/>
      </c>
    </row>
    <row r="860" spans="1:1" x14ac:dyDescent="0.2">
      <c r="A860" s="12" t="str">
        <f t="shared" si="13"/>
        <v/>
      </c>
    </row>
    <row r="861" spans="1:1" x14ac:dyDescent="0.2">
      <c r="A861" s="12" t="str">
        <f t="shared" si="13"/>
        <v/>
      </c>
    </row>
    <row r="862" spans="1:1" x14ac:dyDescent="0.2">
      <c r="A862" s="12" t="str">
        <f t="shared" si="13"/>
        <v/>
      </c>
    </row>
    <row r="863" spans="1:1" x14ac:dyDescent="0.2">
      <c r="A863" s="12" t="str">
        <f t="shared" si="13"/>
        <v/>
      </c>
    </row>
    <row r="864" spans="1:1" x14ac:dyDescent="0.2">
      <c r="A864" s="12" t="str">
        <f t="shared" si="13"/>
        <v/>
      </c>
    </row>
    <row r="865" spans="1:1" x14ac:dyDescent="0.2">
      <c r="A865" s="12" t="str">
        <f t="shared" si="13"/>
        <v/>
      </c>
    </row>
    <row r="866" spans="1:1" x14ac:dyDescent="0.2">
      <c r="A866" s="12" t="str">
        <f t="shared" si="13"/>
        <v/>
      </c>
    </row>
    <row r="867" spans="1:1" x14ac:dyDescent="0.2">
      <c r="A867" s="12" t="str">
        <f t="shared" si="13"/>
        <v/>
      </c>
    </row>
    <row r="868" spans="1:1" x14ac:dyDescent="0.2">
      <c r="A868" s="12" t="str">
        <f t="shared" si="13"/>
        <v/>
      </c>
    </row>
    <row r="869" spans="1:1" x14ac:dyDescent="0.2">
      <c r="A869" s="12" t="str">
        <f t="shared" si="13"/>
        <v/>
      </c>
    </row>
    <row r="870" spans="1:1" x14ac:dyDescent="0.2">
      <c r="A870" s="12" t="str">
        <f t="shared" si="13"/>
        <v/>
      </c>
    </row>
    <row r="871" spans="1:1" x14ac:dyDescent="0.2">
      <c r="A871" s="12" t="str">
        <f t="shared" si="13"/>
        <v/>
      </c>
    </row>
    <row r="872" spans="1:1" x14ac:dyDescent="0.2">
      <c r="A872" s="12" t="str">
        <f t="shared" si="13"/>
        <v/>
      </c>
    </row>
    <row r="873" spans="1:1" x14ac:dyDescent="0.2">
      <c r="A873" s="12" t="str">
        <f t="shared" si="13"/>
        <v/>
      </c>
    </row>
    <row r="874" spans="1:1" x14ac:dyDescent="0.2">
      <c r="A874" s="12" t="str">
        <f t="shared" si="13"/>
        <v/>
      </c>
    </row>
    <row r="875" spans="1:1" x14ac:dyDescent="0.2">
      <c r="A875" s="12" t="str">
        <f t="shared" si="13"/>
        <v/>
      </c>
    </row>
    <row r="876" spans="1:1" x14ac:dyDescent="0.2">
      <c r="A876" s="12" t="str">
        <f t="shared" si="13"/>
        <v/>
      </c>
    </row>
    <row r="877" spans="1:1" x14ac:dyDescent="0.2">
      <c r="A877" s="12" t="str">
        <f t="shared" si="13"/>
        <v/>
      </c>
    </row>
    <row r="878" spans="1:1" x14ac:dyDescent="0.2">
      <c r="A878" s="12" t="str">
        <f t="shared" si="13"/>
        <v/>
      </c>
    </row>
    <row r="879" spans="1:1" x14ac:dyDescent="0.2">
      <c r="A879" s="12" t="str">
        <f t="shared" si="13"/>
        <v/>
      </c>
    </row>
    <row r="880" spans="1:1" x14ac:dyDescent="0.2">
      <c r="A880" s="12" t="str">
        <f t="shared" si="13"/>
        <v/>
      </c>
    </row>
    <row r="881" spans="1:1" x14ac:dyDescent="0.2">
      <c r="A881" s="12" t="str">
        <f t="shared" si="13"/>
        <v/>
      </c>
    </row>
    <row r="882" spans="1:1" x14ac:dyDescent="0.2">
      <c r="A882" s="12" t="str">
        <f t="shared" si="13"/>
        <v/>
      </c>
    </row>
    <row r="883" spans="1:1" x14ac:dyDescent="0.2">
      <c r="A883" s="12" t="str">
        <f t="shared" si="13"/>
        <v/>
      </c>
    </row>
    <row r="884" spans="1:1" x14ac:dyDescent="0.2">
      <c r="A884" s="12" t="str">
        <f t="shared" si="13"/>
        <v/>
      </c>
    </row>
    <row r="885" spans="1:1" x14ac:dyDescent="0.2">
      <c r="A885" s="12" t="str">
        <f t="shared" si="13"/>
        <v/>
      </c>
    </row>
    <row r="886" spans="1:1" x14ac:dyDescent="0.2">
      <c r="A886" s="12" t="str">
        <f t="shared" si="13"/>
        <v/>
      </c>
    </row>
    <row r="887" spans="1:1" x14ac:dyDescent="0.2">
      <c r="A887" s="12" t="str">
        <f t="shared" si="13"/>
        <v/>
      </c>
    </row>
    <row r="888" spans="1:1" x14ac:dyDescent="0.2">
      <c r="A888" s="12" t="str">
        <f t="shared" si="13"/>
        <v/>
      </c>
    </row>
    <row r="889" spans="1:1" x14ac:dyDescent="0.2">
      <c r="A889" s="12" t="str">
        <f t="shared" si="13"/>
        <v/>
      </c>
    </row>
    <row r="890" spans="1:1" x14ac:dyDescent="0.2">
      <c r="A890" s="12" t="str">
        <f t="shared" si="13"/>
        <v/>
      </c>
    </row>
    <row r="891" spans="1:1" x14ac:dyDescent="0.2">
      <c r="A891" s="12" t="str">
        <f t="shared" si="13"/>
        <v/>
      </c>
    </row>
    <row r="892" spans="1:1" x14ac:dyDescent="0.2">
      <c r="A892" s="12" t="str">
        <f t="shared" si="13"/>
        <v/>
      </c>
    </row>
    <row r="893" spans="1:1" x14ac:dyDescent="0.2">
      <c r="A893" s="12" t="str">
        <f t="shared" si="13"/>
        <v/>
      </c>
    </row>
    <row r="894" spans="1:1" x14ac:dyDescent="0.2">
      <c r="A894" s="12" t="str">
        <f t="shared" si="13"/>
        <v/>
      </c>
    </row>
    <row r="895" spans="1:1" x14ac:dyDescent="0.2">
      <c r="A895" s="12" t="str">
        <f t="shared" si="13"/>
        <v/>
      </c>
    </row>
    <row r="896" spans="1:1" x14ac:dyDescent="0.2">
      <c r="A896" s="12" t="str">
        <f t="shared" si="13"/>
        <v/>
      </c>
    </row>
    <row r="897" spans="1:1" x14ac:dyDescent="0.2">
      <c r="A897" s="12" t="str">
        <f t="shared" si="13"/>
        <v/>
      </c>
    </row>
    <row r="898" spans="1:1" x14ac:dyDescent="0.2">
      <c r="A898" s="12" t="str">
        <f t="shared" ref="A898:A961" si="14">IF(INDEX($AJ:$AJ,ROW())="","",HYPERLINK(INDEX($AJ:$AJ,ROW()),"Open"))</f>
        <v/>
      </c>
    </row>
    <row r="899" spans="1:1" x14ac:dyDescent="0.2">
      <c r="A899" s="12" t="str">
        <f t="shared" si="14"/>
        <v/>
      </c>
    </row>
    <row r="900" spans="1:1" x14ac:dyDescent="0.2">
      <c r="A900" s="12" t="str">
        <f t="shared" si="14"/>
        <v/>
      </c>
    </row>
    <row r="901" spans="1:1" x14ac:dyDescent="0.2">
      <c r="A901" s="12" t="str">
        <f t="shared" si="14"/>
        <v/>
      </c>
    </row>
    <row r="902" spans="1:1" x14ac:dyDescent="0.2">
      <c r="A902" s="12" t="str">
        <f t="shared" si="14"/>
        <v/>
      </c>
    </row>
    <row r="903" spans="1:1" x14ac:dyDescent="0.2">
      <c r="A903" s="12" t="str">
        <f t="shared" si="14"/>
        <v/>
      </c>
    </row>
    <row r="904" spans="1:1" x14ac:dyDescent="0.2">
      <c r="A904" s="12" t="str">
        <f t="shared" si="14"/>
        <v/>
      </c>
    </row>
    <row r="905" spans="1:1" x14ac:dyDescent="0.2">
      <c r="A905" s="12" t="str">
        <f t="shared" si="14"/>
        <v/>
      </c>
    </row>
    <row r="906" spans="1:1" x14ac:dyDescent="0.2">
      <c r="A906" s="12" t="str">
        <f t="shared" si="14"/>
        <v/>
      </c>
    </row>
    <row r="907" spans="1:1" x14ac:dyDescent="0.2">
      <c r="A907" s="12" t="str">
        <f t="shared" si="14"/>
        <v/>
      </c>
    </row>
    <row r="908" spans="1:1" x14ac:dyDescent="0.2">
      <c r="A908" s="12" t="str">
        <f t="shared" si="14"/>
        <v/>
      </c>
    </row>
    <row r="909" spans="1:1" x14ac:dyDescent="0.2">
      <c r="A909" s="12" t="str">
        <f t="shared" si="14"/>
        <v/>
      </c>
    </row>
    <row r="910" spans="1:1" x14ac:dyDescent="0.2">
      <c r="A910" s="12" t="str">
        <f t="shared" si="14"/>
        <v/>
      </c>
    </row>
    <row r="911" spans="1:1" x14ac:dyDescent="0.2">
      <c r="A911" s="12" t="str">
        <f t="shared" si="14"/>
        <v/>
      </c>
    </row>
    <row r="912" spans="1:1" x14ac:dyDescent="0.2">
      <c r="A912" s="12" t="str">
        <f t="shared" si="14"/>
        <v/>
      </c>
    </row>
    <row r="913" spans="1:1" x14ac:dyDescent="0.2">
      <c r="A913" s="12" t="str">
        <f t="shared" si="14"/>
        <v/>
      </c>
    </row>
    <row r="914" spans="1:1" x14ac:dyDescent="0.2">
      <c r="A914" s="12" t="str">
        <f t="shared" si="14"/>
        <v/>
      </c>
    </row>
    <row r="915" spans="1:1" x14ac:dyDescent="0.2">
      <c r="A915" s="12" t="str">
        <f t="shared" si="14"/>
        <v/>
      </c>
    </row>
    <row r="916" spans="1:1" x14ac:dyDescent="0.2">
      <c r="A916" s="12" t="str">
        <f t="shared" si="14"/>
        <v/>
      </c>
    </row>
    <row r="917" spans="1:1" x14ac:dyDescent="0.2">
      <c r="A917" s="12" t="str">
        <f t="shared" si="14"/>
        <v/>
      </c>
    </row>
    <row r="918" spans="1:1" x14ac:dyDescent="0.2">
      <c r="A918" s="12" t="str">
        <f t="shared" si="14"/>
        <v/>
      </c>
    </row>
    <row r="919" spans="1:1" x14ac:dyDescent="0.2">
      <c r="A919" s="12" t="str">
        <f t="shared" si="14"/>
        <v/>
      </c>
    </row>
    <row r="920" spans="1:1" x14ac:dyDescent="0.2">
      <c r="A920" s="12" t="str">
        <f t="shared" si="14"/>
        <v/>
      </c>
    </row>
    <row r="921" spans="1:1" x14ac:dyDescent="0.2">
      <c r="A921" s="12" t="str">
        <f t="shared" si="14"/>
        <v/>
      </c>
    </row>
    <row r="922" spans="1:1" x14ac:dyDescent="0.2">
      <c r="A922" s="12" t="str">
        <f t="shared" si="14"/>
        <v/>
      </c>
    </row>
    <row r="923" spans="1:1" x14ac:dyDescent="0.2">
      <c r="A923" s="12" t="str">
        <f t="shared" si="14"/>
        <v/>
      </c>
    </row>
    <row r="924" spans="1:1" x14ac:dyDescent="0.2">
      <c r="A924" s="12" t="str">
        <f t="shared" si="14"/>
        <v/>
      </c>
    </row>
    <row r="925" spans="1:1" x14ac:dyDescent="0.2">
      <c r="A925" s="12" t="str">
        <f t="shared" si="14"/>
        <v/>
      </c>
    </row>
    <row r="926" spans="1:1" x14ac:dyDescent="0.2">
      <c r="A926" s="12" t="str">
        <f t="shared" si="14"/>
        <v/>
      </c>
    </row>
    <row r="927" spans="1:1" x14ac:dyDescent="0.2">
      <c r="A927" s="12" t="str">
        <f t="shared" si="14"/>
        <v/>
      </c>
    </row>
    <row r="928" spans="1:1" x14ac:dyDescent="0.2">
      <c r="A928" s="12" t="str">
        <f t="shared" si="14"/>
        <v/>
      </c>
    </row>
    <row r="929" spans="1:1" x14ac:dyDescent="0.2">
      <c r="A929" s="12" t="str">
        <f t="shared" si="14"/>
        <v/>
      </c>
    </row>
    <row r="930" spans="1:1" x14ac:dyDescent="0.2">
      <c r="A930" s="12" t="str">
        <f t="shared" si="14"/>
        <v/>
      </c>
    </row>
    <row r="931" spans="1:1" x14ac:dyDescent="0.2">
      <c r="A931" s="12" t="str">
        <f t="shared" si="14"/>
        <v/>
      </c>
    </row>
    <row r="932" spans="1:1" x14ac:dyDescent="0.2">
      <c r="A932" s="12" t="str">
        <f t="shared" si="14"/>
        <v/>
      </c>
    </row>
    <row r="933" spans="1:1" x14ac:dyDescent="0.2">
      <c r="A933" s="12" t="str">
        <f t="shared" si="14"/>
        <v/>
      </c>
    </row>
    <row r="934" spans="1:1" x14ac:dyDescent="0.2">
      <c r="A934" s="12" t="str">
        <f t="shared" si="14"/>
        <v/>
      </c>
    </row>
    <row r="935" spans="1:1" x14ac:dyDescent="0.2">
      <c r="A935" s="12" t="str">
        <f t="shared" si="14"/>
        <v/>
      </c>
    </row>
    <row r="936" spans="1:1" x14ac:dyDescent="0.2">
      <c r="A936" s="12" t="str">
        <f t="shared" si="14"/>
        <v/>
      </c>
    </row>
    <row r="937" spans="1:1" x14ac:dyDescent="0.2">
      <c r="A937" s="12" t="str">
        <f t="shared" si="14"/>
        <v/>
      </c>
    </row>
    <row r="938" spans="1:1" x14ac:dyDescent="0.2">
      <c r="A938" s="12" t="str">
        <f t="shared" si="14"/>
        <v/>
      </c>
    </row>
    <row r="939" spans="1:1" x14ac:dyDescent="0.2">
      <c r="A939" s="12" t="str">
        <f t="shared" si="14"/>
        <v/>
      </c>
    </row>
    <row r="940" spans="1:1" x14ac:dyDescent="0.2">
      <c r="A940" s="12" t="str">
        <f t="shared" si="14"/>
        <v/>
      </c>
    </row>
    <row r="941" spans="1:1" x14ac:dyDescent="0.2">
      <c r="A941" s="12" t="str">
        <f t="shared" si="14"/>
        <v/>
      </c>
    </row>
    <row r="942" spans="1:1" x14ac:dyDescent="0.2">
      <c r="A942" s="12" t="str">
        <f t="shared" si="14"/>
        <v/>
      </c>
    </row>
    <row r="943" spans="1:1" x14ac:dyDescent="0.2">
      <c r="A943" s="12" t="str">
        <f t="shared" si="14"/>
        <v/>
      </c>
    </row>
    <row r="944" spans="1:1" x14ac:dyDescent="0.2">
      <c r="A944" s="12" t="str">
        <f t="shared" si="14"/>
        <v/>
      </c>
    </row>
    <row r="945" spans="1:1" x14ac:dyDescent="0.2">
      <c r="A945" s="12" t="str">
        <f t="shared" si="14"/>
        <v/>
      </c>
    </row>
    <row r="946" spans="1:1" x14ac:dyDescent="0.2">
      <c r="A946" s="12" t="str">
        <f t="shared" si="14"/>
        <v/>
      </c>
    </row>
    <row r="947" spans="1:1" x14ac:dyDescent="0.2">
      <c r="A947" s="12" t="str">
        <f t="shared" si="14"/>
        <v/>
      </c>
    </row>
    <row r="948" spans="1:1" x14ac:dyDescent="0.2">
      <c r="A948" s="12" t="str">
        <f t="shared" si="14"/>
        <v/>
      </c>
    </row>
    <row r="949" spans="1:1" x14ac:dyDescent="0.2">
      <c r="A949" s="12" t="str">
        <f t="shared" si="14"/>
        <v/>
      </c>
    </row>
    <row r="950" spans="1:1" x14ac:dyDescent="0.2">
      <c r="A950" s="12" t="str">
        <f t="shared" si="14"/>
        <v/>
      </c>
    </row>
    <row r="951" spans="1:1" x14ac:dyDescent="0.2">
      <c r="A951" s="12" t="str">
        <f t="shared" si="14"/>
        <v/>
      </c>
    </row>
    <row r="952" spans="1:1" x14ac:dyDescent="0.2">
      <c r="A952" s="12" t="str">
        <f t="shared" si="14"/>
        <v/>
      </c>
    </row>
    <row r="953" spans="1:1" x14ac:dyDescent="0.2">
      <c r="A953" s="12" t="str">
        <f t="shared" si="14"/>
        <v/>
      </c>
    </row>
    <row r="954" spans="1:1" x14ac:dyDescent="0.2">
      <c r="A954" s="12" t="str">
        <f t="shared" si="14"/>
        <v/>
      </c>
    </row>
    <row r="955" spans="1:1" x14ac:dyDescent="0.2">
      <c r="A955" s="12" t="str">
        <f t="shared" si="14"/>
        <v/>
      </c>
    </row>
    <row r="956" spans="1:1" x14ac:dyDescent="0.2">
      <c r="A956" s="12" t="str">
        <f t="shared" si="14"/>
        <v/>
      </c>
    </row>
    <row r="957" spans="1:1" x14ac:dyDescent="0.2">
      <c r="A957" s="12" t="str">
        <f t="shared" si="14"/>
        <v/>
      </c>
    </row>
    <row r="958" spans="1:1" x14ac:dyDescent="0.2">
      <c r="A958" s="12" t="str">
        <f t="shared" si="14"/>
        <v/>
      </c>
    </row>
    <row r="959" spans="1:1" x14ac:dyDescent="0.2">
      <c r="A959" s="12" t="str">
        <f t="shared" si="14"/>
        <v/>
      </c>
    </row>
    <row r="960" spans="1:1" x14ac:dyDescent="0.2">
      <c r="A960" s="12" t="str">
        <f t="shared" si="14"/>
        <v/>
      </c>
    </row>
    <row r="961" spans="1:1" x14ac:dyDescent="0.2">
      <c r="A961" s="12" t="str">
        <f t="shared" si="14"/>
        <v/>
      </c>
    </row>
    <row r="962" spans="1:1" x14ac:dyDescent="0.2">
      <c r="A962" s="12" t="str">
        <f t="shared" ref="A962:A1025" si="15">IF(INDEX($AJ:$AJ,ROW())="","",HYPERLINK(INDEX($AJ:$AJ,ROW()),"Open"))</f>
        <v/>
      </c>
    </row>
    <row r="963" spans="1:1" x14ac:dyDescent="0.2">
      <c r="A963" s="12" t="str">
        <f t="shared" si="15"/>
        <v/>
      </c>
    </row>
    <row r="964" spans="1:1" x14ac:dyDescent="0.2">
      <c r="A964" s="12" t="str">
        <f t="shared" si="15"/>
        <v/>
      </c>
    </row>
    <row r="965" spans="1:1" x14ac:dyDescent="0.2">
      <c r="A965" s="12" t="str">
        <f t="shared" si="15"/>
        <v/>
      </c>
    </row>
    <row r="966" spans="1:1" x14ac:dyDescent="0.2">
      <c r="A966" s="12" t="str">
        <f t="shared" si="15"/>
        <v/>
      </c>
    </row>
    <row r="967" spans="1:1" x14ac:dyDescent="0.2">
      <c r="A967" s="12" t="str">
        <f t="shared" si="15"/>
        <v/>
      </c>
    </row>
    <row r="968" spans="1:1" x14ac:dyDescent="0.2">
      <c r="A968" s="12" t="str">
        <f t="shared" si="15"/>
        <v/>
      </c>
    </row>
    <row r="969" spans="1:1" x14ac:dyDescent="0.2">
      <c r="A969" s="12" t="str">
        <f t="shared" si="15"/>
        <v/>
      </c>
    </row>
    <row r="970" spans="1:1" x14ac:dyDescent="0.2">
      <c r="A970" s="12" t="str">
        <f t="shared" si="15"/>
        <v/>
      </c>
    </row>
    <row r="971" spans="1:1" x14ac:dyDescent="0.2">
      <c r="A971" s="12" t="str">
        <f t="shared" si="15"/>
        <v/>
      </c>
    </row>
    <row r="972" spans="1:1" x14ac:dyDescent="0.2">
      <c r="A972" s="12" t="str">
        <f t="shared" si="15"/>
        <v/>
      </c>
    </row>
    <row r="973" spans="1:1" x14ac:dyDescent="0.2">
      <c r="A973" s="12" t="str">
        <f t="shared" si="15"/>
        <v/>
      </c>
    </row>
    <row r="974" spans="1:1" x14ac:dyDescent="0.2">
      <c r="A974" s="12" t="str">
        <f t="shared" si="15"/>
        <v/>
      </c>
    </row>
    <row r="975" spans="1:1" x14ac:dyDescent="0.2">
      <c r="A975" s="12" t="str">
        <f t="shared" si="15"/>
        <v/>
      </c>
    </row>
    <row r="976" spans="1:1" x14ac:dyDescent="0.2">
      <c r="A976" s="12" t="str">
        <f t="shared" si="15"/>
        <v/>
      </c>
    </row>
    <row r="977" spans="1:1" x14ac:dyDescent="0.2">
      <c r="A977" s="12" t="str">
        <f t="shared" si="15"/>
        <v/>
      </c>
    </row>
    <row r="978" spans="1:1" x14ac:dyDescent="0.2">
      <c r="A978" s="12" t="str">
        <f t="shared" si="15"/>
        <v/>
      </c>
    </row>
    <row r="979" spans="1:1" x14ac:dyDescent="0.2">
      <c r="A979" s="12" t="str">
        <f t="shared" si="15"/>
        <v/>
      </c>
    </row>
    <row r="980" spans="1:1" x14ac:dyDescent="0.2">
      <c r="A980" s="12" t="str">
        <f t="shared" si="15"/>
        <v/>
      </c>
    </row>
    <row r="981" spans="1:1" x14ac:dyDescent="0.2">
      <c r="A981" s="12" t="str">
        <f t="shared" si="15"/>
        <v/>
      </c>
    </row>
    <row r="982" spans="1:1" x14ac:dyDescent="0.2">
      <c r="A982" s="12" t="str">
        <f t="shared" si="15"/>
        <v/>
      </c>
    </row>
    <row r="983" spans="1:1" x14ac:dyDescent="0.2">
      <c r="A983" s="12" t="str">
        <f t="shared" si="15"/>
        <v/>
      </c>
    </row>
    <row r="984" spans="1:1" x14ac:dyDescent="0.2">
      <c r="A984" s="12" t="str">
        <f t="shared" si="15"/>
        <v/>
      </c>
    </row>
    <row r="985" spans="1:1" x14ac:dyDescent="0.2">
      <c r="A985" s="12" t="str">
        <f t="shared" si="15"/>
        <v/>
      </c>
    </row>
    <row r="986" spans="1:1" x14ac:dyDescent="0.2">
      <c r="A986" s="12" t="str">
        <f t="shared" si="15"/>
        <v/>
      </c>
    </row>
    <row r="987" spans="1:1" x14ac:dyDescent="0.2">
      <c r="A987" s="12" t="str">
        <f t="shared" si="15"/>
        <v/>
      </c>
    </row>
    <row r="988" spans="1:1" x14ac:dyDescent="0.2">
      <c r="A988" s="12" t="str">
        <f t="shared" si="15"/>
        <v/>
      </c>
    </row>
    <row r="989" spans="1:1" x14ac:dyDescent="0.2">
      <c r="A989" s="12" t="str">
        <f t="shared" si="15"/>
        <v/>
      </c>
    </row>
    <row r="990" spans="1:1" x14ac:dyDescent="0.2">
      <c r="A990" s="12" t="str">
        <f t="shared" si="15"/>
        <v/>
      </c>
    </row>
    <row r="991" spans="1:1" x14ac:dyDescent="0.2">
      <c r="A991" s="12" t="str">
        <f t="shared" si="15"/>
        <v/>
      </c>
    </row>
    <row r="992" spans="1:1" x14ac:dyDescent="0.2">
      <c r="A992" s="12" t="str">
        <f t="shared" si="15"/>
        <v/>
      </c>
    </row>
    <row r="993" spans="1:1" x14ac:dyDescent="0.2">
      <c r="A993" s="12" t="str">
        <f t="shared" si="15"/>
        <v/>
      </c>
    </row>
    <row r="994" spans="1:1" x14ac:dyDescent="0.2">
      <c r="A994" s="12" t="str">
        <f t="shared" si="15"/>
        <v/>
      </c>
    </row>
    <row r="995" spans="1:1" x14ac:dyDescent="0.2">
      <c r="A995" s="12" t="str">
        <f t="shared" si="15"/>
        <v/>
      </c>
    </row>
    <row r="996" spans="1:1" x14ac:dyDescent="0.2">
      <c r="A996" s="12" t="str">
        <f t="shared" si="15"/>
        <v/>
      </c>
    </row>
    <row r="997" spans="1:1" x14ac:dyDescent="0.2">
      <c r="A997" s="12" t="str">
        <f t="shared" si="15"/>
        <v/>
      </c>
    </row>
    <row r="998" spans="1:1" x14ac:dyDescent="0.2">
      <c r="A998" s="12" t="str">
        <f t="shared" si="15"/>
        <v/>
      </c>
    </row>
    <row r="999" spans="1:1" x14ac:dyDescent="0.2">
      <c r="A999" s="12" t="str">
        <f t="shared" si="15"/>
        <v/>
      </c>
    </row>
    <row r="1000" spans="1:1" x14ac:dyDescent="0.2">
      <c r="A1000" s="12" t="str">
        <f t="shared" si="15"/>
        <v/>
      </c>
    </row>
    <row r="1001" spans="1:1" x14ac:dyDescent="0.2">
      <c r="A1001" s="12" t="str">
        <f t="shared" si="15"/>
        <v/>
      </c>
    </row>
    <row r="1002" spans="1:1" x14ac:dyDescent="0.2">
      <c r="A1002" s="12" t="str">
        <f t="shared" si="15"/>
        <v/>
      </c>
    </row>
    <row r="1003" spans="1:1" x14ac:dyDescent="0.2">
      <c r="A1003" s="12" t="str">
        <f t="shared" si="15"/>
        <v/>
      </c>
    </row>
    <row r="1004" spans="1:1" x14ac:dyDescent="0.2">
      <c r="A1004" s="12" t="str">
        <f t="shared" si="15"/>
        <v/>
      </c>
    </row>
    <row r="1005" spans="1:1" x14ac:dyDescent="0.2">
      <c r="A1005" s="12" t="str">
        <f t="shared" si="15"/>
        <v/>
      </c>
    </row>
    <row r="1006" spans="1:1" x14ac:dyDescent="0.2">
      <c r="A1006" s="12" t="str">
        <f t="shared" si="15"/>
        <v/>
      </c>
    </row>
    <row r="1007" spans="1:1" x14ac:dyDescent="0.2">
      <c r="A1007" s="12" t="str">
        <f t="shared" si="15"/>
        <v/>
      </c>
    </row>
    <row r="1008" spans="1:1" x14ac:dyDescent="0.2">
      <c r="A1008" s="12" t="str">
        <f t="shared" si="15"/>
        <v/>
      </c>
    </row>
    <row r="1009" spans="1:1" x14ac:dyDescent="0.2">
      <c r="A1009" s="12" t="str">
        <f t="shared" si="15"/>
        <v/>
      </c>
    </row>
    <row r="1010" spans="1:1" x14ac:dyDescent="0.2">
      <c r="A1010" s="12" t="str">
        <f t="shared" si="15"/>
        <v/>
      </c>
    </row>
    <row r="1011" spans="1:1" x14ac:dyDescent="0.2">
      <c r="A1011" s="12" t="str">
        <f t="shared" si="15"/>
        <v/>
      </c>
    </row>
    <row r="1012" spans="1:1" x14ac:dyDescent="0.2">
      <c r="A1012" s="12" t="str">
        <f t="shared" si="15"/>
        <v/>
      </c>
    </row>
    <row r="1013" spans="1:1" x14ac:dyDescent="0.2">
      <c r="A1013" s="12" t="str">
        <f t="shared" si="15"/>
        <v/>
      </c>
    </row>
    <row r="1014" spans="1:1" x14ac:dyDescent="0.2">
      <c r="A1014" s="12" t="str">
        <f t="shared" si="15"/>
        <v/>
      </c>
    </row>
    <row r="1015" spans="1:1" x14ac:dyDescent="0.2">
      <c r="A1015" s="12" t="str">
        <f t="shared" si="15"/>
        <v/>
      </c>
    </row>
    <row r="1016" spans="1:1" x14ac:dyDescent="0.2">
      <c r="A1016" s="12" t="str">
        <f t="shared" si="15"/>
        <v/>
      </c>
    </row>
    <row r="1017" spans="1:1" x14ac:dyDescent="0.2">
      <c r="A1017" s="12" t="str">
        <f t="shared" si="15"/>
        <v/>
      </c>
    </row>
    <row r="1018" spans="1:1" x14ac:dyDescent="0.2">
      <c r="A1018" s="12" t="str">
        <f t="shared" si="15"/>
        <v/>
      </c>
    </row>
    <row r="1019" spans="1:1" x14ac:dyDescent="0.2">
      <c r="A1019" s="12" t="str">
        <f t="shared" si="15"/>
        <v/>
      </c>
    </row>
    <row r="1020" spans="1:1" x14ac:dyDescent="0.2">
      <c r="A1020" s="12" t="str">
        <f t="shared" si="15"/>
        <v/>
      </c>
    </row>
    <row r="1021" spans="1:1" x14ac:dyDescent="0.2">
      <c r="A1021" s="12" t="str">
        <f t="shared" si="15"/>
        <v/>
      </c>
    </row>
    <row r="1022" spans="1:1" x14ac:dyDescent="0.2">
      <c r="A1022" s="12" t="str">
        <f t="shared" si="15"/>
        <v/>
      </c>
    </row>
    <row r="1023" spans="1:1" x14ac:dyDescent="0.2">
      <c r="A1023" s="12" t="str">
        <f t="shared" si="15"/>
        <v/>
      </c>
    </row>
    <row r="1024" spans="1:1" x14ac:dyDescent="0.2">
      <c r="A1024" s="12" t="str">
        <f t="shared" si="15"/>
        <v/>
      </c>
    </row>
    <row r="1025" spans="1:1" x14ac:dyDescent="0.2">
      <c r="A1025" s="12" t="str">
        <f t="shared" si="15"/>
        <v/>
      </c>
    </row>
    <row r="1026" spans="1:1" x14ac:dyDescent="0.2">
      <c r="A1026" s="12" t="str">
        <f t="shared" ref="A1026:A1089" si="16">IF(INDEX($AJ:$AJ,ROW())="","",HYPERLINK(INDEX($AJ:$AJ,ROW()),"Open"))</f>
        <v/>
      </c>
    </row>
    <row r="1027" spans="1:1" x14ac:dyDescent="0.2">
      <c r="A1027" s="12" t="str">
        <f t="shared" si="16"/>
        <v/>
      </c>
    </row>
    <row r="1028" spans="1:1" x14ac:dyDescent="0.2">
      <c r="A1028" s="12" t="str">
        <f t="shared" si="16"/>
        <v/>
      </c>
    </row>
    <row r="1029" spans="1:1" x14ac:dyDescent="0.2">
      <c r="A1029" s="12" t="str">
        <f t="shared" si="16"/>
        <v/>
      </c>
    </row>
    <row r="1030" spans="1:1" x14ac:dyDescent="0.2">
      <c r="A1030" s="12" t="str">
        <f t="shared" si="16"/>
        <v/>
      </c>
    </row>
    <row r="1031" spans="1:1" x14ac:dyDescent="0.2">
      <c r="A1031" s="12" t="str">
        <f t="shared" si="16"/>
        <v/>
      </c>
    </row>
    <row r="1032" spans="1:1" x14ac:dyDescent="0.2">
      <c r="A1032" s="12" t="str">
        <f t="shared" si="16"/>
        <v/>
      </c>
    </row>
    <row r="1033" spans="1:1" x14ac:dyDescent="0.2">
      <c r="A1033" s="12" t="str">
        <f t="shared" si="16"/>
        <v/>
      </c>
    </row>
    <row r="1034" spans="1:1" x14ac:dyDescent="0.2">
      <c r="A1034" s="12" t="str">
        <f t="shared" si="16"/>
        <v/>
      </c>
    </row>
    <row r="1035" spans="1:1" x14ac:dyDescent="0.2">
      <c r="A1035" s="12" t="str">
        <f t="shared" si="16"/>
        <v/>
      </c>
    </row>
    <row r="1036" spans="1:1" x14ac:dyDescent="0.2">
      <c r="A1036" s="12" t="str">
        <f t="shared" si="16"/>
        <v/>
      </c>
    </row>
    <row r="1037" spans="1:1" x14ac:dyDescent="0.2">
      <c r="A1037" s="12" t="str">
        <f t="shared" si="16"/>
        <v/>
      </c>
    </row>
    <row r="1038" spans="1:1" x14ac:dyDescent="0.2">
      <c r="A1038" s="12" t="str">
        <f t="shared" si="16"/>
        <v/>
      </c>
    </row>
    <row r="1039" spans="1:1" x14ac:dyDescent="0.2">
      <c r="A1039" s="12" t="str">
        <f t="shared" si="16"/>
        <v/>
      </c>
    </row>
    <row r="1040" spans="1:1" x14ac:dyDescent="0.2">
      <c r="A1040" s="12" t="str">
        <f t="shared" si="16"/>
        <v/>
      </c>
    </row>
    <row r="1041" spans="1:1" x14ac:dyDescent="0.2">
      <c r="A1041" s="12" t="str">
        <f t="shared" si="16"/>
        <v/>
      </c>
    </row>
    <row r="1042" spans="1:1" x14ac:dyDescent="0.2">
      <c r="A1042" s="12" t="str">
        <f t="shared" si="16"/>
        <v/>
      </c>
    </row>
    <row r="1043" spans="1:1" x14ac:dyDescent="0.2">
      <c r="A1043" s="12" t="str">
        <f t="shared" si="16"/>
        <v/>
      </c>
    </row>
    <row r="1044" spans="1:1" x14ac:dyDescent="0.2">
      <c r="A1044" s="12" t="str">
        <f t="shared" si="16"/>
        <v/>
      </c>
    </row>
    <row r="1045" spans="1:1" x14ac:dyDescent="0.2">
      <c r="A1045" s="12" t="str">
        <f t="shared" si="16"/>
        <v/>
      </c>
    </row>
    <row r="1046" spans="1:1" x14ac:dyDescent="0.2">
      <c r="A1046" s="12" t="str">
        <f t="shared" si="16"/>
        <v/>
      </c>
    </row>
    <row r="1047" spans="1:1" x14ac:dyDescent="0.2">
      <c r="A1047" s="12" t="str">
        <f t="shared" si="16"/>
        <v/>
      </c>
    </row>
    <row r="1048" spans="1:1" x14ac:dyDescent="0.2">
      <c r="A1048" s="12" t="str">
        <f t="shared" si="16"/>
        <v/>
      </c>
    </row>
    <row r="1049" spans="1:1" x14ac:dyDescent="0.2">
      <c r="A1049" s="12" t="str">
        <f t="shared" si="16"/>
        <v/>
      </c>
    </row>
    <row r="1050" spans="1:1" x14ac:dyDescent="0.2">
      <c r="A1050" s="12" t="str">
        <f t="shared" si="16"/>
        <v/>
      </c>
    </row>
    <row r="1051" spans="1:1" x14ac:dyDescent="0.2">
      <c r="A1051" s="12" t="str">
        <f t="shared" si="16"/>
        <v/>
      </c>
    </row>
    <row r="1052" spans="1:1" x14ac:dyDescent="0.2">
      <c r="A1052" s="12" t="str">
        <f t="shared" si="16"/>
        <v/>
      </c>
    </row>
    <row r="1053" spans="1:1" x14ac:dyDescent="0.2">
      <c r="A1053" s="12" t="str">
        <f t="shared" si="16"/>
        <v/>
      </c>
    </row>
    <row r="1054" spans="1:1" x14ac:dyDescent="0.2">
      <c r="A1054" s="12" t="str">
        <f t="shared" si="16"/>
        <v/>
      </c>
    </row>
    <row r="1055" spans="1:1" x14ac:dyDescent="0.2">
      <c r="A1055" s="12" t="str">
        <f t="shared" si="16"/>
        <v/>
      </c>
    </row>
    <row r="1056" spans="1:1" x14ac:dyDescent="0.2">
      <c r="A1056" s="12" t="str">
        <f t="shared" si="16"/>
        <v/>
      </c>
    </row>
    <row r="1057" spans="1:1" x14ac:dyDescent="0.2">
      <c r="A1057" s="12" t="str">
        <f t="shared" si="16"/>
        <v/>
      </c>
    </row>
    <row r="1058" spans="1:1" x14ac:dyDescent="0.2">
      <c r="A1058" s="12" t="str">
        <f t="shared" si="16"/>
        <v/>
      </c>
    </row>
    <row r="1059" spans="1:1" x14ac:dyDescent="0.2">
      <c r="A1059" s="12" t="str">
        <f t="shared" si="16"/>
        <v/>
      </c>
    </row>
    <row r="1060" spans="1:1" x14ac:dyDescent="0.2">
      <c r="A1060" s="12" t="str">
        <f t="shared" si="16"/>
        <v/>
      </c>
    </row>
    <row r="1061" spans="1:1" x14ac:dyDescent="0.2">
      <c r="A1061" s="12" t="str">
        <f t="shared" si="16"/>
        <v/>
      </c>
    </row>
    <row r="1062" spans="1:1" x14ac:dyDescent="0.2">
      <c r="A1062" s="12" t="str">
        <f t="shared" si="16"/>
        <v/>
      </c>
    </row>
    <row r="1063" spans="1:1" x14ac:dyDescent="0.2">
      <c r="A1063" s="12" t="str">
        <f t="shared" si="16"/>
        <v/>
      </c>
    </row>
    <row r="1064" spans="1:1" x14ac:dyDescent="0.2">
      <c r="A1064" s="12" t="str">
        <f t="shared" si="16"/>
        <v/>
      </c>
    </row>
    <row r="1065" spans="1:1" x14ac:dyDescent="0.2">
      <c r="A1065" s="12" t="str">
        <f t="shared" si="16"/>
        <v/>
      </c>
    </row>
    <row r="1066" spans="1:1" x14ac:dyDescent="0.2">
      <c r="A1066" s="12" t="str">
        <f t="shared" si="16"/>
        <v/>
      </c>
    </row>
    <row r="1067" spans="1:1" x14ac:dyDescent="0.2">
      <c r="A1067" s="12" t="str">
        <f t="shared" si="16"/>
        <v/>
      </c>
    </row>
    <row r="1068" spans="1:1" x14ac:dyDescent="0.2">
      <c r="A1068" s="12" t="str">
        <f t="shared" si="16"/>
        <v/>
      </c>
    </row>
    <row r="1069" spans="1:1" x14ac:dyDescent="0.2">
      <c r="A1069" s="12" t="str">
        <f t="shared" si="16"/>
        <v/>
      </c>
    </row>
    <row r="1070" spans="1:1" x14ac:dyDescent="0.2">
      <c r="A1070" s="12" t="str">
        <f t="shared" si="16"/>
        <v/>
      </c>
    </row>
    <row r="1071" spans="1:1" x14ac:dyDescent="0.2">
      <c r="A1071" s="12" t="str">
        <f t="shared" si="16"/>
        <v/>
      </c>
    </row>
    <row r="1072" spans="1:1" x14ac:dyDescent="0.2">
      <c r="A1072" s="12" t="str">
        <f t="shared" si="16"/>
        <v/>
      </c>
    </row>
    <row r="1073" spans="1:1" x14ac:dyDescent="0.2">
      <c r="A1073" s="12" t="str">
        <f t="shared" si="16"/>
        <v/>
      </c>
    </row>
    <row r="1074" spans="1:1" x14ac:dyDescent="0.2">
      <c r="A1074" s="12" t="str">
        <f t="shared" si="16"/>
        <v/>
      </c>
    </row>
    <row r="1075" spans="1:1" x14ac:dyDescent="0.2">
      <c r="A1075" s="12" t="str">
        <f t="shared" si="16"/>
        <v/>
      </c>
    </row>
    <row r="1076" spans="1:1" x14ac:dyDescent="0.2">
      <c r="A1076" s="12" t="str">
        <f t="shared" si="16"/>
        <v/>
      </c>
    </row>
    <row r="1077" spans="1:1" x14ac:dyDescent="0.2">
      <c r="A1077" s="12" t="str">
        <f t="shared" si="16"/>
        <v/>
      </c>
    </row>
    <row r="1078" spans="1:1" x14ac:dyDescent="0.2">
      <c r="A1078" s="12" t="str">
        <f t="shared" si="16"/>
        <v/>
      </c>
    </row>
    <row r="1079" spans="1:1" x14ac:dyDescent="0.2">
      <c r="A1079" s="12" t="str">
        <f t="shared" si="16"/>
        <v/>
      </c>
    </row>
    <row r="1080" spans="1:1" x14ac:dyDescent="0.2">
      <c r="A1080" s="12" t="str">
        <f t="shared" si="16"/>
        <v/>
      </c>
    </row>
    <row r="1081" spans="1:1" x14ac:dyDescent="0.2">
      <c r="A1081" s="12" t="str">
        <f t="shared" si="16"/>
        <v/>
      </c>
    </row>
    <row r="1082" spans="1:1" x14ac:dyDescent="0.2">
      <c r="A1082" s="12" t="str">
        <f t="shared" si="16"/>
        <v/>
      </c>
    </row>
    <row r="1083" spans="1:1" x14ac:dyDescent="0.2">
      <c r="A1083" s="12" t="str">
        <f t="shared" si="16"/>
        <v/>
      </c>
    </row>
    <row r="1084" spans="1:1" x14ac:dyDescent="0.2">
      <c r="A1084" s="12" t="str">
        <f t="shared" si="16"/>
        <v/>
      </c>
    </row>
    <row r="1085" spans="1:1" x14ac:dyDescent="0.2">
      <c r="A1085" s="12" t="str">
        <f t="shared" si="16"/>
        <v/>
      </c>
    </row>
    <row r="1086" spans="1:1" x14ac:dyDescent="0.2">
      <c r="A1086" s="12" t="str">
        <f t="shared" si="16"/>
        <v/>
      </c>
    </row>
    <row r="1087" spans="1:1" x14ac:dyDescent="0.2">
      <c r="A1087" s="12" t="str">
        <f t="shared" si="16"/>
        <v/>
      </c>
    </row>
    <row r="1088" spans="1:1" x14ac:dyDescent="0.2">
      <c r="A1088" s="12" t="str">
        <f t="shared" si="16"/>
        <v/>
      </c>
    </row>
    <row r="1089" spans="1:1" x14ac:dyDescent="0.2">
      <c r="A1089" s="12" t="str">
        <f t="shared" si="16"/>
        <v/>
      </c>
    </row>
    <row r="1090" spans="1:1" x14ac:dyDescent="0.2">
      <c r="A1090" s="12" t="str">
        <f t="shared" ref="A1090:A1153" si="17">IF(INDEX($AJ:$AJ,ROW())="","",HYPERLINK(INDEX($AJ:$AJ,ROW()),"Open"))</f>
        <v/>
      </c>
    </row>
    <row r="1091" spans="1:1" x14ac:dyDescent="0.2">
      <c r="A1091" s="12" t="str">
        <f t="shared" si="17"/>
        <v/>
      </c>
    </row>
    <row r="1092" spans="1:1" x14ac:dyDescent="0.2">
      <c r="A1092" s="12" t="str">
        <f t="shared" si="17"/>
        <v/>
      </c>
    </row>
    <row r="1093" spans="1:1" x14ac:dyDescent="0.2">
      <c r="A1093" s="12" t="str">
        <f t="shared" si="17"/>
        <v/>
      </c>
    </row>
    <row r="1094" spans="1:1" x14ac:dyDescent="0.2">
      <c r="A1094" s="12" t="str">
        <f t="shared" si="17"/>
        <v/>
      </c>
    </row>
    <row r="1095" spans="1:1" x14ac:dyDescent="0.2">
      <c r="A1095" s="12" t="str">
        <f t="shared" si="17"/>
        <v/>
      </c>
    </row>
    <row r="1096" spans="1:1" x14ac:dyDescent="0.2">
      <c r="A1096" s="12" t="str">
        <f t="shared" si="17"/>
        <v/>
      </c>
    </row>
    <row r="1097" spans="1:1" x14ac:dyDescent="0.2">
      <c r="A1097" s="12" t="str">
        <f t="shared" si="17"/>
        <v/>
      </c>
    </row>
    <row r="1098" spans="1:1" x14ac:dyDescent="0.2">
      <c r="A1098" s="12" t="str">
        <f t="shared" si="17"/>
        <v/>
      </c>
    </row>
    <row r="1099" spans="1:1" x14ac:dyDescent="0.2">
      <c r="A1099" s="12" t="str">
        <f t="shared" si="17"/>
        <v/>
      </c>
    </row>
    <row r="1100" spans="1:1" x14ac:dyDescent="0.2">
      <c r="A1100" s="12" t="str">
        <f t="shared" si="17"/>
        <v/>
      </c>
    </row>
    <row r="1101" spans="1:1" x14ac:dyDescent="0.2">
      <c r="A1101" s="12" t="str">
        <f t="shared" si="17"/>
        <v/>
      </c>
    </row>
    <row r="1102" spans="1:1" x14ac:dyDescent="0.2">
      <c r="A1102" s="12" t="str">
        <f t="shared" si="17"/>
        <v/>
      </c>
    </row>
    <row r="1103" spans="1:1" x14ac:dyDescent="0.2">
      <c r="A1103" s="12" t="str">
        <f t="shared" si="17"/>
        <v/>
      </c>
    </row>
    <row r="1104" spans="1:1" x14ac:dyDescent="0.2">
      <c r="A1104" s="12" t="str">
        <f t="shared" si="17"/>
        <v/>
      </c>
    </row>
    <row r="1105" spans="1:1" x14ac:dyDescent="0.2">
      <c r="A1105" s="12" t="str">
        <f t="shared" si="17"/>
        <v/>
      </c>
    </row>
    <row r="1106" spans="1:1" x14ac:dyDescent="0.2">
      <c r="A1106" s="12" t="str">
        <f t="shared" si="17"/>
        <v/>
      </c>
    </row>
    <row r="1107" spans="1:1" x14ac:dyDescent="0.2">
      <c r="A1107" s="12" t="str">
        <f t="shared" si="17"/>
        <v/>
      </c>
    </row>
    <row r="1108" spans="1:1" x14ac:dyDescent="0.2">
      <c r="A1108" s="12" t="str">
        <f t="shared" si="17"/>
        <v/>
      </c>
    </row>
    <row r="1109" spans="1:1" x14ac:dyDescent="0.2">
      <c r="A1109" s="12" t="str">
        <f t="shared" si="17"/>
        <v/>
      </c>
    </row>
    <row r="1110" spans="1:1" x14ac:dyDescent="0.2">
      <c r="A1110" s="12" t="str">
        <f t="shared" si="17"/>
        <v/>
      </c>
    </row>
    <row r="1111" spans="1:1" x14ac:dyDescent="0.2">
      <c r="A1111" s="12" t="str">
        <f t="shared" si="17"/>
        <v/>
      </c>
    </row>
    <row r="1112" spans="1:1" x14ac:dyDescent="0.2">
      <c r="A1112" s="12" t="str">
        <f t="shared" si="17"/>
        <v/>
      </c>
    </row>
    <row r="1113" spans="1:1" x14ac:dyDescent="0.2">
      <c r="A1113" s="12" t="str">
        <f t="shared" si="17"/>
        <v/>
      </c>
    </row>
    <row r="1114" spans="1:1" x14ac:dyDescent="0.2">
      <c r="A1114" s="12" t="str">
        <f t="shared" si="17"/>
        <v/>
      </c>
    </row>
    <row r="1115" spans="1:1" x14ac:dyDescent="0.2">
      <c r="A1115" s="12" t="str">
        <f t="shared" si="17"/>
        <v/>
      </c>
    </row>
    <row r="1116" spans="1:1" x14ac:dyDescent="0.2">
      <c r="A1116" s="12" t="str">
        <f t="shared" si="17"/>
        <v/>
      </c>
    </row>
    <row r="1117" spans="1:1" x14ac:dyDescent="0.2">
      <c r="A1117" s="12" t="str">
        <f t="shared" si="17"/>
        <v/>
      </c>
    </row>
    <row r="1118" spans="1:1" x14ac:dyDescent="0.2">
      <c r="A1118" s="12" t="str">
        <f t="shared" si="17"/>
        <v/>
      </c>
    </row>
    <row r="1119" spans="1:1" x14ac:dyDescent="0.2">
      <c r="A1119" s="12" t="str">
        <f t="shared" si="17"/>
        <v/>
      </c>
    </row>
    <row r="1120" spans="1:1" x14ac:dyDescent="0.2">
      <c r="A1120" s="12" t="str">
        <f t="shared" si="17"/>
        <v/>
      </c>
    </row>
    <row r="1121" spans="1:1" x14ac:dyDescent="0.2">
      <c r="A1121" s="12" t="str">
        <f t="shared" si="17"/>
        <v/>
      </c>
    </row>
    <row r="1122" spans="1:1" x14ac:dyDescent="0.2">
      <c r="A1122" s="12" t="str">
        <f t="shared" si="17"/>
        <v/>
      </c>
    </row>
    <row r="1123" spans="1:1" x14ac:dyDescent="0.2">
      <c r="A1123" s="12" t="str">
        <f t="shared" si="17"/>
        <v/>
      </c>
    </row>
    <row r="1124" spans="1:1" x14ac:dyDescent="0.2">
      <c r="A1124" s="12" t="str">
        <f t="shared" si="17"/>
        <v/>
      </c>
    </row>
    <row r="1125" spans="1:1" x14ac:dyDescent="0.2">
      <c r="A1125" s="12" t="str">
        <f t="shared" si="17"/>
        <v/>
      </c>
    </row>
    <row r="1126" spans="1:1" x14ac:dyDescent="0.2">
      <c r="A1126" s="12" t="str">
        <f t="shared" si="17"/>
        <v/>
      </c>
    </row>
    <row r="1127" spans="1:1" x14ac:dyDescent="0.2">
      <c r="A1127" s="12" t="str">
        <f t="shared" si="17"/>
        <v/>
      </c>
    </row>
    <row r="1128" spans="1:1" x14ac:dyDescent="0.2">
      <c r="A1128" s="12" t="str">
        <f t="shared" si="17"/>
        <v/>
      </c>
    </row>
    <row r="1129" spans="1:1" x14ac:dyDescent="0.2">
      <c r="A1129" s="12" t="str">
        <f t="shared" si="17"/>
        <v/>
      </c>
    </row>
    <row r="1130" spans="1:1" x14ac:dyDescent="0.2">
      <c r="A1130" s="12" t="str">
        <f t="shared" si="17"/>
        <v/>
      </c>
    </row>
    <row r="1131" spans="1:1" x14ac:dyDescent="0.2">
      <c r="A1131" s="12" t="str">
        <f t="shared" si="17"/>
        <v/>
      </c>
    </row>
    <row r="1132" spans="1:1" x14ac:dyDescent="0.2">
      <c r="A1132" s="12" t="str">
        <f t="shared" si="17"/>
        <v/>
      </c>
    </row>
    <row r="1133" spans="1:1" x14ac:dyDescent="0.2">
      <c r="A1133" s="12" t="str">
        <f t="shared" si="17"/>
        <v/>
      </c>
    </row>
    <row r="1134" spans="1:1" x14ac:dyDescent="0.2">
      <c r="A1134" s="12" t="str">
        <f t="shared" si="17"/>
        <v/>
      </c>
    </row>
    <row r="1135" spans="1:1" x14ac:dyDescent="0.2">
      <c r="A1135" s="12" t="str">
        <f t="shared" si="17"/>
        <v/>
      </c>
    </row>
    <row r="1136" spans="1:1" x14ac:dyDescent="0.2">
      <c r="A1136" s="12" t="str">
        <f t="shared" si="17"/>
        <v/>
      </c>
    </row>
    <row r="1137" spans="1:1" x14ac:dyDescent="0.2">
      <c r="A1137" s="12" t="str">
        <f t="shared" si="17"/>
        <v/>
      </c>
    </row>
    <row r="1138" spans="1:1" x14ac:dyDescent="0.2">
      <c r="A1138" s="12" t="str">
        <f t="shared" si="17"/>
        <v/>
      </c>
    </row>
    <row r="1139" spans="1:1" x14ac:dyDescent="0.2">
      <c r="A1139" s="12" t="str">
        <f t="shared" si="17"/>
        <v/>
      </c>
    </row>
    <row r="1140" spans="1:1" x14ac:dyDescent="0.2">
      <c r="A1140" s="12" t="str">
        <f t="shared" si="17"/>
        <v/>
      </c>
    </row>
    <row r="1141" spans="1:1" x14ac:dyDescent="0.2">
      <c r="A1141" s="12" t="str">
        <f t="shared" si="17"/>
        <v/>
      </c>
    </row>
    <row r="1142" spans="1:1" x14ac:dyDescent="0.2">
      <c r="A1142" s="12" t="str">
        <f t="shared" si="17"/>
        <v/>
      </c>
    </row>
    <row r="1143" spans="1:1" x14ac:dyDescent="0.2">
      <c r="A1143" s="12" t="str">
        <f t="shared" si="17"/>
        <v/>
      </c>
    </row>
    <row r="1144" spans="1:1" x14ac:dyDescent="0.2">
      <c r="A1144" s="12" t="str">
        <f t="shared" si="17"/>
        <v/>
      </c>
    </row>
    <row r="1145" spans="1:1" x14ac:dyDescent="0.2">
      <c r="A1145" s="12" t="str">
        <f t="shared" si="17"/>
        <v/>
      </c>
    </row>
    <row r="1146" spans="1:1" x14ac:dyDescent="0.2">
      <c r="A1146" s="12" t="str">
        <f t="shared" si="17"/>
        <v/>
      </c>
    </row>
    <row r="1147" spans="1:1" x14ac:dyDescent="0.2">
      <c r="A1147" s="12" t="str">
        <f t="shared" si="17"/>
        <v/>
      </c>
    </row>
    <row r="1148" spans="1:1" x14ac:dyDescent="0.2">
      <c r="A1148" s="12" t="str">
        <f t="shared" si="17"/>
        <v/>
      </c>
    </row>
    <row r="1149" spans="1:1" x14ac:dyDescent="0.2">
      <c r="A1149" s="12" t="str">
        <f t="shared" si="17"/>
        <v/>
      </c>
    </row>
    <row r="1150" spans="1:1" x14ac:dyDescent="0.2">
      <c r="A1150" s="12" t="str">
        <f t="shared" si="17"/>
        <v/>
      </c>
    </row>
    <row r="1151" spans="1:1" x14ac:dyDescent="0.2">
      <c r="A1151" s="12" t="str">
        <f t="shared" si="17"/>
        <v/>
      </c>
    </row>
    <row r="1152" spans="1:1" x14ac:dyDescent="0.2">
      <c r="A1152" s="12" t="str">
        <f t="shared" si="17"/>
        <v/>
      </c>
    </row>
    <row r="1153" spans="1:1" x14ac:dyDescent="0.2">
      <c r="A1153" s="12" t="str">
        <f t="shared" si="17"/>
        <v/>
      </c>
    </row>
    <row r="1154" spans="1:1" x14ac:dyDescent="0.2">
      <c r="A1154" s="12" t="str">
        <f t="shared" ref="A1154:A1217" si="18">IF(INDEX($AJ:$AJ,ROW())="","",HYPERLINK(INDEX($AJ:$AJ,ROW()),"Open"))</f>
        <v/>
      </c>
    </row>
    <row r="1155" spans="1:1" x14ac:dyDescent="0.2">
      <c r="A1155" s="12" t="str">
        <f t="shared" si="18"/>
        <v/>
      </c>
    </row>
    <row r="1156" spans="1:1" x14ac:dyDescent="0.2">
      <c r="A1156" s="12" t="str">
        <f t="shared" si="18"/>
        <v/>
      </c>
    </row>
    <row r="1157" spans="1:1" x14ac:dyDescent="0.2">
      <c r="A1157" s="12" t="str">
        <f t="shared" si="18"/>
        <v/>
      </c>
    </row>
    <row r="1158" spans="1:1" x14ac:dyDescent="0.2">
      <c r="A1158" s="12" t="str">
        <f t="shared" si="18"/>
        <v/>
      </c>
    </row>
    <row r="1159" spans="1:1" x14ac:dyDescent="0.2">
      <c r="A1159" s="12" t="str">
        <f t="shared" si="18"/>
        <v/>
      </c>
    </row>
    <row r="1160" spans="1:1" x14ac:dyDescent="0.2">
      <c r="A1160" s="12" t="str">
        <f t="shared" si="18"/>
        <v/>
      </c>
    </row>
    <row r="1161" spans="1:1" x14ac:dyDescent="0.2">
      <c r="A1161" s="12" t="str">
        <f t="shared" si="18"/>
        <v/>
      </c>
    </row>
    <row r="1162" spans="1:1" x14ac:dyDescent="0.2">
      <c r="A1162" s="12" t="str">
        <f t="shared" si="18"/>
        <v/>
      </c>
    </row>
    <row r="1163" spans="1:1" x14ac:dyDescent="0.2">
      <c r="A1163" s="12" t="str">
        <f t="shared" si="18"/>
        <v/>
      </c>
    </row>
    <row r="1164" spans="1:1" x14ac:dyDescent="0.2">
      <c r="A1164" s="12" t="str">
        <f t="shared" si="18"/>
        <v/>
      </c>
    </row>
    <row r="1165" spans="1:1" x14ac:dyDescent="0.2">
      <c r="A1165" s="12" t="str">
        <f t="shared" si="18"/>
        <v/>
      </c>
    </row>
    <row r="1166" spans="1:1" x14ac:dyDescent="0.2">
      <c r="A1166" s="12" t="str">
        <f t="shared" si="18"/>
        <v/>
      </c>
    </row>
    <row r="1167" spans="1:1" x14ac:dyDescent="0.2">
      <c r="A1167" s="12" t="str">
        <f t="shared" si="18"/>
        <v/>
      </c>
    </row>
    <row r="1168" spans="1:1" x14ac:dyDescent="0.2">
      <c r="A1168" s="12" t="str">
        <f t="shared" si="18"/>
        <v/>
      </c>
    </row>
    <row r="1169" spans="1:1" x14ac:dyDescent="0.2">
      <c r="A1169" s="12" t="str">
        <f t="shared" si="18"/>
        <v/>
      </c>
    </row>
    <row r="1170" spans="1:1" x14ac:dyDescent="0.2">
      <c r="A1170" s="12" t="str">
        <f t="shared" si="18"/>
        <v/>
      </c>
    </row>
    <row r="1171" spans="1:1" x14ac:dyDescent="0.2">
      <c r="A1171" s="12" t="str">
        <f t="shared" si="18"/>
        <v/>
      </c>
    </row>
    <row r="1172" spans="1:1" x14ac:dyDescent="0.2">
      <c r="A1172" s="12" t="str">
        <f t="shared" si="18"/>
        <v/>
      </c>
    </row>
    <row r="1173" spans="1:1" x14ac:dyDescent="0.2">
      <c r="A1173" s="12" t="str">
        <f t="shared" si="18"/>
        <v/>
      </c>
    </row>
    <row r="1174" spans="1:1" x14ac:dyDescent="0.2">
      <c r="A1174" s="12" t="str">
        <f t="shared" si="18"/>
        <v/>
      </c>
    </row>
    <row r="1175" spans="1:1" x14ac:dyDescent="0.2">
      <c r="A1175" s="12" t="str">
        <f t="shared" si="18"/>
        <v/>
      </c>
    </row>
    <row r="1176" spans="1:1" x14ac:dyDescent="0.2">
      <c r="A1176" s="12" t="str">
        <f t="shared" si="18"/>
        <v/>
      </c>
    </row>
    <row r="1177" spans="1:1" x14ac:dyDescent="0.2">
      <c r="A1177" s="12" t="str">
        <f t="shared" si="18"/>
        <v/>
      </c>
    </row>
    <row r="1178" spans="1:1" x14ac:dyDescent="0.2">
      <c r="A1178" s="12" t="str">
        <f t="shared" si="18"/>
        <v/>
      </c>
    </row>
    <row r="1179" spans="1:1" x14ac:dyDescent="0.2">
      <c r="A1179" s="12" t="str">
        <f t="shared" si="18"/>
        <v/>
      </c>
    </row>
    <row r="1180" spans="1:1" x14ac:dyDescent="0.2">
      <c r="A1180" s="12" t="str">
        <f t="shared" si="18"/>
        <v/>
      </c>
    </row>
    <row r="1181" spans="1:1" x14ac:dyDescent="0.2">
      <c r="A1181" s="12" t="str">
        <f t="shared" si="18"/>
        <v/>
      </c>
    </row>
    <row r="1182" spans="1:1" x14ac:dyDescent="0.2">
      <c r="A1182" s="12" t="str">
        <f t="shared" si="18"/>
        <v/>
      </c>
    </row>
    <row r="1183" spans="1:1" x14ac:dyDescent="0.2">
      <c r="A1183" s="12" t="str">
        <f t="shared" si="18"/>
        <v/>
      </c>
    </row>
    <row r="1184" spans="1:1" x14ac:dyDescent="0.2">
      <c r="A1184" s="12" t="str">
        <f t="shared" si="18"/>
        <v/>
      </c>
    </row>
    <row r="1185" spans="1:1" x14ac:dyDescent="0.2">
      <c r="A1185" s="12" t="str">
        <f t="shared" si="18"/>
        <v/>
      </c>
    </row>
    <row r="1186" spans="1:1" x14ac:dyDescent="0.2">
      <c r="A1186" s="12" t="str">
        <f t="shared" si="18"/>
        <v/>
      </c>
    </row>
    <row r="1187" spans="1:1" x14ac:dyDescent="0.2">
      <c r="A1187" s="12" t="str">
        <f t="shared" si="18"/>
        <v/>
      </c>
    </row>
    <row r="1188" spans="1:1" x14ac:dyDescent="0.2">
      <c r="A1188" s="12" t="str">
        <f t="shared" si="18"/>
        <v/>
      </c>
    </row>
    <row r="1189" spans="1:1" x14ac:dyDescent="0.2">
      <c r="A1189" s="12" t="str">
        <f t="shared" si="18"/>
        <v/>
      </c>
    </row>
    <row r="1190" spans="1:1" x14ac:dyDescent="0.2">
      <c r="A1190" s="12" t="str">
        <f t="shared" si="18"/>
        <v/>
      </c>
    </row>
    <row r="1191" spans="1:1" x14ac:dyDescent="0.2">
      <c r="A1191" s="12" t="str">
        <f t="shared" si="18"/>
        <v/>
      </c>
    </row>
    <row r="1192" spans="1:1" x14ac:dyDescent="0.2">
      <c r="A1192" s="12" t="str">
        <f t="shared" si="18"/>
        <v/>
      </c>
    </row>
    <row r="1193" spans="1:1" x14ac:dyDescent="0.2">
      <c r="A1193" s="12" t="str">
        <f t="shared" si="18"/>
        <v/>
      </c>
    </row>
    <row r="1194" spans="1:1" x14ac:dyDescent="0.2">
      <c r="A1194" s="12" t="str">
        <f t="shared" si="18"/>
        <v/>
      </c>
    </row>
    <row r="1195" spans="1:1" x14ac:dyDescent="0.2">
      <c r="A1195" s="12" t="str">
        <f t="shared" si="18"/>
        <v/>
      </c>
    </row>
    <row r="1196" spans="1:1" x14ac:dyDescent="0.2">
      <c r="A1196" s="12" t="str">
        <f t="shared" si="18"/>
        <v/>
      </c>
    </row>
    <row r="1197" spans="1:1" x14ac:dyDescent="0.2">
      <c r="A1197" s="12" t="str">
        <f t="shared" si="18"/>
        <v/>
      </c>
    </row>
    <row r="1198" spans="1:1" x14ac:dyDescent="0.2">
      <c r="A1198" s="12" t="str">
        <f t="shared" si="18"/>
        <v/>
      </c>
    </row>
    <row r="1199" spans="1:1" x14ac:dyDescent="0.2">
      <c r="A1199" s="12" t="str">
        <f t="shared" si="18"/>
        <v/>
      </c>
    </row>
    <row r="1200" spans="1:1" x14ac:dyDescent="0.2">
      <c r="A1200" s="12" t="str">
        <f t="shared" si="18"/>
        <v/>
      </c>
    </row>
    <row r="1201" spans="1:1" x14ac:dyDescent="0.2">
      <c r="A1201" s="12" t="str">
        <f t="shared" si="18"/>
        <v/>
      </c>
    </row>
    <row r="1202" spans="1:1" x14ac:dyDescent="0.2">
      <c r="A1202" s="12" t="str">
        <f t="shared" si="18"/>
        <v/>
      </c>
    </row>
    <row r="1203" spans="1:1" x14ac:dyDescent="0.2">
      <c r="A1203" s="12" t="str">
        <f t="shared" si="18"/>
        <v/>
      </c>
    </row>
    <row r="1204" spans="1:1" x14ac:dyDescent="0.2">
      <c r="A1204" s="12" t="str">
        <f t="shared" si="18"/>
        <v/>
      </c>
    </row>
    <row r="1205" spans="1:1" x14ac:dyDescent="0.2">
      <c r="A1205" s="12" t="str">
        <f t="shared" si="18"/>
        <v/>
      </c>
    </row>
    <row r="1206" spans="1:1" x14ac:dyDescent="0.2">
      <c r="A1206" s="12" t="str">
        <f t="shared" si="18"/>
        <v/>
      </c>
    </row>
    <row r="1207" spans="1:1" x14ac:dyDescent="0.2">
      <c r="A1207" s="12" t="str">
        <f t="shared" si="18"/>
        <v/>
      </c>
    </row>
    <row r="1208" spans="1:1" x14ac:dyDescent="0.2">
      <c r="A1208" s="12" t="str">
        <f t="shared" si="18"/>
        <v/>
      </c>
    </row>
    <row r="1209" spans="1:1" x14ac:dyDescent="0.2">
      <c r="A1209" s="12" t="str">
        <f t="shared" si="18"/>
        <v/>
      </c>
    </row>
    <row r="1210" spans="1:1" x14ac:dyDescent="0.2">
      <c r="A1210" s="12" t="str">
        <f t="shared" si="18"/>
        <v/>
      </c>
    </row>
    <row r="1211" spans="1:1" x14ac:dyDescent="0.2">
      <c r="A1211" s="12" t="str">
        <f t="shared" si="18"/>
        <v/>
      </c>
    </row>
    <row r="1212" spans="1:1" x14ac:dyDescent="0.2">
      <c r="A1212" s="12" t="str">
        <f t="shared" si="18"/>
        <v/>
      </c>
    </row>
    <row r="1213" spans="1:1" x14ac:dyDescent="0.2">
      <c r="A1213" s="12" t="str">
        <f t="shared" si="18"/>
        <v/>
      </c>
    </row>
    <row r="1214" spans="1:1" x14ac:dyDescent="0.2">
      <c r="A1214" s="12" t="str">
        <f t="shared" si="18"/>
        <v/>
      </c>
    </row>
    <row r="1215" spans="1:1" x14ac:dyDescent="0.2">
      <c r="A1215" s="12" t="str">
        <f t="shared" si="18"/>
        <v/>
      </c>
    </row>
    <row r="1216" spans="1:1" x14ac:dyDescent="0.2">
      <c r="A1216" s="12" t="str">
        <f t="shared" si="18"/>
        <v/>
      </c>
    </row>
    <row r="1217" spans="1:1" x14ac:dyDescent="0.2">
      <c r="A1217" s="12" t="str">
        <f t="shared" si="18"/>
        <v/>
      </c>
    </row>
    <row r="1218" spans="1:1" x14ac:dyDescent="0.2">
      <c r="A1218" s="12" t="str">
        <f t="shared" ref="A1218:A1281" si="19">IF(INDEX($AJ:$AJ,ROW())="","",HYPERLINK(INDEX($AJ:$AJ,ROW()),"Open"))</f>
        <v/>
      </c>
    </row>
    <row r="1219" spans="1:1" x14ac:dyDescent="0.2">
      <c r="A1219" s="12" t="str">
        <f t="shared" si="19"/>
        <v/>
      </c>
    </row>
    <row r="1220" spans="1:1" x14ac:dyDescent="0.2">
      <c r="A1220" s="12" t="str">
        <f t="shared" si="19"/>
        <v/>
      </c>
    </row>
    <row r="1221" spans="1:1" x14ac:dyDescent="0.2">
      <c r="A1221" s="12" t="str">
        <f t="shared" si="19"/>
        <v/>
      </c>
    </row>
    <row r="1222" spans="1:1" x14ac:dyDescent="0.2">
      <c r="A1222" s="12" t="str">
        <f t="shared" si="19"/>
        <v/>
      </c>
    </row>
    <row r="1223" spans="1:1" x14ac:dyDescent="0.2">
      <c r="A1223" s="12" t="str">
        <f t="shared" si="19"/>
        <v/>
      </c>
    </row>
    <row r="1224" spans="1:1" x14ac:dyDescent="0.2">
      <c r="A1224" s="12" t="str">
        <f t="shared" si="19"/>
        <v/>
      </c>
    </row>
    <row r="1225" spans="1:1" x14ac:dyDescent="0.2">
      <c r="A1225" s="12" t="str">
        <f t="shared" si="19"/>
        <v/>
      </c>
    </row>
    <row r="1226" spans="1:1" x14ac:dyDescent="0.2">
      <c r="A1226" s="12" t="str">
        <f t="shared" si="19"/>
        <v/>
      </c>
    </row>
    <row r="1227" spans="1:1" x14ac:dyDescent="0.2">
      <c r="A1227" s="12" t="str">
        <f t="shared" si="19"/>
        <v/>
      </c>
    </row>
    <row r="1228" spans="1:1" x14ac:dyDescent="0.2">
      <c r="A1228" s="12" t="str">
        <f t="shared" si="19"/>
        <v/>
      </c>
    </row>
    <row r="1229" spans="1:1" x14ac:dyDescent="0.2">
      <c r="A1229" s="12" t="str">
        <f t="shared" si="19"/>
        <v/>
      </c>
    </row>
    <row r="1230" spans="1:1" x14ac:dyDescent="0.2">
      <c r="A1230" s="12" t="str">
        <f t="shared" si="19"/>
        <v/>
      </c>
    </row>
    <row r="1231" spans="1:1" x14ac:dyDescent="0.2">
      <c r="A1231" s="12" t="str">
        <f t="shared" si="19"/>
        <v/>
      </c>
    </row>
    <row r="1232" spans="1:1" x14ac:dyDescent="0.2">
      <c r="A1232" s="12" t="str">
        <f t="shared" si="19"/>
        <v/>
      </c>
    </row>
    <row r="1233" spans="1:1" x14ac:dyDescent="0.2">
      <c r="A1233" s="12" t="str">
        <f t="shared" si="19"/>
        <v/>
      </c>
    </row>
    <row r="1234" spans="1:1" x14ac:dyDescent="0.2">
      <c r="A1234" s="12" t="str">
        <f t="shared" si="19"/>
        <v/>
      </c>
    </row>
    <row r="1235" spans="1:1" x14ac:dyDescent="0.2">
      <c r="A1235" s="12" t="str">
        <f t="shared" si="19"/>
        <v/>
      </c>
    </row>
    <row r="1236" spans="1:1" x14ac:dyDescent="0.2">
      <c r="A1236" s="12" t="str">
        <f t="shared" si="19"/>
        <v/>
      </c>
    </row>
    <row r="1237" spans="1:1" x14ac:dyDescent="0.2">
      <c r="A1237" s="12" t="str">
        <f t="shared" si="19"/>
        <v/>
      </c>
    </row>
    <row r="1238" spans="1:1" x14ac:dyDescent="0.2">
      <c r="A1238" s="12" t="str">
        <f t="shared" si="19"/>
        <v/>
      </c>
    </row>
    <row r="1239" spans="1:1" x14ac:dyDescent="0.2">
      <c r="A1239" s="12" t="str">
        <f t="shared" si="19"/>
        <v/>
      </c>
    </row>
    <row r="1240" spans="1:1" x14ac:dyDescent="0.2">
      <c r="A1240" s="12" t="str">
        <f t="shared" si="19"/>
        <v/>
      </c>
    </row>
    <row r="1241" spans="1:1" x14ac:dyDescent="0.2">
      <c r="A1241" s="12" t="str">
        <f t="shared" si="19"/>
        <v/>
      </c>
    </row>
    <row r="1242" spans="1:1" x14ac:dyDescent="0.2">
      <c r="A1242" s="12" t="str">
        <f t="shared" si="19"/>
        <v/>
      </c>
    </row>
    <row r="1243" spans="1:1" x14ac:dyDescent="0.2">
      <c r="A1243" s="12" t="str">
        <f t="shared" si="19"/>
        <v/>
      </c>
    </row>
    <row r="1244" spans="1:1" x14ac:dyDescent="0.2">
      <c r="A1244" s="12" t="str">
        <f t="shared" si="19"/>
        <v/>
      </c>
    </row>
    <row r="1245" spans="1:1" x14ac:dyDescent="0.2">
      <c r="A1245" s="12" t="str">
        <f t="shared" si="19"/>
        <v/>
      </c>
    </row>
    <row r="1246" spans="1:1" x14ac:dyDescent="0.2">
      <c r="A1246" s="12" t="str">
        <f t="shared" si="19"/>
        <v/>
      </c>
    </row>
    <row r="1247" spans="1:1" x14ac:dyDescent="0.2">
      <c r="A1247" s="12" t="str">
        <f t="shared" si="19"/>
        <v/>
      </c>
    </row>
    <row r="1248" spans="1:1" x14ac:dyDescent="0.2">
      <c r="A1248" s="12" t="str">
        <f t="shared" si="19"/>
        <v/>
      </c>
    </row>
    <row r="1249" spans="1:1" x14ac:dyDescent="0.2">
      <c r="A1249" s="12" t="str">
        <f t="shared" si="19"/>
        <v/>
      </c>
    </row>
    <row r="1250" spans="1:1" x14ac:dyDescent="0.2">
      <c r="A1250" s="12" t="str">
        <f t="shared" si="19"/>
        <v/>
      </c>
    </row>
    <row r="1251" spans="1:1" x14ac:dyDescent="0.2">
      <c r="A1251" s="12" t="str">
        <f t="shared" si="19"/>
        <v/>
      </c>
    </row>
    <row r="1252" spans="1:1" x14ac:dyDescent="0.2">
      <c r="A1252" s="12" t="str">
        <f t="shared" si="19"/>
        <v/>
      </c>
    </row>
    <row r="1253" spans="1:1" x14ac:dyDescent="0.2">
      <c r="A1253" s="12" t="str">
        <f t="shared" si="19"/>
        <v/>
      </c>
    </row>
    <row r="1254" spans="1:1" x14ac:dyDescent="0.2">
      <c r="A1254" s="12" t="str">
        <f t="shared" si="19"/>
        <v/>
      </c>
    </row>
    <row r="1255" spans="1:1" x14ac:dyDescent="0.2">
      <c r="A1255" s="12" t="str">
        <f t="shared" si="19"/>
        <v/>
      </c>
    </row>
    <row r="1256" spans="1:1" x14ac:dyDescent="0.2">
      <c r="A1256" s="12" t="str">
        <f t="shared" si="19"/>
        <v/>
      </c>
    </row>
    <row r="1257" spans="1:1" x14ac:dyDescent="0.2">
      <c r="A1257" s="12" t="str">
        <f t="shared" si="19"/>
        <v/>
      </c>
    </row>
    <row r="1258" spans="1:1" x14ac:dyDescent="0.2">
      <c r="A1258" s="12" t="str">
        <f t="shared" si="19"/>
        <v/>
      </c>
    </row>
    <row r="1259" spans="1:1" x14ac:dyDescent="0.2">
      <c r="A1259" s="12" t="str">
        <f t="shared" si="19"/>
        <v/>
      </c>
    </row>
    <row r="1260" spans="1:1" x14ac:dyDescent="0.2">
      <c r="A1260" s="12" t="str">
        <f t="shared" si="19"/>
        <v/>
      </c>
    </row>
    <row r="1261" spans="1:1" x14ac:dyDescent="0.2">
      <c r="A1261" s="12" t="str">
        <f t="shared" si="19"/>
        <v/>
      </c>
    </row>
    <row r="1262" spans="1:1" x14ac:dyDescent="0.2">
      <c r="A1262" s="12" t="str">
        <f t="shared" si="19"/>
        <v/>
      </c>
    </row>
    <row r="1263" spans="1:1" x14ac:dyDescent="0.2">
      <c r="A1263" s="12" t="str">
        <f t="shared" si="19"/>
        <v/>
      </c>
    </row>
    <row r="1264" spans="1:1" x14ac:dyDescent="0.2">
      <c r="A1264" s="12" t="str">
        <f t="shared" si="19"/>
        <v/>
      </c>
    </row>
    <row r="1265" spans="1:1" x14ac:dyDescent="0.2">
      <c r="A1265" s="12" t="str">
        <f t="shared" si="19"/>
        <v/>
      </c>
    </row>
    <row r="1266" spans="1:1" x14ac:dyDescent="0.2">
      <c r="A1266" s="12" t="str">
        <f t="shared" si="19"/>
        <v/>
      </c>
    </row>
    <row r="1267" spans="1:1" x14ac:dyDescent="0.2">
      <c r="A1267" s="12" t="str">
        <f t="shared" si="19"/>
        <v/>
      </c>
    </row>
    <row r="1268" spans="1:1" x14ac:dyDescent="0.2">
      <c r="A1268" s="12" t="str">
        <f t="shared" si="19"/>
        <v/>
      </c>
    </row>
    <row r="1269" spans="1:1" x14ac:dyDescent="0.2">
      <c r="A1269" s="12" t="str">
        <f t="shared" si="19"/>
        <v/>
      </c>
    </row>
    <row r="1270" spans="1:1" x14ac:dyDescent="0.2">
      <c r="A1270" s="12" t="str">
        <f t="shared" si="19"/>
        <v/>
      </c>
    </row>
    <row r="1271" spans="1:1" x14ac:dyDescent="0.2">
      <c r="A1271" s="12" t="str">
        <f t="shared" si="19"/>
        <v/>
      </c>
    </row>
    <row r="1272" spans="1:1" x14ac:dyDescent="0.2">
      <c r="A1272" s="12" t="str">
        <f t="shared" si="19"/>
        <v/>
      </c>
    </row>
    <row r="1273" spans="1:1" x14ac:dyDescent="0.2">
      <c r="A1273" s="12" t="str">
        <f t="shared" si="19"/>
        <v/>
      </c>
    </row>
    <row r="1274" spans="1:1" x14ac:dyDescent="0.2">
      <c r="A1274" s="12" t="str">
        <f t="shared" si="19"/>
        <v/>
      </c>
    </row>
    <row r="1275" spans="1:1" x14ac:dyDescent="0.2">
      <c r="A1275" s="12" t="str">
        <f t="shared" si="19"/>
        <v/>
      </c>
    </row>
    <row r="1276" spans="1:1" x14ac:dyDescent="0.2">
      <c r="A1276" s="12" t="str">
        <f t="shared" si="19"/>
        <v/>
      </c>
    </row>
    <row r="1277" spans="1:1" x14ac:dyDescent="0.2">
      <c r="A1277" s="12" t="str">
        <f t="shared" si="19"/>
        <v/>
      </c>
    </row>
    <row r="1278" spans="1:1" x14ac:dyDescent="0.2">
      <c r="A1278" s="12" t="str">
        <f t="shared" si="19"/>
        <v/>
      </c>
    </row>
    <row r="1279" spans="1:1" x14ac:dyDescent="0.2">
      <c r="A1279" s="12" t="str">
        <f t="shared" si="19"/>
        <v/>
      </c>
    </row>
    <row r="1280" spans="1:1" x14ac:dyDescent="0.2">
      <c r="A1280" s="12" t="str">
        <f t="shared" si="19"/>
        <v/>
      </c>
    </row>
    <row r="1281" spans="1:1" x14ac:dyDescent="0.2">
      <c r="A1281" s="12" t="str">
        <f t="shared" si="19"/>
        <v/>
      </c>
    </row>
    <row r="1282" spans="1:1" x14ac:dyDescent="0.2">
      <c r="A1282" s="12" t="str">
        <f t="shared" ref="A1282:A1345" si="20">IF(INDEX($AJ:$AJ,ROW())="","",HYPERLINK(INDEX($AJ:$AJ,ROW()),"Open"))</f>
        <v/>
      </c>
    </row>
    <row r="1283" spans="1:1" x14ac:dyDescent="0.2">
      <c r="A1283" s="12" t="str">
        <f t="shared" si="20"/>
        <v/>
      </c>
    </row>
    <row r="1284" spans="1:1" x14ac:dyDescent="0.2">
      <c r="A1284" s="12" t="str">
        <f t="shared" si="20"/>
        <v/>
      </c>
    </row>
    <row r="1285" spans="1:1" x14ac:dyDescent="0.2">
      <c r="A1285" s="12" t="str">
        <f t="shared" si="20"/>
        <v/>
      </c>
    </row>
    <row r="1286" spans="1:1" x14ac:dyDescent="0.2">
      <c r="A1286" s="12" t="str">
        <f t="shared" si="20"/>
        <v/>
      </c>
    </row>
    <row r="1287" spans="1:1" x14ac:dyDescent="0.2">
      <c r="A1287" s="12" t="str">
        <f t="shared" si="20"/>
        <v/>
      </c>
    </row>
    <row r="1288" spans="1:1" x14ac:dyDescent="0.2">
      <c r="A1288" s="12" t="str">
        <f t="shared" si="20"/>
        <v/>
      </c>
    </row>
    <row r="1289" spans="1:1" x14ac:dyDescent="0.2">
      <c r="A1289" s="12" t="str">
        <f t="shared" si="20"/>
        <v/>
      </c>
    </row>
    <row r="1290" spans="1:1" x14ac:dyDescent="0.2">
      <c r="A1290" s="12" t="str">
        <f t="shared" si="20"/>
        <v/>
      </c>
    </row>
    <row r="1291" spans="1:1" x14ac:dyDescent="0.2">
      <c r="A1291" s="12" t="str">
        <f t="shared" si="20"/>
        <v/>
      </c>
    </row>
    <row r="1292" spans="1:1" x14ac:dyDescent="0.2">
      <c r="A1292" s="12" t="str">
        <f t="shared" si="20"/>
        <v/>
      </c>
    </row>
    <row r="1293" spans="1:1" x14ac:dyDescent="0.2">
      <c r="A1293" s="12" t="str">
        <f t="shared" si="20"/>
        <v/>
      </c>
    </row>
    <row r="1294" spans="1:1" x14ac:dyDescent="0.2">
      <c r="A1294" s="12" t="str">
        <f t="shared" si="20"/>
        <v/>
      </c>
    </row>
    <row r="1295" spans="1:1" x14ac:dyDescent="0.2">
      <c r="A1295" s="12" t="str">
        <f t="shared" si="20"/>
        <v/>
      </c>
    </row>
    <row r="1296" spans="1:1" x14ac:dyDescent="0.2">
      <c r="A1296" s="12" t="str">
        <f t="shared" si="20"/>
        <v/>
      </c>
    </row>
    <row r="1297" spans="1:1" x14ac:dyDescent="0.2">
      <c r="A1297" s="12" t="str">
        <f t="shared" si="20"/>
        <v/>
      </c>
    </row>
    <row r="1298" spans="1:1" x14ac:dyDescent="0.2">
      <c r="A1298" s="12" t="str">
        <f t="shared" si="20"/>
        <v/>
      </c>
    </row>
    <row r="1299" spans="1:1" x14ac:dyDescent="0.2">
      <c r="A1299" s="12" t="str">
        <f t="shared" si="20"/>
        <v/>
      </c>
    </row>
    <row r="1300" spans="1:1" x14ac:dyDescent="0.2">
      <c r="A1300" s="12" t="str">
        <f t="shared" si="20"/>
        <v/>
      </c>
    </row>
    <row r="1301" spans="1:1" x14ac:dyDescent="0.2">
      <c r="A1301" s="12" t="str">
        <f t="shared" si="20"/>
        <v/>
      </c>
    </row>
    <row r="1302" spans="1:1" x14ac:dyDescent="0.2">
      <c r="A1302" s="12" t="str">
        <f t="shared" si="20"/>
        <v/>
      </c>
    </row>
    <row r="1303" spans="1:1" x14ac:dyDescent="0.2">
      <c r="A1303" s="12" t="str">
        <f t="shared" si="20"/>
        <v/>
      </c>
    </row>
    <row r="1304" spans="1:1" x14ac:dyDescent="0.2">
      <c r="A1304" s="12" t="str">
        <f t="shared" si="20"/>
        <v/>
      </c>
    </row>
    <row r="1305" spans="1:1" x14ac:dyDescent="0.2">
      <c r="A1305" s="12" t="str">
        <f t="shared" si="20"/>
        <v/>
      </c>
    </row>
    <row r="1306" spans="1:1" x14ac:dyDescent="0.2">
      <c r="A1306" s="12" t="str">
        <f t="shared" si="20"/>
        <v/>
      </c>
    </row>
    <row r="1307" spans="1:1" x14ac:dyDescent="0.2">
      <c r="A1307" s="12" t="str">
        <f t="shared" si="20"/>
        <v/>
      </c>
    </row>
    <row r="1308" spans="1:1" x14ac:dyDescent="0.2">
      <c r="A1308" s="12" t="str">
        <f t="shared" si="20"/>
        <v/>
      </c>
    </row>
    <row r="1309" spans="1:1" x14ac:dyDescent="0.2">
      <c r="A1309" s="12" t="str">
        <f t="shared" si="20"/>
        <v/>
      </c>
    </row>
    <row r="1310" spans="1:1" x14ac:dyDescent="0.2">
      <c r="A1310" s="12" t="str">
        <f t="shared" si="20"/>
        <v/>
      </c>
    </row>
    <row r="1311" spans="1:1" x14ac:dyDescent="0.2">
      <c r="A1311" s="12" t="str">
        <f t="shared" si="20"/>
        <v/>
      </c>
    </row>
    <row r="1312" spans="1:1" x14ac:dyDescent="0.2">
      <c r="A1312" s="12" t="str">
        <f t="shared" si="20"/>
        <v/>
      </c>
    </row>
    <row r="1313" spans="1:1" x14ac:dyDescent="0.2">
      <c r="A1313" s="12" t="str">
        <f t="shared" si="20"/>
        <v/>
      </c>
    </row>
    <row r="1314" spans="1:1" x14ac:dyDescent="0.2">
      <c r="A1314" s="12" t="str">
        <f t="shared" si="20"/>
        <v/>
      </c>
    </row>
    <row r="1315" spans="1:1" x14ac:dyDescent="0.2">
      <c r="A1315" s="12" t="str">
        <f t="shared" si="20"/>
        <v/>
      </c>
    </row>
    <row r="1316" spans="1:1" x14ac:dyDescent="0.2">
      <c r="A1316" s="12" t="str">
        <f t="shared" si="20"/>
        <v/>
      </c>
    </row>
    <row r="1317" spans="1:1" x14ac:dyDescent="0.2">
      <c r="A1317" s="12" t="str">
        <f t="shared" si="20"/>
        <v/>
      </c>
    </row>
    <row r="1318" spans="1:1" x14ac:dyDescent="0.2">
      <c r="A1318" s="12" t="str">
        <f t="shared" si="20"/>
        <v/>
      </c>
    </row>
    <row r="1319" spans="1:1" x14ac:dyDescent="0.2">
      <c r="A1319" s="12" t="str">
        <f t="shared" si="20"/>
        <v/>
      </c>
    </row>
    <row r="1320" spans="1:1" x14ac:dyDescent="0.2">
      <c r="A1320" s="12" t="str">
        <f t="shared" si="20"/>
        <v/>
      </c>
    </row>
    <row r="1321" spans="1:1" x14ac:dyDescent="0.2">
      <c r="A1321" s="12" t="str">
        <f t="shared" si="20"/>
        <v/>
      </c>
    </row>
    <row r="1322" spans="1:1" x14ac:dyDescent="0.2">
      <c r="A1322" s="12" t="str">
        <f t="shared" si="20"/>
        <v/>
      </c>
    </row>
    <row r="1323" spans="1:1" x14ac:dyDescent="0.2">
      <c r="A1323" s="12" t="str">
        <f t="shared" si="20"/>
        <v/>
      </c>
    </row>
    <row r="1324" spans="1:1" x14ac:dyDescent="0.2">
      <c r="A1324" s="12" t="str">
        <f t="shared" si="20"/>
        <v/>
      </c>
    </row>
    <row r="1325" spans="1:1" x14ac:dyDescent="0.2">
      <c r="A1325" s="12" t="str">
        <f t="shared" si="20"/>
        <v/>
      </c>
    </row>
    <row r="1326" spans="1:1" x14ac:dyDescent="0.2">
      <c r="A1326" s="12" t="str">
        <f t="shared" si="20"/>
        <v/>
      </c>
    </row>
    <row r="1327" spans="1:1" x14ac:dyDescent="0.2">
      <c r="A1327" s="12" t="str">
        <f t="shared" si="20"/>
        <v/>
      </c>
    </row>
    <row r="1328" spans="1:1" x14ac:dyDescent="0.2">
      <c r="A1328" s="12" t="str">
        <f t="shared" si="20"/>
        <v/>
      </c>
    </row>
    <row r="1329" spans="1:1" x14ac:dyDescent="0.2">
      <c r="A1329" s="12" t="str">
        <f t="shared" si="20"/>
        <v/>
      </c>
    </row>
    <row r="1330" spans="1:1" x14ac:dyDescent="0.2">
      <c r="A1330" s="12" t="str">
        <f t="shared" si="20"/>
        <v/>
      </c>
    </row>
    <row r="1331" spans="1:1" x14ac:dyDescent="0.2">
      <c r="A1331" s="12" t="str">
        <f t="shared" si="20"/>
        <v/>
      </c>
    </row>
    <row r="1332" spans="1:1" x14ac:dyDescent="0.2">
      <c r="A1332" s="12" t="str">
        <f t="shared" si="20"/>
        <v/>
      </c>
    </row>
    <row r="1333" spans="1:1" x14ac:dyDescent="0.2">
      <c r="A1333" s="12" t="str">
        <f t="shared" si="20"/>
        <v/>
      </c>
    </row>
    <row r="1334" spans="1:1" x14ac:dyDescent="0.2">
      <c r="A1334" s="12" t="str">
        <f t="shared" si="20"/>
        <v/>
      </c>
    </row>
    <row r="1335" spans="1:1" x14ac:dyDescent="0.2">
      <c r="A1335" s="12" t="str">
        <f t="shared" si="20"/>
        <v/>
      </c>
    </row>
    <row r="1336" spans="1:1" x14ac:dyDescent="0.2">
      <c r="A1336" s="12" t="str">
        <f t="shared" si="20"/>
        <v/>
      </c>
    </row>
    <row r="1337" spans="1:1" x14ac:dyDescent="0.2">
      <c r="A1337" s="12" t="str">
        <f t="shared" si="20"/>
        <v/>
      </c>
    </row>
    <row r="1338" spans="1:1" x14ac:dyDescent="0.2">
      <c r="A1338" s="12" t="str">
        <f t="shared" si="20"/>
        <v/>
      </c>
    </row>
    <row r="1339" spans="1:1" x14ac:dyDescent="0.2">
      <c r="A1339" s="12" t="str">
        <f t="shared" si="20"/>
        <v/>
      </c>
    </row>
    <row r="1340" spans="1:1" x14ac:dyDescent="0.2">
      <c r="A1340" s="12" t="str">
        <f t="shared" si="20"/>
        <v/>
      </c>
    </row>
    <row r="1341" spans="1:1" x14ac:dyDescent="0.2">
      <c r="A1341" s="12" t="str">
        <f t="shared" si="20"/>
        <v/>
      </c>
    </row>
    <row r="1342" spans="1:1" x14ac:dyDescent="0.2">
      <c r="A1342" s="12" t="str">
        <f t="shared" si="20"/>
        <v/>
      </c>
    </row>
    <row r="1343" spans="1:1" x14ac:dyDescent="0.2">
      <c r="A1343" s="12" t="str">
        <f t="shared" si="20"/>
        <v/>
      </c>
    </row>
    <row r="1344" spans="1:1" x14ac:dyDescent="0.2">
      <c r="A1344" s="12" t="str">
        <f t="shared" si="20"/>
        <v/>
      </c>
    </row>
    <row r="1345" spans="1:1" x14ac:dyDescent="0.2">
      <c r="A1345" s="12" t="str">
        <f t="shared" si="20"/>
        <v/>
      </c>
    </row>
    <row r="1346" spans="1:1" x14ac:dyDescent="0.2">
      <c r="A1346" s="12" t="str">
        <f t="shared" ref="A1346:A1409" si="21">IF(INDEX($AJ:$AJ,ROW())="","",HYPERLINK(INDEX($AJ:$AJ,ROW()),"Open"))</f>
        <v/>
      </c>
    </row>
    <row r="1347" spans="1:1" x14ac:dyDescent="0.2">
      <c r="A1347" s="12" t="str">
        <f t="shared" si="21"/>
        <v/>
      </c>
    </row>
    <row r="1348" spans="1:1" x14ac:dyDescent="0.2">
      <c r="A1348" s="12" t="str">
        <f t="shared" si="21"/>
        <v/>
      </c>
    </row>
    <row r="1349" spans="1:1" x14ac:dyDescent="0.2">
      <c r="A1349" s="12" t="str">
        <f t="shared" si="21"/>
        <v/>
      </c>
    </row>
    <row r="1350" spans="1:1" x14ac:dyDescent="0.2">
      <c r="A1350" s="12" t="str">
        <f t="shared" si="21"/>
        <v/>
      </c>
    </row>
    <row r="1351" spans="1:1" x14ac:dyDescent="0.2">
      <c r="A1351" s="12" t="str">
        <f t="shared" si="21"/>
        <v/>
      </c>
    </row>
    <row r="1352" spans="1:1" x14ac:dyDescent="0.2">
      <c r="A1352" s="12" t="str">
        <f t="shared" si="21"/>
        <v/>
      </c>
    </row>
    <row r="1353" spans="1:1" x14ac:dyDescent="0.2">
      <c r="A1353" s="12" t="str">
        <f t="shared" si="21"/>
        <v/>
      </c>
    </row>
    <row r="1354" spans="1:1" x14ac:dyDescent="0.2">
      <c r="A1354" s="12" t="str">
        <f t="shared" si="21"/>
        <v/>
      </c>
    </row>
    <row r="1355" spans="1:1" x14ac:dyDescent="0.2">
      <c r="A1355" s="12" t="str">
        <f t="shared" si="21"/>
        <v/>
      </c>
    </row>
    <row r="1356" spans="1:1" x14ac:dyDescent="0.2">
      <c r="A1356" s="12" t="str">
        <f t="shared" si="21"/>
        <v/>
      </c>
    </row>
    <row r="1357" spans="1:1" x14ac:dyDescent="0.2">
      <c r="A1357" s="12" t="str">
        <f t="shared" si="21"/>
        <v/>
      </c>
    </row>
    <row r="1358" spans="1:1" x14ac:dyDescent="0.2">
      <c r="A1358" s="12" t="str">
        <f t="shared" si="21"/>
        <v/>
      </c>
    </row>
    <row r="1359" spans="1:1" x14ac:dyDescent="0.2">
      <c r="A1359" s="12" t="str">
        <f t="shared" si="21"/>
        <v/>
      </c>
    </row>
    <row r="1360" spans="1:1" x14ac:dyDescent="0.2">
      <c r="A1360" s="12" t="str">
        <f t="shared" si="21"/>
        <v/>
      </c>
    </row>
    <row r="1361" spans="1:1" x14ac:dyDescent="0.2">
      <c r="A1361" s="12" t="str">
        <f t="shared" si="21"/>
        <v/>
      </c>
    </row>
    <row r="1362" spans="1:1" x14ac:dyDescent="0.2">
      <c r="A1362" s="12" t="str">
        <f t="shared" si="21"/>
        <v/>
      </c>
    </row>
    <row r="1363" spans="1:1" x14ac:dyDescent="0.2">
      <c r="A1363" s="12" t="str">
        <f t="shared" si="21"/>
        <v/>
      </c>
    </row>
    <row r="1364" spans="1:1" x14ac:dyDescent="0.2">
      <c r="A1364" s="12" t="str">
        <f t="shared" si="21"/>
        <v/>
      </c>
    </row>
    <row r="1365" spans="1:1" x14ac:dyDescent="0.2">
      <c r="A1365" s="12" t="str">
        <f t="shared" si="21"/>
        <v/>
      </c>
    </row>
    <row r="1366" spans="1:1" x14ac:dyDescent="0.2">
      <c r="A1366" s="12" t="str">
        <f t="shared" si="21"/>
        <v/>
      </c>
    </row>
    <row r="1367" spans="1:1" x14ac:dyDescent="0.2">
      <c r="A1367" s="12" t="str">
        <f t="shared" si="21"/>
        <v/>
      </c>
    </row>
    <row r="1368" spans="1:1" x14ac:dyDescent="0.2">
      <c r="A1368" s="12" t="str">
        <f t="shared" si="21"/>
        <v/>
      </c>
    </row>
    <row r="1369" spans="1:1" x14ac:dyDescent="0.2">
      <c r="A1369" s="12" t="str">
        <f t="shared" si="21"/>
        <v/>
      </c>
    </row>
    <row r="1370" spans="1:1" x14ac:dyDescent="0.2">
      <c r="A1370" s="12" t="str">
        <f t="shared" si="21"/>
        <v/>
      </c>
    </row>
    <row r="1371" spans="1:1" x14ac:dyDescent="0.2">
      <c r="A1371" s="12" t="str">
        <f t="shared" si="21"/>
        <v/>
      </c>
    </row>
    <row r="1372" spans="1:1" x14ac:dyDescent="0.2">
      <c r="A1372" s="12" t="str">
        <f t="shared" si="21"/>
        <v/>
      </c>
    </row>
    <row r="1373" spans="1:1" x14ac:dyDescent="0.2">
      <c r="A1373" s="12" t="str">
        <f t="shared" si="21"/>
        <v/>
      </c>
    </row>
    <row r="1374" spans="1:1" x14ac:dyDescent="0.2">
      <c r="A1374" s="12" t="str">
        <f t="shared" si="21"/>
        <v/>
      </c>
    </row>
    <row r="1375" spans="1:1" x14ac:dyDescent="0.2">
      <c r="A1375" s="12" t="str">
        <f t="shared" si="21"/>
        <v/>
      </c>
    </row>
    <row r="1376" spans="1:1" x14ac:dyDescent="0.2">
      <c r="A1376" s="12" t="str">
        <f t="shared" si="21"/>
        <v/>
      </c>
    </row>
    <row r="1377" spans="1:1" x14ac:dyDescent="0.2">
      <c r="A1377" s="12" t="str">
        <f t="shared" si="21"/>
        <v/>
      </c>
    </row>
    <row r="1378" spans="1:1" x14ac:dyDescent="0.2">
      <c r="A1378" s="12" t="str">
        <f t="shared" si="21"/>
        <v/>
      </c>
    </row>
    <row r="1379" spans="1:1" x14ac:dyDescent="0.2">
      <c r="A1379" s="12" t="str">
        <f t="shared" si="21"/>
        <v/>
      </c>
    </row>
    <row r="1380" spans="1:1" x14ac:dyDescent="0.2">
      <c r="A1380" s="12" t="str">
        <f t="shared" si="21"/>
        <v/>
      </c>
    </row>
    <row r="1381" spans="1:1" x14ac:dyDescent="0.2">
      <c r="A1381" s="12" t="str">
        <f t="shared" si="21"/>
        <v/>
      </c>
    </row>
    <row r="1382" spans="1:1" x14ac:dyDescent="0.2">
      <c r="A1382" s="12" t="str">
        <f t="shared" si="21"/>
        <v/>
      </c>
    </row>
    <row r="1383" spans="1:1" x14ac:dyDescent="0.2">
      <c r="A1383" s="12" t="str">
        <f t="shared" si="21"/>
        <v/>
      </c>
    </row>
    <row r="1384" spans="1:1" x14ac:dyDescent="0.2">
      <c r="A1384" s="12" t="str">
        <f t="shared" si="21"/>
        <v/>
      </c>
    </row>
    <row r="1385" spans="1:1" x14ac:dyDescent="0.2">
      <c r="A1385" s="12" t="str">
        <f t="shared" si="21"/>
        <v/>
      </c>
    </row>
    <row r="1386" spans="1:1" x14ac:dyDescent="0.2">
      <c r="A1386" s="12" t="str">
        <f t="shared" si="21"/>
        <v/>
      </c>
    </row>
    <row r="1387" spans="1:1" x14ac:dyDescent="0.2">
      <c r="A1387" s="12" t="str">
        <f t="shared" si="21"/>
        <v/>
      </c>
    </row>
    <row r="1388" spans="1:1" x14ac:dyDescent="0.2">
      <c r="A1388" s="12" t="str">
        <f t="shared" si="21"/>
        <v/>
      </c>
    </row>
    <row r="1389" spans="1:1" x14ac:dyDescent="0.2">
      <c r="A1389" s="12" t="str">
        <f t="shared" si="21"/>
        <v/>
      </c>
    </row>
    <row r="1390" spans="1:1" x14ac:dyDescent="0.2">
      <c r="A1390" s="12" t="str">
        <f t="shared" si="21"/>
        <v/>
      </c>
    </row>
    <row r="1391" spans="1:1" x14ac:dyDescent="0.2">
      <c r="A1391" s="12" t="str">
        <f t="shared" si="21"/>
        <v/>
      </c>
    </row>
    <row r="1392" spans="1:1" x14ac:dyDescent="0.2">
      <c r="A1392" s="12" t="str">
        <f t="shared" si="21"/>
        <v/>
      </c>
    </row>
    <row r="1393" spans="1:1" x14ac:dyDescent="0.2">
      <c r="A1393" s="12" t="str">
        <f t="shared" si="21"/>
        <v/>
      </c>
    </row>
    <row r="1394" spans="1:1" x14ac:dyDescent="0.2">
      <c r="A1394" s="12" t="str">
        <f t="shared" si="21"/>
        <v/>
      </c>
    </row>
    <row r="1395" spans="1:1" x14ac:dyDescent="0.2">
      <c r="A1395" s="12" t="str">
        <f t="shared" si="21"/>
        <v/>
      </c>
    </row>
    <row r="1396" spans="1:1" x14ac:dyDescent="0.2">
      <c r="A1396" s="12" t="str">
        <f t="shared" si="21"/>
        <v/>
      </c>
    </row>
    <row r="1397" spans="1:1" x14ac:dyDescent="0.2">
      <c r="A1397" s="12" t="str">
        <f t="shared" si="21"/>
        <v/>
      </c>
    </row>
    <row r="1398" spans="1:1" x14ac:dyDescent="0.2">
      <c r="A1398" s="12" t="str">
        <f t="shared" si="21"/>
        <v/>
      </c>
    </row>
    <row r="1399" spans="1:1" x14ac:dyDescent="0.2">
      <c r="A1399" s="12" t="str">
        <f t="shared" si="21"/>
        <v/>
      </c>
    </row>
    <row r="1400" spans="1:1" x14ac:dyDescent="0.2">
      <c r="A1400" s="12" t="str">
        <f t="shared" si="21"/>
        <v/>
      </c>
    </row>
    <row r="1401" spans="1:1" x14ac:dyDescent="0.2">
      <c r="A1401" s="12" t="str">
        <f t="shared" si="21"/>
        <v/>
      </c>
    </row>
    <row r="1402" spans="1:1" x14ac:dyDescent="0.2">
      <c r="A1402" s="12" t="str">
        <f t="shared" si="21"/>
        <v/>
      </c>
    </row>
    <row r="1403" spans="1:1" x14ac:dyDescent="0.2">
      <c r="A1403" s="12" t="str">
        <f t="shared" si="21"/>
        <v/>
      </c>
    </row>
    <row r="1404" spans="1:1" x14ac:dyDescent="0.2">
      <c r="A1404" s="12" t="str">
        <f t="shared" si="21"/>
        <v/>
      </c>
    </row>
    <row r="1405" spans="1:1" x14ac:dyDescent="0.2">
      <c r="A1405" s="12" t="str">
        <f t="shared" si="21"/>
        <v/>
      </c>
    </row>
    <row r="1406" spans="1:1" x14ac:dyDescent="0.2">
      <c r="A1406" s="12" t="str">
        <f t="shared" si="21"/>
        <v/>
      </c>
    </row>
    <row r="1407" spans="1:1" x14ac:dyDescent="0.2">
      <c r="A1407" s="12" t="str">
        <f t="shared" si="21"/>
        <v/>
      </c>
    </row>
    <row r="1408" spans="1:1" x14ac:dyDescent="0.2">
      <c r="A1408" s="12" t="str">
        <f t="shared" si="21"/>
        <v/>
      </c>
    </row>
    <row r="1409" spans="1:1" x14ac:dyDescent="0.2">
      <c r="A1409" s="12" t="str">
        <f t="shared" si="21"/>
        <v/>
      </c>
    </row>
    <row r="1410" spans="1:1" x14ac:dyDescent="0.2">
      <c r="A1410" s="12" t="str">
        <f t="shared" ref="A1410:A1473" si="22">IF(INDEX($AJ:$AJ,ROW())="","",HYPERLINK(INDEX($AJ:$AJ,ROW()),"Open"))</f>
        <v/>
      </c>
    </row>
    <row r="1411" spans="1:1" x14ac:dyDescent="0.2">
      <c r="A1411" s="12" t="str">
        <f t="shared" si="22"/>
        <v/>
      </c>
    </row>
    <row r="1412" spans="1:1" x14ac:dyDescent="0.2">
      <c r="A1412" s="12" t="str">
        <f t="shared" si="22"/>
        <v/>
      </c>
    </row>
    <row r="1413" spans="1:1" x14ac:dyDescent="0.2">
      <c r="A1413" s="12" t="str">
        <f t="shared" si="22"/>
        <v/>
      </c>
    </row>
    <row r="1414" spans="1:1" x14ac:dyDescent="0.2">
      <c r="A1414" s="12" t="str">
        <f t="shared" si="22"/>
        <v/>
      </c>
    </row>
    <row r="1415" spans="1:1" x14ac:dyDescent="0.2">
      <c r="A1415" s="12" t="str">
        <f t="shared" si="22"/>
        <v/>
      </c>
    </row>
    <row r="1416" spans="1:1" x14ac:dyDescent="0.2">
      <c r="A1416" s="12" t="str">
        <f t="shared" si="22"/>
        <v/>
      </c>
    </row>
    <row r="1417" spans="1:1" x14ac:dyDescent="0.2">
      <c r="A1417" s="12" t="str">
        <f t="shared" si="22"/>
        <v/>
      </c>
    </row>
    <row r="1418" spans="1:1" x14ac:dyDescent="0.2">
      <c r="A1418" s="12" t="str">
        <f t="shared" si="22"/>
        <v/>
      </c>
    </row>
    <row r="1419" spans="1:1" x14ac:dyDescent="0.2">
      <c r="A1419" s="12" t="str">
        <f t="shared" si="22"/>
        <v/>
      </c>
    </row>
    <row r="1420" spans="1:1" x14ac:dyDescent="0.2">
      <c r="A1420" s="12" t="str">
        <f t="shared" si="22"/>
        <v/>
      </c>
    </row>
    <row r="1421" spans="1:1" x14ac:dyDescent="0.2">
      <c r="A1421" s="12" t="str">
        <f t="shared" si="22"/>
        <v/>
      </c>
    </row>
    <row r="1422" spans="1:1" x14ac:dyDescent="0.2">
      <c r="A1422" s="12" t="str">
        <f t="shared" si="22"/>
        <v/>
      </c>
    </row>
    <row r="1423" spans="1:1" x14ac:dyDescent="0.2">
      <c r="A1423" s="12" t="str">
        <f t="shared" si="22"/>
        <v/>
      </c>
    </row>
    <row r="1424" spans="1:1" x14ac:dyDescent="0.2">
      <c r="A1424" s="12" t="str">
        <f t="shared" si="22"/>
        <v/>
      </c>
    </row>
    <row r="1425" spans="1:1" x14ac:dyDescent="0.2">
      <c r="A1425" s="12" t="str">
        <f t="shared" si="22"/>
        <v/>
      </c>
    </row>
    <row r="1426" spans="1:1" x14ac:dyDescent="0.2">
      <c r="A1426" s="12" t="str">
        <f t="shared" si="22"/>
        <v/>
      </c>
    </row>
    <row r="1427" spans="1:1" x14ac:dyDescent="0.2">
      <c r="A1427" s="12" t="str">
        <f t="shared" si="22"/>
        <v/>
      </c>
    </row>
    <row r="1428" spans="1:1" x14ac:dyDescent="0.2">
      <c r="A1428" s="12" t="str">
        <f t="shared" si="22"/>
        <v/>
      </c>
    </row>
    <row r="1429" spans="1:1" x14ac:dyDescent="0.2">
      <c r="A1429" s="12" t="str">
        <f t="shared" si="22"/>
        <v/>
      </c>
    </row>
    <row r="1430" spans="1:1" x14ac:dyDescent="0.2">
      <c r="A1430" s="12" t="str">
        <f t="shared" si="22"/>
        <v/>
      </c>
    </row>
    <row r="1431" spans="1:1" x14ac:dyDescent="0.2">
      <c r="A1431" s="12" t="str">
        <f t="shared" si="22"/>
        <v/>
      </c>
    </row>
    <row r="1432" spans="1:1" x14ac:dyDescent="0.2">
      <c r="A1432" s="12" t="str">
        <f t="shared" si="22"/>
        <v/>
      </c>
    </row>
    <row r="1433" spans="1:1" x14ac:dyDescent="0.2">
      <c r="A1433" s="12" t="str">
        <f t="shared" si="22"/>
        <v/>
      </c>
    </row>
    <row r="1434" spans="1:1" x14ac:dyDescent="0.2">
      <c r="A1434" s="12" t="str">
        <f t="shared" si="22"/>
        <v/>
      </c>
    </row>
    <row r="1435" spans="1:1" x14ac:dyDescent="0.2">
      <c r="A1435" s="12" t="str">
        <f t="shared" si="22"/>
        <v/>
      </c>
    </row>
    <row r="1436" spans="1:1" x14ac:dyDescent="0.2">
      <c r="A1436" s="12" t="str">
        <f t="shared" si="22"/>
        <v/>
      </c>
    </row>
    <row r="1437" spans="1:1" x14ac:dyDescent="0.2">
      <c r="A1437" s="12" t="str">
        <f t="shared" si="22"/>
        <v/>
      </c>
    </row>
    <row r="1438" spans="1:1" x14ac:dyDescent="0.2">
      <c r="A1438" s="12" t="str">
        <f t="shared" si="22"/>
        <v/>
      </c>
    </row>
    <row r="1439" spans="1:1" x14ac:dyDescent="0.2">
      <c r="A1439" s="12" t="str">
        <f t="shared" si="22"/>
        <v/>
      </c>
    </row>
    <row r="1440" spans="1:1" x14ac:dyDescent="0.2">
      <c r="A1440" s="12" t="str">
        <f t="shared" si="22"/>
        <v/>
      </c>
    </row>
    <row r="1441" spans="1:1" x14ac:dyDescent="0.2">
      <c r="A1441" s="12" t="str">
        <f t="shared" si="22"/>
        <v/>
      </c>
    </row>
    <row r="1442" spans="1:1" x14ac:dyDescent="0.2">
      <c r="A1442" s="12" t="str">
        <f t="shared" si="22"/>
        <v/>
      </c>
    </row>
    <row r="1443" spans="1:1" x14ac:dyDescent="0.2">
      <c r="A1443" s="12" t="str">
        <f t="shared" si="22"/>
        <v/>
      </c>
    </row>
    <row r="1444" spans="1:1" x14ac:dyDescent="0.2">
      <c r="A1444" s="12" t="str">
        <f t="shared" si="22"/>
        <v/>
      </c>
    </row>
    <row r="1445" spans="1:1" x14ac:dyDescent="0.2">
      <c r="A1445" s="12" t="str">
        <f t="shared" si="22"/>
        <v/>
      </c>
    </row>
    <row r="1446" spans="1:1" x14ac:dyDescent="0.2">
      <c r="A1446" s="12" t="str">
        <f t="shared" si="22"/>
        <v/>
      </c>
    </row>
    <row r="1447" spans="1:1" x14ac:dyDescent="0.2">
      <c r="A1447" s="12" t="str">
        <f t="shared" si="22"/>
        <v/>
      </c>
    </row>
    <row r="1448" spans="1:1" x14ac:dyDescent="0.2">
      <c r="A1448" s="12" t="str">
        <f t="shared" si="22"/>
        <v/>
      </c>
    </row>
    <row r="1449" spans="1:1" x14ac:dyDescent="0.2">
      <c r="A1449" s="12" t="str">
        <f t="shared" si="22"/>
        <v/>
      </c>
    </row>
    <row r="1450" spans="1:1" x14ac:dyDescent="0.2">
      <c r="A1450" s="12" t="str">
        <f t="shared" si="22"/>
        <v/>
      </c>
    </row>
    <row r="1451" spans="1:1" x14ac:dyDescent="0.2">
      <c r="A1451" s="12" t="str">
        <f t="shared" si="22"/>
        <v/>
      </c>
    </row>
    <row r="1452" spans="1:1" x14ac:dyDescent="0.2">
      <c r="A1452" s="12" t="str">
        <f t="shared" si="22"/>
        <v/>
      </c>
    </row>
    <row r="1453" spans="1:1" x14ac:dyDescent="0.2">
      <c r="A1453" s="12" t="str">
        <f t="shared" si="22"/>
        <v/>
      </c>
    </row>
    <row r="1454" spans="1:1" x14ac:dyDescent="0.2">
      <c r="A1454" s="12" t="str">
        <f t="shared" si="22"/>
        <v/>
      </c>
    </row>
    <row r="1455" spans="1:1" x14ac:dyDescent="0.2">
      <c r="A1455" s="12" t="str">
        <f t="shared" si="22"/>
        <v/>
      </c>
    </row>
    <row r="1456" spans="1:1" x14ac:dyDescent="0.2">
      <c r="A1456" s="12" t="str">
        <f t="shared" si="22"/>
        <v/>
      </c>
    </row>
    <row r="1457" spans="1:1" x14ac:dyDescent="0.2">
      <c r="A1457" s="12" t="str">
        <f t="shared" si="22"/>
        <v/>
      </c>
    </row>
    <row r="1458" spans="1:1" x14ac:dyDescent="0.2">
      <c r="A1458" s="12" t="str">
        <f t="shared" si="22"/>
        <v/>
      </c>
    </row>
    <row r="1459" spans="1:1" x14ac:dyDescent="0.2">
      <c r="A1459" s="12" t="str">
        <f t="shared" si="22"/>
        <v/>
      </c>
    </row>
    <row r="1460" spans="1:1" x14ac:dyDescent="0.2">
      <c r="A1460" s="12" t="str">
        <f t="shared" si="22"/>
        <v/>
      </c>
    </row>
    <row r="1461" spans="1:1" x14ac:dyDescent="0.2">
      <c r="A1461" s="12" t="str">
        <f t="shared" si="22"/>
        <v/>
      </c>
    </row>
    <row r="1462" spans="1:1" x14ac:dyDescent="0.2">
      <c r="A1462" s="12" t="str">
        <f t="shared" si="22"/>
        <v/>
      </c>
    </row>
    <row r="1463" spans="1:1" x14ac:dyDescent="0.2">
      <c r="A1463" s="12" t="str">
        <f t="shared" si="22"/>
        <v/>
      </c>
    </row>
    <row r="1464" spans="1:1" x14ac:dyDescent="0.2">
      <c r="A1464" s="12" t="str">
        <f t="shared" si="22"/>
        <v/>
      </c>
    </row>
    <row r="1465" spans="1:1" x14ac:dyDescent="0.2">
      <c r="A1465" s="12" t="str">
        <f t="shared" si="22"/>
        <v/>
      </c>
    </row>
    <row r="1466" spans="1:1" x14ac:dyDescent="0.2">
      <c r="A1466" s="12" t="str">
        <f t="shared" si="22"/>
        <v/>
      </c>
    </row>
    <row r="1467" spans="1:1" x14ac:dyDescent="0.2">
      <c r="A1467" s="12" t="str">
        <f t="shared" si="22"/>
        <v/>
      </c>
    </row>
    <row r="1468" spans="1:1" x14ac:dyDescent="0.2">
      <c r="A1468" s="12" t="str">
        <f t="shared" si="22"/>
        <v/>
      </c>
    </row>
    <row r="1469" spans="1:1" x14ac:dyDescent="0.2">
      <c r="A1469" s="12" t="str">
        <f t="shared" si="22"/>
        <v/>
      </c>
    </row>
    <row r="1470" spans="1:1" x14ac:dyDescent="0.2">
      <c r="A1470" s="12" t="str">
        <f t="shared" si="22"/>
        <v/>
      </c>
    </row>
    <row r="1471" spans="1:1" x14ac:dyDescent="0.2">
      <c r="A1471" s="12" t="str">
        <f t="shared" si="22"/>
        <v/>
      </c>
    </row>
    <row r="1472" spans="1:1" x14ac:dyDescent="0.2">
      <c r="A1472" s="12" t="str">
        <f t="shared" si="22"/>
        <v/>
      </c>
    </row>
    <row r="1473" spans="1:1" x14ac:dyDescent="0.2">
      <c r="A1473" s="12" t="str">
        <f t="shared" si="22"/>
        <v/>
      </c>
    </row>
    <row r="1474" spans="1:1" x14ac:dyDescent="0.2">
      <c r="A1474" s="12" t="str">
        <f t="shared" ref="A1474:A1537" si="23">IF(INDEX($AJ:$AJ,ROW())="","",HYPERLINK(INDEX($AJ:$AJ,ROW()),"Open"))</f>
        <v/>
      </c>
    </row>
    <row r="1475" spans="1:1" x14ac:dyDescent="0.2">
      <c r="A1475" s="12" t="str">
        <f t="shared" si="23"/>
        <v/>
      </c>
    </row>
    <row r="1476" spans="1:1" x14ac:dyDescent="0.2">
      <c r="A1476" s="12" t="str">
        <f t="shared" si="23"/>
        <v/>
      </c>
    </row>
    <row r="1477" spans="1:1" x14ac:dyDescent="0.2">
      <c r="A1477" s="12" t="str">
        <f t="shared" si="23"/>
        <v/>
      </c>
    </row>
    <row r="1478" spans="1:1" x14ac:dyDescent="0.2">
      <c r="A1478" s="12" t="str">
        <f t="shared" si="23"/>
        <v/>
      </c>
    </row>
    <row r="1479" spans="1:1" x14ac:dyDescent="0.2">
      <c r="A1479" s="12" t="str">
        <f t="shared" si="23"/>
        <v/>
      </c>
    </row>
    <row r="1480" spans="1:1" x14ac:dyDescent="0.2">
      <c r="A1480" s="12" t="str">
        <f t="shared" si="23"/>
        <v/>
      </c>
    </row>
    <row r="1481" spans="1:1" x14ac:dyDescent="0.2">
      <c r="A1481" s="12" t="str">
        <f t="shared" si="23"/>
        <v/>
      </c>
    </row>
    <row r="1482" spans="1:1" x14ac:dyDescent="0.2">
      <c r="A1482" s="12" t="str">
        <f t="shared" si="23"/>
        <v/>
      </c>
    </row>
    <row r="1483" spans="1:1" x14ac:dyDescent="0.2">
      <c r="A1483" s="12" t="str">
        <f t="shared" si="23"/>
        <v/>
      </c>
    </row>
    <row r="1484" spans="1:1" x14ac:dyDescent="0.2">
      <c r="A1484" s="12" t="str">
        <f t="shared" si="23"/>
        <v/>
      </c>
    </row>
    <row r="1485" spans="1:1" x14ac:dyDescent="0.2">
      <c r="A1485" s="12" t="str">
        <f t="shared" si="23"/>
        <v/>
      </c>
    </row>
    <row r="1486" spans="1:1" x14ac:dyDescent="0.2">
      <c r="A1486" s="12" t="str">
        <f t="shared" si="23"/>
        <v/>
      </c>
    </row>
    <row r="1487" spans="1:1" x14ac:dyDescent="0.2">
      <c r="A1487" s="12" t="str">
        <f t="shared" si="23"/>
        <v/>
      </c>
    </row>
    <row r="1488" spans="1:1" x14ac:dyDescent="0.2">
      <c r="A1488" s="12" t="str">
        <f t="shared" si="23"/>
        <v/>
      </c>
    </row>
    <row r="1489" spans="1:1" x14ac:dyDescent="0.2">
      <c r="A1489" s="12" t="str">
        <f t="shared" si="23"/>
        <v/>
      </c>
    </row>
    <row r="1490" spans="1:1" x14ac:dyDescent="0.2">
      <c r="A1490" s="12" t="str">
        <f t="shared" si="23"/>
        <v/>
      </c>
    </row>
    <row r="1491" spans="1:1" x14ac:dyDescent="0.2">
      <c r="A1491" s="12" t="str">
        <f t="shared" si="23"/>
        <v/>
      </c>
    </row>
    <row r="1492" spans="1:1" x14ac:dyDescent="0.2">
      <c r="A1492" s="12" t="str">
        <f t="shared" si="23"/>
        <v/>
      </c>
    </row>
    <row r="1493" spans="1:1" x14ac:dyDescent="0.2">
      <c r="A1493" s="12" t="str">
        <f t="shared" si="23"/>
        <v/>
      </c>
    </row>
    <row r="1494" spans="1:1" x14ac:dyDescent="0.2">
      <c r="A1494" s="12" t="str">
        <f t="shared" si="23"/>
        <v/>
      </c>
    </row>
    <row r="1495" spans="1:1" x14ac:dyDescent="0.2">
      <c r="A1495" s="12" t="str">
        <f t="shared" si="23"/>
        <v/>
      </c>
    </row>
    <row r="1496" spans="1:1" x14ac:dyDescent="0.2">
      <c r="A1496" s="12" t="str">
        <f t="shared" si="23"/>
        <v/>
      </c>
    </row>
    <row r="1497" spans="1:1" x14ac:dyDescent="0.2">
      <c r="A1497" s="12" t="str">
        <f t="shared" si="23"/>
        <v/>
      </c>
    </row>
    <row r="1498" spans="1:1" x14ac:dyDescent="0.2">
      <c r="A1498" s="12" t="str">
        <f t="shared" si="23"/>
        <v/>
      </c>
    </row>
    <row r="1499" spans="1:1" x14ac:dyDescent="0.2">
      <c r="A1499" s="12" t="str">
        <f t="shared" si="23"/>
        <v/>
      </c>
    </row>
    <row r="1500" spans="1:1" x14ac:dyDescent="0.2">
      <c r="A1500" s="12" t="str">
        <f t="shared" si="23"/>
        <v/>
      </c>
    </row>
    <row r="1501" spans="1:1" x14ac:dyDescent="0.2">
      <c r="A1501" s="12" t="str">
        <f t="shared" si="23"/>
        <v/>
      </c>
    </row>
    <row r="1502" spans="1:1" x14ac:dyDescent="0.2">
      <c r="A1502" s="12" t="str">
        <f t="shared" si="23"/>
        <v/>
      </c>
    </row>
    <row r="1503" spans="1:1" x14ac:dyDescent="0.2">
      <c r="A1503" s="12" t="str">
        <f t="shared" si="23"/>
        <v/>
      </c>
    </row>
    <row r="1504" spans="1:1" x14ac:dyDescent="0.2">
      <c r="A1504" s="12" t="str">
        <f t="shared" si="23"/>
        <v/>
      </c>
    </row>
    <row r="1505" spans="1:1" x14ac:dyDescent="0.2">
      <c r="A1505" s="12" t="str">
        <f t="shared" si="23"/>
        <v/>
      </c>
    </row>
    <row r="1506" spans="1:1" x14ac:dyDescent="0.2">
      <c r="A1506" s="12" t="str">
        <f t="shared" si="23"/>
        <v/>
      </c>
    </row>
    <row r="1507" spans="1:1" x14ac:dyDescent="0.2">
      <c r="A1507" s="12" t="str">
        <f t="shared" si="23"/>
        <v/>
      </c>
    </row>
    <row r="1508" spans="1:1" x14ac:dyDescent="0.2">
      <c r="A1508" s="12" t="str">
        <f t="shared" si="23"/>
        <v/>
      </c>
    </row>
    <row r="1509" spans="1:1" x14ac:dyDescent="0.2">
      <c r="A1509" s="12" t="str">
        <f t="shared" si="23"/>
        <v/>
      </c>
    </row>
    <row r="1510" spans="1:1" x14ac:dyDescent="0.2">
      <c r="A1510" s="12" t="str">
        <f t="shared" si="23"/>
        <v/>
      </c>
    </row>
    <row r="1511" spans="1:1" x14ac:dyDescent="0.2">
      <c r="A1511" s="12" t="str">
        <f t="shared" si="23"/>
        <v/>
      </c>
    </row>
    <row r="1512" spans="1:1" x14ac:dyDescent="0.2">
      <c r="A1512" s="12" t="str">
        <f t="shared" si="23"/>
        <v/>
      </c>
    </row>
    <row r="1513" spans="1:1" x14ac:dyDescent="0.2">
      <c r="A1513" s="12" t="str">
        <f t="shared" si="23"/>
        <v/>
      </c>
    </row>
    <row r="1514" spans="1:1" x14ac:dyDescent="0.2">
      <c r="A1514" s="12" t="str">
        <f t="shared" si="23"/>
        <v/>
      </c>
    </row>
    <row r="1515" spans="1:1" x14ac:dyDescent="0.2">
      <c r="A1515" s="12" t="str">
        <f t="shared" si="23"/>
        <v/>
      </c>
    </row>
    <row r="1516" spans="1:1" x14ac:dyDescent="0.2">
      <c r="A1516" s="12" t="str">
        <f t="shared" si="23"/>
        <v/>
      </c>
    </row>
    <row r="1517" spans="1:1" x14ac:dyDescent="0.2">
      <c r="A1517" s="12" t="str">
        <f t="shared" si="23"/>
        <v/>
      </c>
    </row>
    <row r="1518" spans="1:1" x14ac:dyDescent="0.2">
      <c r="A1518" s="12" t="str">
        <f t="shared" si="23"/>
        <v/>
      </c>
    </row>
    <row r="1519" spans="1:1" x14ac:dyDescent="0.2">
      <c r="A1519" s="12" t="str">
        <f t="shared" si="23"/>
        <v/>
      </c>
    </row>
    <row r="1520" spans="1:1" x14ac:dyDescent="0.2">
      <c r="A1520" s="12" t="str">
        <f t="shared" si="23"/>
        <v/>
      </c>
    </row>
    <row r="1521" spans="1:1" x14ac:dyDescent="0.2">
      <c r="A1521" s="12" t="str">
        <f t="shared" si="23"/>
        <v/>
      </c>
    </row>
    <row r="1522" spans="1:1" x14ac:dyDescent="0.2">
      <c r="A1522" s="12" t="str">
        <f t="shared" si="23"/>
        <v/>
      </c>
    </row>
    <row r="1523" spans="1:1" x14ac:dyDescent="0.2">
      <c r="A1523" s="12" t="str">
        <f t="shared" si="23"/>
        <v/>
      </c>
    </row>
    <row r="1524" spans="1:1" x14ac:dyDescent="0.2">
      <c r="A1524" s="12" t="str">
        <f t="shared" si="23"/>
        <v/>
      </c>
    </row>
    <row r="1525" spans="1:1" x14ac:dyDescent="0.2">
      <c r="A1525" s="12" t="str">
        <f t="shared" si="23"/>
        <v/>
      </c>
    </row>
    <row r="1526" spans="1:1" x14ac:dyDescent="0.2">
      <c r="A1526" s="12" t="str">
        <f t="shared" si="23"/>
        <v/>
      </c>
    </row>
    <row r="1527" spans="1:1" x14ac:dyDescent="0.2">
      <c r="A1527" s="12" t="str">
        <f t="shared" si="23"/>
        <v/>
      </c>
    </row>
    <row r="1528" spans="1:1" x14ac:dyDescent="0.2">
      <c r="A1528" s="12" t="str">
        <f t="shared" si="23"/>
        <v/>
      </c>
    </row>
    <row r="1529" spans="1:1" x14ac:dyDescent="0.2">
      <c r="A1529" s="12" t="str">
        <f t="shared" si="23"/>
        <v/>
      </c>
    </row>
    <row r="1530" spans="1:1" x14ac:dyDescent="0.2">
      <c r="A1530" s="12" t="str">
        <f t="shared" si="23"/>
        <v/>
      </c>
    </row>
    <row r="1531" spans="1:1" x14ac:dyDescent="0.2">
      <c r="A1531" s="12" t="str">
        <f t="shared" si="23"/>
        <v/>
      </c>
    </row>
    <row r="1532" spans="1:1" x14ac:dyDescent="0.2">
      <c r="A1532" s="12" t="str">
        <f t="shared" si="23"/>
        <v/>
      </c>
    </row>
    <row r="1533" spans="1:1" x14ac:dyDescent="0.2">
      <c r="A1533" s="12" t="str">
        <f t="shared" si="23"/>
        <v/>
      </c>
    </row>
    <row r="1534" spans="1:1" x14ac:dyDescent="0.2">
      <c r="A1534" s="12" t="str">
        <f t="shared" si="23"/>
        <v/>
      </c>
    </row>
    <row r="1535" spans="1:1" x14ac:dyDescent="0.2">
      <c r="A1535" s="12" t="str">
        <f t="shared" si="23"/>
        <v/>
      </c>
    </row>
    <row r="1536" spans="1:1" x14ac:dyDescent="0.2">
      <c r="A1536" s="12" t="str">
        <f t="shared" si="23"/>
        <v/>
      </c>
    </row>
    <row r="1537" spans="1:1" x14ac:dyDescent="0.2">
      <c r="A1537" s="12" t="str">
        <f t="shared" si="23"/>
        <v/>
      </c>
    </row>
    <row r="1538" spans="1:1" x14ac:dyDescent="0.2">
      <c r="A1538" s="12" t="str">
        <f t="shared" ref="A1538:A1601" si="24">IF(INDEX($AJ:$AJ,ROW())="","",HYPERLINK(INDEX($AJ:$AJ,ROW()),"Open"))</f>
        <v/>
      </c>
    </row>
    <row r="1539" spans="1:1" x14ac:dyDescent="0.2">
      <c r="A1539" s="12" t="str">
        <f t="shared" si="24"/>
        <v/>
      </c>
    </row>
    <row r="1540" spans="1:1" x14ac:dyDescent="0.2">
      <c r="A1540" s="12" t="str">
        <f t="shared" si="24"/>
        <v/>
      </c>
    </row>
    <row r="1541" spans="1:1" x14ac:dyDescent="0.2">
      <c r="A1541" s="12" t="str">
        <f t="shared" si="24"/>
        <v/>
      </c>
    </row>
    <row r="1542" spans="1:1" x14ac:dyDescent="0.2">
      <c r="A1542" s="12" t="str">
        <f t="shared" si="24"/>
        <v/>
      </c>
    </row>
    <row r="1543" spans="1:1" x14ac:dyDescent="0.2">
      <c r="A1543" s="12" t="str">
        <f t="shared" si="24"/>
        <v/>
      </c>
    </row>
    <row r="1544" spans="1:1" x14ac:dyDescent="0.2">
      <c r="A1544" s="12" t="str">
        <f t="shared" si="24"/>
        <v/>
      </c>
    </row>
    <row r="1545" spans="1:1" x14ac:dyDescent="0.2">
      <c r="A1545" s="12" t="str">
        <f t="shared" si="24"/>
        <v/>
      </c>
    </row>
    <row r="1546" spans="1:1" x14ac:dyDescent="0.2">
      <c r="A1546" s="12" t="str">
        <f t="shared" si="24"/>
        <v/>
      </c>
    </row>
    <row r="1547" spans="1:1" x14ac:dyDescent="0.2">
      <c r="A1547" s="12" t="str">
        <f t="shared" si="24"/>
        <v/>
      </c>
    </row>
    <row r="1548" spans="1:1" x14ac:dyDescent="0.2">
      <c r="A1548" s="12" t="str">
        <f t="shared" si="24"/>
        <v/>
      </c>
    </row>
    <row r="1549" spans="1:1" x14ac:dyDescent="0.2">
      <c r="A1549" s="12" t="str">
        <f t="shared" si="24"/>
        <v/>
      </c>
    </row>
    <row r="1550" spans="1:1" x14ac:dyDescent="0.2">
      <c r="A1550" s="12" t="str">
        <f t="shared" si="24"/>
        <v/>
      </c>
    </row>
    <row r="1551" spans="1:1" x14ac:dyDescent="0.2">
      <c r="A1551" s="12" t="str">
        <f t="shared" si="24"/>
        <v/>
      </c>
    </row>
    <row r="1552" spans="1:1" x14ac:dyDescent="0.2">
      <c r="A1552" s="12" t="str">
        <f t="shared" si="24"/>
        <v/>
      </c>
    </row>
    <row r="1553" spans="1:1" x14ac:dyDescent="0.2">
      <c r="A1553" s="12" t="str">
        <f t="shared" si="24"/>
        <v/>
      </c>
    </row>
    <row r="1554" spans="1:1" x14ac:dyDescent="0.2">
      <c r="A1554" s="12" t="str">
        <f t="shared" si="24"/>
        <v/>
      </c>
    </row>
    <row r="1555" spans="1:1" x14ac:dyDescent="0.2">
      <c r="A1555" s="12" t="str">
        <f t="shared" si="24"/>
        <v/>
      </c>
    </row>
    <row r="1556" spans="1:1" x14ac:dyDescent="0.2">
      <c r="A1556" s="12" t="str">
        <f t="shared" si="24"/>
        <v/>
      </c>
    </row>
    <row r="1557" spans="1:1" x14ac:dyDescent="0.2">
      <c r="A1557" s="12" t="str">
        <f t="shared" si="24"/>
        <v/>
      </c>
    </row>
    <row r="1558" spans="1:1" x14ac:dyDescent="0.2">
      <c r="A1558" s="12" t="str">
        <f t="shared" si="24"/>
        <v/>
      </c>
    </row>
    <row r="1559" spans="1:1" x14ac:dyDescent="0.2">
      <c r="A1559" s="12" t="str">
        <f t="shared" si="24"/>
        <v/>
      </c>
    </row>
    <row r="1560" spans="1:1" x14ac:dyDescent="0.2">
      <c r="A1560" s="12" t="str">
        <f t="shared" si="24"/>
        <v/>
      </c>
    </row>
    <row r="1561" spans="1:1" x14ac:dyDescent="0.2">
      <c r="A1561" s="12" t="str">
        <f t="shared" si="24"/>
        <v/>
      </c>
    </row>
    <row r="1562" spans="1:1" x14ac:dyDescent="0.2">
      <c r="A1562" s="12" t="str">
        <f t="shared" si="24"/>
        <v/>
      </c>
    </row>
    <row r="1563" spans="1:1" x14ac:dyDescent="0.2">
      <c r="A1563" s="12" t="str">
        <f t="shared" si="24"/>
        <v/>
      </c>
    </row>
    <row r="1564" spans="1:1" x14ac:dyDescent="0.2">
      <c r="A1564" s="12" t="str">
        <f t="shared" si="24"/>
        <v/>
      </c>
    </row>
    <row r="1565" spans="1:1" x14ac:dyDescent="0.2">
      <c r="A1565" s="12" t="str">
        <f t="shared" si="24"/>
        <v/>
      </c>
    </row>
    <row r="1566" spans="1:1" x14ac:dyDescent="0.2">
      <c r="A1566" s="12" t="str">
        <f t="shared" si="24"/>
        <v/>
      </c>
    </row>
    <row r="1567" spans="1:1" x14ac:dyDescent="0.2">
      <c r="A1567" s="12" t="str">
        <f t="shared" si="24"/>
        <v/>
      </c>
    </row>
    <row r="1568" spans="1:1" x14ac:dyDescent="0.2">
      <c r="A1568" s="12" t="str">
        <f t="shared" si="24"/>
        <v/>
      </c>
    </row>
    <row r="1569" spans="1:1" x14ac:dyDescent="0.2">
      <c r="A1569" s="12" t="str">
        <f t="shared" si="24"/>
        <v/>
      </c>
    </row>
    <row r="1570" spans="1:1" x14ac:dyDescent="0.2">
      <c r="A1570" s="12" t="str">
        <f t="shared" si="24"/>
        <v/>
      </c>
    </row>
    <row r="1571" spans="1:1" x14ac:dyDescent="0.2">
      <c r="A1571" s="12" t="str">
        <f t="shared" si="24"/>
        <v/>
      </c>
    </row>
    <row r="1572" spans="1:1" x14ac:dyDescent="0.2">
      <c r="A1572" s="12" t="str">
        <f t="shared" si="24"/>
        <v/>
      </c>
    </row>
    <row r="1573" spans="1:1" x14ac:dyDescent="0.2">
      <c r="A1573" s="12" t="str">
        <f t="shared" si="24"/>
        <v/>
      </c>
    </row>
    <row r="1574" spans="1:1" x14ac:dyDescent="0.2">
      <c r="A1574" s="12" t="str">
        <f t="shared" si="24"/>
        <v/>
      </c>
    </row>
    <row r="1575" spans="1:1" x14ac:dyDescent="0.2">
      <c r="A1575" s="12" t="str">
        <f t="shared" si="24"/>
        <v/>
      </c>
    </row>
    <row r="1576" spans="1:1" x14ac:dyDescent="0.2">
      <c r="A1576" s="12" t="str">
        <f t="shared" si="24"/>
        <v/>
      </c>
    </row>
    <row r="1577" spans="1:1" x14ac:dyDescent="0.2">
      <c r="A1577" s="12" t="str">
        <f t="shared" si="24"/>
        <v/>
      </c>
    </row>
    <row r="1578" spans="1:1" x14ac:dyDescent="0.2">
      <c r="A1578" s="12" t="str">
        <f t="shared" si="24"/>
        <v/>
      </c>
    </row>
    <row r="1579" spans="1:1" x14ac:dyDescent="0.2">
      <c r="A1579" s="12" t="str">
        <f t="shared" si="24"/>
        <v/>
      </c>
    </row>
    <row r="1580" spans="1:1" x14ac:dyDescent="0.2">
      <c r="A1580" s="12" t="str">
        <f t="shared" si="24"/>
        <v/>
      </c>
    </row>
    <row r="1581" spans="1:1" x14ac:dyDescent="0.2">
      <c r="A1581" s="12" t="str">
        <f t="shared" si="24"/>
        <v/>
      </c>
    </row>
    <row r="1582" spans="1:1" x14ac:dyDescent="0.2">
      <c r="A1582" s="12" t="str">
        <f t="shared" si="24"/>
        <v/>
      </c>
    </row>
    <row r="1583" spans="1:1" x14ac:dyDescent="0.2">
      <c r="A1583" s="12" t="str">
        <f t="shared" si="24"/>
        <v/>
      </c>
    </row>
    <row r="1584" spans="1:1" x14ac:dyDescent="0.2">
      <c r="A1584" s="12" t="str">
        <f t="shared" si="24"/>
        <v/>
      </c>
    </row>
    <row r="1585" spans="1:1" x14ac:dyDescent="0.2">
      <c r="A1585" s="12" t="str">
        <f t="shared" si="24"/>
        <v/>
      </c>
    </row>
    <row r="1586" spans="1:1" x14ac:dyDescent="0.2">
      <c r="A1586" s="12" t="str">
        <f t="shared" si="24"/>
        <v/>
      </c>
    </row>
    <row r="1587" spans="1:1" x14ac:dyDescent="0.2">
      <c r="A1587" s="12" t="str">
        <f t="shared" si="24"/>
        <v/>
      </c>
    </row>
    <row r="1588" spans="1:1" x14ac:dyDescent="0.2">
      <c r="A1588" s="12" t="str">
        <f t="shared" si="24"/>
        <v/>
      </c>
    </row>
    <row r="1589" spans="1:1" x14ac:dyDescent="0.2">
      <c r="A1589" s="12" t="str">
        <f t="shared" si="24"/>
        <v/>
      </c>
    </row>
    <row r="1590" spans="1:1" x14ac:dyDescent="0.2">
      <c r="A1590" s="12" t="str">
        <f t="shared" si="24"/>
        <v/>
      </c>
    </row>
    <row r="1591" spans="1:1" x14ac:dyDescent="0.2">
      <c r="A1591" s="12" t="str">
        <f t="shared" si="24"/>
        <v/>
      </c>
    </row>
    <row r="1592" spans="1:1" x14ac:dyDescent="0.2">
      <c r="A1592" s="12" t="str">
        <f t="shared" si="24"/>
        <v/>
      </c>
    </row>
    <row r="1593" spans="1:1" x14ac:dyDescent="0.2">
      <c r="A1593" s="12" t="str">
        <f t="shared" si="24"/>
        <v/>
      </c>
    </row>
    <row r="1594" spans="1:1" x14ac:dyDescent="0.2">
      <c r="A1594" s="12" t="str">
        <f t="shared" si="24"/>
        <v/>
      </c>
    </row>
    <row r="1595" spans="1:1" x14ac:dyDescent="0.2">
      <c r="A1595" s="12" t="str">
        <f t="shared" si="24"/>
        <v/>
      </c>
    </row>
    <row r="1596" spans="1:1" x14ac:dyDescent="0.2">
      <c r="A1596" s="12" t="str">
        <f t="shared" si="24"/>
        <v/>
      </c>
    </row>
    <row r="1597" spans="1:1" x14ac:dyDescent="0.2">
      <c r="A1597" s="12" t="str">
        <f t="shared" si="24"/>
        <v/>
      </c>
    </row>
    <row r="1598" spans="1:1" x14ac:dyDescent="0.2">
      <c r="A1598" s="12" t="str">
        <f t="shared" si="24"/>
        <v/>
      </c>
    </row>
    <row r="1599" spans="1:1" x14ac:dyDescent="0.2">
      <c r="A1599" s="12" t="str">
        <f t="shared" si="24"/>
        <v/>
      </c>
    </row>
    <row r="1600" spans="1:1" x14ac:dyDescent="0.2">
      <c r="A1600" s="12" t="str">
        <f t="shared" si="24"/>
        <v/>
      </c>
    </row>
    <row r="1601" spans="1:1" x14ac:dyDescent="0.2">
      <c r="A1601" s="12" t="str">
        <f t="shared" si="24"/>
        <v/>
      </c>
    </row>
    <row r="1602" spans="1:1" x14ac:dyDescent="0.2">
      <c r="A1602" s="12" t="str">
        <f t="shared" ref="A1602:A1665" si="25">IF(INDEX($AJ:$AJ,ROW())="","",HYPERLINK(INDEX($AJ:$AJ,ROW()),"Open"))</f>
        <v/>
      </c>
    </row>
    <row r="1603" spans="1:1" x14ac:dyDescent="0.2">
      <c r="A1603" s="12" t="str">
        <f t="shared" si="25"/>
        <v/>
      </c>
    </row>
    <row r="1604" spans="1:1" x14ac:dyDescent="0.2">
      <c r="A1604" s="12" t="str">
        <f t="shared" si="25"/>
        <v/>
      </c>
    </row>
    <row r="1605" spans="1:1" x14ac:dyDescent="0.2">
      <c r="A1605" s="12" t="str">
        <f t="shared" si="25"/>
        <v/>
      </c>
    </row>
    <row r="1606" spans="1:1" x14ac:dyDescent="0.2">
      <c r="A1606" s="12" t="str">
        <f t="shared" si="25"/>
        <v/>
      </c>
    </row>
    <row r="1607" spans="1:1" x14ac:dyDescent="0.2">
      <c r="A1607" s="12" t="str">
        <f t="shared" si="25"/>
        <v/>
      </c>
    </row>
    <row r="1608" spans="1:1" x14ac:dyDescent="0.2">
      <c r="A1608" s="12" t="str">
        <f t="shared" si="25"/>
        <v/>
      </c>
    </row>
    <row r="1609" spans="1:1" x14ac:dyDescent="0.2">
      <c r="A1609" s="12" t="str">
        <f t="shared" si="25"/>
        <v/>
      </c>
    </row>
    <row r="1610" spans="1:1" x14ac:dyDescent="0.2">
      <c r="A1610" s="12" t="str">
        <f t="shared" si="25"/>
        <v/>
      </c>
    </row>
    <row r="1611" spans="1:1" x14ac:dyDescent="0.2">
      <c r="A1611" s="12" t="str">
        <f t="shared" si="25"/>
        <v/>
      </c>
    </row>
    <row r="1612" spans="1:1" x14ac:dyDescent="0.2">
      <c r="A1612" s="12" t="str">
        <f t="shared" si="25"/>
        <v/>
      </c>
    </row>
    <row r="1613" spans="1:1" x14ac:dyDescent="0.2">
      <c r="A1613" s="12" t="str">
        <f t="shared" si="25"/>
        <v/>
      </c>
    </row>
    <row r="1614" spans="1:1" x14ac:dyDescent="0.2">
      <c r="A1614" s="12" t="str">
        <f t="shared" si="25"/>
        <v/>
      </c>
    </row>
    <row r="1615" spans="1:1" x14ac:dyDescent="0.2">
      <c r="A1615" s="12" t="str">
        <f t="shared" si="25"/>
        <v/>
      </c>
    </row>
    <row r="1616" spans="1:1" x14ac:dyDescent="0.2">
      <c r="A1616" s="12" t="str">
        <f t="shared" si="25"/>
        <v/>
      </c>
    </row>
    <row r="1617" spans="1:1" x14ac:dyDescent="0.2">
      <c r="A1617" s="12" t="str">
        <f t="shared" si="25"/>
        <v/>
      </c>
    </row>
    <row r="1618" spans="1:1" x14ac:dyDescent="0.2">
      <c r="A1618" s="12" t="str">
        <f t="shared" si="25"/>
        <v/>
      </c>
    </row>
    <row r="1619" spans="1:1" x14ac:dyDescent="0.2">
      <c r="A1619" s="12" t="str">
        <f t="shared" si="25"/>
        <v/>
      </c>
    </row>
    <row r="1620" spans="1:1" x14ac:dyDescent="0.2">
      <c r="A1620" s="12" t="str">
        <f t="shared" si="25"/>
        <v/>
      </c>
    </row>
    <row r="1621" spans="1:1" x14ac:dyDescent="0.2">
      <c r="A1621" s="12" t="str">
        <f t="shared" si="25"/>
        <v/>
      </c>
    </row>
    <row r="1622" spans="1:1" x14ac:dyDescent="0.2">
      <c r="A1622" s="12" t="str">
        <f t="shared" si="25"/>
        <v/>
      </c>
    </row>
    <row r="1623" spans="1:1" x14ac:dyDescent="0.2">
      <c r="A1623" s="12" t="str">
        <f t="shared" si="25"/>
        <v/>
      </c>
    </row>
    <row r="1624" spans="1:1" x14ac:dyDescent="0.2">
      <c r="A1624" s="12" t="str">
        <f t="shared" si="25"/>
        <v/>
      </c>
    </row>
    <row r="1625" spans="1:1" x14ac:dyDescent="0.2">
      <c r="A1625" s="12" t="str">
        <f t="shared" si="25"/>
        <v/>
      </c>
    </row>
    <row r="1626" spans="1:1" x14ac:dyDescent="0.2">
      <c r="A1626" s="12" t="str">
        <f t="shared" si="25"/>
        <v/>
      </c>
    </row>
    <row r="1627" spans="1:1" x14ac:dyDescent="0.2">
      <c r="A1627" s="12" t="str">
        <f t="shared" si="25"/>
        <v/>
      </c>
    </row>
    <row r="1628" spans="1:1" x14ac:dyDescent="0.2">
      <c r="A1628" s="12" t="str">
        <f t="shared" si="25"/>
        <v/>
      </c>
    </row>
    <row r="1629" spans="1:1" x14ac:dyDescent="0.2">
      <c r="A1629" s="12" t="str">
        <f t="shared" si="25"/>
        <v/>
      </c>
    </row>
    <row r="1630" spans="1:1" x14ac:dyDescent="0.2">
      <c r="A1630" s="12" t="str">
        <f t="shared" si="25"/>
        <v/>
      </c>
    </row>
    <row r="1631" spans="1:1" x14ac:dyDescent="0.2">
      <c r="A1631" s="12" t="str">
        <f t="shared" si="25"/>
        <v/>
      </c>
    </row>
    <row r="1632" spans="1:1" x14ac:dyDescent="0.2">
      <c r="A1632" s="12" t="str">
        <f t="shared" si="25"/>
        <v/>
      </c>
    </row>
    <row r="1633" spans="1:1" x14ac:dyDescent="0.2">
      <c r="A1633" s="12" t="str">
        <f t="shared" si="25"/>
        <v/>
      </c>
    </row>
    <row r="1634" spans="1:1" x14ac:dyDescent="0.2">
      <c r="A1634" s="12" t="str">
        <f t="shared" si="25"/>
        <v/>
      </c>
    </row>
    <row r="1635" spans="1:1" x14ac:dyDescent="0.2">
      <c r="A1635" s="12" t="str">
        <f t="shared" si="25"/>
        <v/>
      </c>
    </row>
    <row r="1636" spans="1:1" x14ac:dyDescent="0.2">
      <c r="A1636" s="12" t="str">
        <f t="shared" si="25"/>
        <v/>
      </c>
    </row>
    <row r="1637" spans="1:1" x14ac:dyDescent="0.2">
      <c r="A1637" s="12" t="str">
        <f t="shared" si="25"/>
        <v/>
      </c>
    </row>
    <row r="1638" spans="1:1" x14ac:dyDescent="0.2">
      <c r="A1638" s="12" t="str">
        <f t="shared" si="25"/>
        <v/>
      </c>
    </row>
    <row r="1639" spans="1:1" x14ac:dyDescent="0.2">
      <c r="A1639" s="12" t="str">
        <f t="shared" si="25"/>
        <v/>
      </c>
    </row>
    <row r="1640" spans="1:1" x14ac:dyDescent="0.2">
      <c r="A1640" s="12" t="str">
        <f t="shared" si="25"/>
        <v/>
      </c>
    </row>
    <row r="1641" spans="1:1" x14ac:dyDescent="0.2">
      <c r="A1641" s="12" t="str">
        <f t="shared" si="25"/>
        <v/>
      </c>
    </row>
    <row r="1642" spans="1:1" x14ac:dyDescent="0.2">
      <c r="A1642" s="12" t="str">
        <f t="shared" si="25"/>
        <v/>
      </c>
    </row>
    <row r="1643" spans="1:1" x14ac:dyDescent="0.2">
      <c r="A1643" s="12" t="str">
        <f t="shared" si="25"/>
        <v/>
      </c>
    </row>
    <row r="1644" spans="1:1" x14ac:dyDescent="0.2">
      <c r="A1644" s="12" t="str">
        <f t="shared" si="25"/>
        <v/>
      </c>
    </row>
    <row r="1645" spans="1:1" x14ac:dyDescent="0.2">
      <c r="A1645" s="12" t="str">
        <f t="shared" si="25"/>
        <v/>
      </c>
    </row>
    <row r="1646" spans="1:1" x14ac:dyDescent="0.2">
      <c r="A1646" s="12" t="str">
        <f t="shared" si="25"/>
        <v/>
      </c>
    </row>
    <row r="1647" spans="1:1" x14ac:dyDescent="0.2">
      <c r="A1647" s="12" t="str">
        <f t="shared" si="25"/>
        <v/>
      </c>
    </row>
    <row r="1648" spans="1:1" x14ac:dyDescent="0.2">
      <c r="A1648" s="12" t="str">
        <f t="shared" si="25"/>
        <v/>
      </c>
    </row>
    <row r="1649" spans="1:1" x14ac:dyDescent="0.2">
      <c r="A1649" s="12" t="str">
        <f t="shared" si="25"/>
        <v/>
      </c>
    </row>
    <row r="1650" spans="1:1" x14ac:dyDescent="0.2">
      <c r="A1650" s="12" t="str">
        <f t="shared" si="25"/>
        <v/>
      </c>
    </row>
    <row r="1651" spans="1:1" x14ac:dyDescent="0.2">
      <c r="A1651" s="12" t="str">
        <f t="shared" si="25"/>
        <v/>
      </c>
    </row>
    <row r="1652" spans="1:1" x14ac:dyDescent="0.2">
      <c r="A1652" s="12" t="str">
        <f t="shared" si="25"/>
        <v/>
      </c>
    </row>
    <row r="1653" spans="1:1" x14ac:dyDescent="0.2">
      <c r="A1653" s="12" t="str">
        <f t="shared" si="25"/>
        <v/>
      </c>
    </row>
    <row r="1654" spans="1:1" x14ac:dyDescent="0.2">
      <c r="A1654" s="12" t="str">
        <f t="shared" si="25"/>
        <v/>
      </c>
    </row>
    <row r="1655" spans="1:1" x14ac:dyDescent="0.2">
      <c r="A1655" s="12" t="str">
        <f t="shared" si="25"/>
        <v/>
      </c>
    </row>
    <row r="1656" spans="1:1" x14ac:dyDescent="0.2">
      <c r="A1656" s="12" t="str">
        <f t="shared" si="25"/>
        <v/>
      </c>
    </row>
    <row r="1657" spans="1:1" x14ac:dyDescent="0.2">
      <c r="A1657" s="12" t="str">
        <f t="shared" si="25"/>
        <v/>
      </c>
    </row>
    <row r="1658" spans="1:1" x14ac:dyDescent="0.2">
      <c r="A1658" s="12" t="str">
        <f t="shared" si="25"/>
        <v/>
      </c>
    </row>
    <row r="1659" spans="1:1" x14ac:dyDescent="0.2">
      <c r="A1659" s="12" t="str">
        <f t="shared" si="25"/>
        <v/>
      </c>
    </row>
    <row r="1660" spans="1:1" x14ac:dyDescent="0.2">
      <c r="A1660" s="12" t="str">
        <f t="shared" si="25"/>
        <v/>
      </c>
    </row>
    <row r="1661" spans="1:1" x14ac:dyDescent="0.2">
      <c r="A1661" s="12" t="str">
        <f t="shared" si="25"/>
        <v/>
      </c>
    </row>
    <row r="1662" spans="1:1" x14ac:dyDescent="0.2">
      <c r="A1662" s="12" t="str">
        <f t="shared" si="25"/>
        <v/>
      </c>
    </row>
    <row r="1663" spans="1:1" x14ac:dyDescent="0.2">
      <c r="A1663" s="12" t="str">
        <f t="shared" si="25"/>
        <v/>
      </c>
    </row>
    <row r="1664" spans="1:1" x14ac:dyDescent="0.2">
      <c r="A1664" s="12" t="str">
        <f t="shared" si="25"/>
        <v/>
      </c>
    </row>
    <row r="1665" spans="1:1" x14ac:dyDescent="0.2">
      <c r="A1665" s="12" t="str">
        <f t="shared" si="25"/>
        <v/>
      </c>
    </row>
    <row r="1666" spans="1:1" x14ac:dyDescent="0.2">
      <c r="A1666" s="12" t="str">
        <f t="shared" ref="A1666:A1729" si="26">IF(INDEX($AJ:$AJ,ROW())="","",HYPERLINK(INDEX($AJ:$AJ,ROW()),"Open"))</f>
        <v/>
      </c>
    </row>
    <row r="1667" spans="1:1" x14ac:dyDescent="0.2">
      <c r="A1667" s="12" t="str">
        <f t="shared" si="26"/>
        <v/>
      </c>
    </row>
    <row r="1668" spans="1:1" x14ac:dyDescent="0.2">
      <c r="A1668" s="12" t="str">
        <f t="shared" si="26"/>
        <v/>
      </c>
    </row>
    <row r="1669" spans="1:1" x14ac:dyDescent="0.2">
      <c r="A1669" s="12" t="str">
        <f t="shared" si="26"/>
        <v/>
      </c>
    </row>
    <row r="1670" spans="1:1" x14ac:dyDescent="0.2">
      <c r="A1670" s="12" t="str">
        <f t="shared" si="26"/>
        <v/>
      </c>
    </row>
    <row r="1671" spans="1:1" x14ac:dyDescent="0.2">
      <c r="A1671" s="12" t="str">
        <f t="shared" si="26"/>
        <v/>
      </c>
    </row>
    <row r="1672" spans="1:1" x14ac:dyDescent="0.2">
      <c r="A1672" s="12" t="str">
        <f t="shared" si="26"/>
        <v/>
      </c>
    </row>
    <row r="1673" spans="1:1" x14ac:dyDescent="0.2">
      <c r="A1673" s="12" t="str">
        <f t="shared" si="26"/>
        <v/>
      </c>
    </row>
    <row r="1674" spans="1:1" x14ac:dyDescent="0.2">
      <c r="A1674" s="12" t="str">
        <f t="shared" si="26"/>
        <v/>
      </c>
    </row>
    <row r="1675" spans="1:1" x14ac:dyDescent="0.2">
      <c r="A1675" s="12" t="str">
        <f t="shared" si="26"/>
        <v/>
      </c>
    </row>
    <row r="1676" spans="1:1" x14ac:dyDescent="0.2">
      <c r="A1676" s="12" t="str">
        <f t="shared" si="26"/>
        <v/>
      </c>
    </row>
    <row r="1677" spans="1:1" x14ac:dyDescent="0.2">
      <c r="A1677" s="12" t="str">
        <f t="shared" si="26"/>
        <v/>
      </c>
    </row>
    <row r="1678" spans="1:1" x14ac:dyDescent="0.2">
      <c r="A1678" s="12" t="str">
        <f t="shared" si="26"/>
        <v/>
      </c>
    </row>
    <row r="1679" spans="1:1" x14ac:dyDescent="0.2">
      <c r="A1679" s="12" t="str">
        <f t="shared" si="26"/>
        <v/>
      </c>
    </row>
    <row r="1680" spans="1:1" x14ac:dyDescent="0.2">
      <c r="A1680" s="12" t="str">
        <f t="shared" si="26"/>
        <v/>
      </c>
    </row>
    <row r="1681" spans="1:1" x14ac:dyDescent="0.2">
      <c r="A1681" s="12" t="str">
        <f t="shared" si="26"/>
        <v/>
      </c>
    </row>
    <row r="1682" spans="1:1" x14ac:dyDescent="0.2">
      <c r="A1682" s="12" t="str">
        <f t="shared" si="26"/>
        <v/>
      </c>
    </row>
    <row r="1683" spans="1:1" x14ac:dyDescent="0.2">
      <c r="A1683" s="12" t="str">
        <f t="shared" si="26"/>
        <v/>
      </c>
    </row>
    <row r="1684" spans="1:1" x14ac:dyDescent="0.2">
      <c r="A1684" s="12" t="str">
        <f t="shared" si="26"/>
        <v/>
      </c>
    </row>
    <row r="1685" spans="1:1" x14ac:dyDescent="0.2">
      <c r="A1685" s="12" t="str">
        <f t="shared" si="26"/>
        <v/>
      </c>
    </row>
    <row r="1686" spans="1:1" x14ac:dyDescent="0.2">
      <c r="A1686" s="12" t="str">
        <f t="shared" si="26"/>
        <v/>
      </c>
    </row>
    <row r="1687" spans="1:1" x14ac:dyDescent="0.2">
      <c r="A1687" s="12" t="str">
        <f t="shared" si="26"/>
        <v/>
      </c>
    </row>
    <row r="1688" spans="1:1" x14ac:dyDescent="0.2">
      <c r="A1688" s="12" t="str">
        <f t="shared" si="26"/>
        <v/>
      </c>
    </row>
    <row r="1689" spans="1:1" x14ac:dyDescent="0.2">
      <c r="A1689" s="12" t="str">
        <f t="shared" si="26"/>
        <v/>
      </c>
    </row>
    <row r="1690" spans="1:1" x14ac:dyDescent="0.2">
      <c r="A1690" s="12" t="str">
        <f t="shared" si="26"/>
        <v/>
      </c>
    </row>
    <row r="1691" spans="1:1" x14ac:dyDescent="0.2">
      <c r="A1691" s="12" t="str">
        <f t="shared" si="26"/>
        <v/>
      </c>
    </row>
    <row r="1692" spans="1:1" x14ac:dyDescent="0.2">
      <c r="A1692" s="12" t="str">
        <f t="shared" si="26"/>
        <v/>
      </c>
    </row>
    <row r="1693" spans="1:1" x14ac:dyDescent="0.2">
      <c r="A1693" s="12" t="str">
        <f t="shared" si="26"/>
        <v/>
      </c>
    </row>
    <row r="1694" spans="1:1" x14ac:dyDescent="0.2">
      <c r="A1694" s="12" t="str">
        <f t="shared" si="26"/>
        <v/>
      </c>
    </row>
    <row r="1695" spans="1:1" x14ac:dyDescent="0.2">
      <c r="A1695" s="12" t="str">
        <f t="shared" si="26"/>
        <v/>
      </c>
    </row>
    <row r="1696" spans="1:1" x14ac:dyDescent="0.2">
      <c r="A1696" s="12" t="str">
        <f t="shared" si="26"/>
        <v/>
      </c>
    </row>
    <row r="1697" spans="1:1" x14ac:dyDescent="0.2">
      <c r="A1697" s="12" t="str">
        <f t="shared" si="26"/>
        <v/>
      </c>
    </row>
    <row r="1698" spans="1:1" x14ac:dyDescent="0.2">
      <c r="A1698" s="12" t="str">
        <f t="shared" si="26"/>
        <v/>
      </c>
    </row>
    <row r="1699" spans="1:1" x14ac:dyDescent="0.2">
      <c r="A1699" s="12" t="str">
        <f t="shared" si="26"/>
        <v/>
      </c>
    </row>
    <row r="1700" spans="1:1" x14ac:dyDescent="0.2">
      <c r="A1700" s="12" t="str">
        <f t="shared" si="26"/>
        <v/>
      </c>
    </row>
    <row r="1701" spans="1:1" x14ac:dyDescent="0.2">
      <c r="A1701" s="12" t="str">
        <f t="shared" si="26"/>
        <v/>
      </c>
    </row>
    <row r="1702" spans="1:1" x14ac:dyDescent="0.2">
      <c r="A1702" s="12" t="str">
        <f t="shared" si="26"/>
        <v/>
      </c>
    </row>
    <row r="1703" spans="1:1" x14ac:dyDescent="0.2">
      <c r="A1703" s="12" t="str">
        <f t="shared" si="26"/>
        <v/>
      </c>
    </row>
    <row r="1704" spans="1:1" x14ac:dyDescent="0.2">
      <c r="A1704" s="12" t="str">
        <f t="shared" si="26"/>
        <v/>
      </c>
    </row>
    <row r="1705" spans="1:1" x14ac:dyDescent="0.2">
      <c r="A1705" s="12" t="str">
        <f t="shared" si="26"/>
        <v/>
      </c>
    </row>
    <row r="1706" spans="1:1" x14ac:dyDescent="0.2">
      <c r="A1706" s="12" t="str">
        <f t="shared" si="26"/>
        <v/>
      </c>
    </row>
    <row r="1707" spans="1:1" x14ac:dyDescent="0.2">
      <c r="A1707" s="12" t="str">
        <f t="shared" si="26"/>
        <v/>
      </c>
    </row>
    <row r="1708" spans="1:1" x14ac:dyDescent="0.2">
      <c r="A1708" s="12" t="str">
        <f t="shared" si="26"/>
        <v/>
      </c>
    </row>
    <row r="1709" spans="1:1" x14ac:dyDescent="0.2">
      <c r="A1709" s="12" t="str">
        <f t="shared" si="26"/>
        <v/>
      </c>
    </row>
    <row r="1710" spans="1:1" x14ac:dyDescent="0.2">
      <c r="A1710" s="12" t="str">
        <f t="shared" si="26"/>
        <v/>
      </c>
    </row>
    <row r="1711" spans="1:1" x14ac:dyDescent="0.2">
      <c r="A1711" s="12" t="str">
        <f t="shared" si="26"/>
        <v/>
      </c>
    </row>
    <row r="1712" spans="1:1" x14ac:dyDescent="0.2">
      <c r="A1712" s="12" t="str">
        <f t="shared" si="26"/>
        <v/>
      </c>
    </row>
    <row r="1713" spans="1:1" x14ac:dyDescent="0.2">
      <c r="A1713" s="12" t="str">
        <f t="shared" si="26"/>
        <v/>
      </c>
    </row>
    <row r="1714" spans="1:1" x14ac:dyDescent="0.2">
      <c r="A1714" s="12" t="str">
        <f t="shared" si="26"/>
        <v/>
      </c>
    </row>
    <row r="1715" spans="1:1" x14ac:dyDescent="0.2">
      <c r="A1715" s="12" t="str">
        <f t="shared" si="26"/>
        <v/>
      </c>
    </row>
    <row r="1716" spans="1:1" x14ac:dyDescent="0.2">
      <c r="A1716" s="12" t="str">
        <f t="shared" si="26"/>
        <v/>
      </c>
    </row>
    <row r="1717" spans="1:1" x14ac:dyDescent="0.2">
      <c r="A1717" s="12" t="str">
        <f t="shared" si="26"/>
        <v/>
      </c>
    </row>
    <row r="1718" spans="1:1" x14ac:dyDescent="0.2">
      <c r="A1718" s="12" t="str">
        <f t="shared" si="26"/>
        <v/>
      </c>
    </row>
    <row r="1719" spans="1:1" x14ac:dyDescent="0.2">
      <c r="A1719" s="12" t="str">
        <f t="shared" si="26"/>
        <v/>
      </c>
    </row>
    <row r="1720" spans="1:1" x14ac:dyDescent="0.2">
      <c r="A1720" s="12" t="str">
        <f t="shared" si="26"/>
        <v/>
      </c>
    </row>
    <row r="1721" spans="1:1" x14ac:dyDescent="0.2">
      <c r="A1721" s="12" t="str">
        <f t="shared" si="26"/>
        <v/>
      </c>
    </row>
    <row r="1722" spans="1:1" x14ac:dyDescent="0.2">
      <c r="A1722" s="12" t="str">
        <f t="shared" si="26"/>
        <v/>
      </c>
    </row>
    <row r="1723" spans="1:1" x14ac:dyDescent="0.2">
      <c r="A1723" s="12" t="str">
        <f t="shared" si="26"/>
        <v/>
      </c>
    </row>
    <row r="1724" spans="1:1" x14ac:dyDescent="0.2">
      <c r="A1724" s="12" t="str">
        <f t="shared" si="26"/>
        <v/>
      </c>
    </row>
    <row r="1725" spans="1:1" x14ac:dyDescent="0.2">
      <c r="A1725" s="12" t="str">
        <f t="shared" si="26"/>
        <v/>
      </c>
    </row>
    <row r="1726" spans="1:1" x14ac:dyDescent="0.2">
      <c r="A1726" s="12" t="str">
        <f t="shared" si="26"/>
        <v/>
      </c>
    </row>
    <row r="1727" spans="1:1" x14ac:dyDescent="0.2">
      <c r="A1727" s="12" t="str">
        <f t="shared" si="26"/>
        <v/>
      </c>
    </row>
    <row r="1728" spans="1:1" x14ac:dyDescent="0.2">
      <c r="A1728" s="12" t="str">
        <f t="shared" si="26"/>
        <v/>
      </c>
    </row>
    <row r="1729" spans="1:1" x14ac:dyDescent="0.2">
      <c r="A1729" s="12" t="str">
        <f t="shared" si="26"/>
        <v/>
      </c>
    </row>
    <row r="1730" spans="1:1" x14ac:dyDescent="0.2">
      <c r="A1730" s="12" t="str">
        <f t="shared" ref="A1730:A1793" si="27">IF(INDEX($AJ:$AJ,ROW())="","",HYPERLINK(INDEX($AJ:$AJ,ROW()),"Open"))</f>
        <v/>
      </c>
    </row>
    <row r="1731" spans="1:1" x14ac:dyDescent="0.2">
      <c r="A1731" s="12" t="str">
        <f t="shared" si="27"/>
        <v/>
      </c>
    </row>
    <row r="1732" spans="1:1" x14ac:dyDescent="0.2">
      <c r="A1732" s="12" t="str">
        <f t="shared" si="27"/>
        <v/>
      </c>
    </row>
    <row r="1733" spans="1:1" x14ac:dyDescent="0.2">
      <c r="A1733" s="12" t="str">
        <f t="shared" si="27"/>
        <v/>
      </c>
    </row>
    <row r="1734" spans="1:1" x14ac:dyDescent="0.2">
      <c r="A1734" s="12" t="str">
        <f t="shared" si="27"/>
        <v/>
      </c>
    </row>
    <row r="1735" spans="1:1" x14ac:dyDescent="0.2">
      <c r="A1735" s="12" t="str">
        <f t="shared" si="27"/>
        <v/>
      </c>
    </row>
    <row r="1736" spans="1:1" x14ac:dyDescent="0.2">
      <c r="A1736" s="12" t="str">
        <f t="shared" si="27"/>
        <v/>
      </c>
    </row>
    <row r="1737" spans="1:1" x14ac:dyDescent="0.2">
      <c r="A1737" s="12" t="str">
        <f t="shared" si="27"/>
        <v/>
      </c>
    </row>
    <row r="1738" spans="1:1" x14ac:dyDescent="0.2">
      <c r="A1738" s="12" t="str">
        <f t="shared" si="27"/>
        <v/>
      </c>
    </row>
    <row r="1739" spans="1:1" x14ac:dyDescent="0.2">
      <c r="A1739" s="12" t="str">
        <f t="shared" si="27"/>
        <v/>
      </c>
    </row>
    <row r="1740" spans="1:1" x14ac:dyDescent="0.2">
      <c r="A1740" s="12" t="str">
        <f t="shared" si="27"/>
        <v/>
      </c>
    </row>
    <row r="1741" spans="1:1" x14ac:dyDescent="0.2">
      <c r="A1741" s="12" t="str">
        <f t="shared" si="27"/>
        <v/>
      </c>
    </row>
    <row r="1742" spans="1:1" x14ac:dyDescent="0.2">
      <c r="A1742" s="12" t="str">
        <f t="shared" si="27"/>
        <v/>
      </c>
    </row>
    <row r="1743" spans="1:1" x14ac:dyDescent="0.2">
      <c r="A1743" s="12" t="str">
        <f t="shared" si="27"/>
        <v/>
      </c>
    </row>
    <row r="1744" spans="1:1" x14ac:dyDescent="0.2">
      <c r="A1744" s="12" t="str">
        <f t="shared" si="27"/>
        <v/>
      </c>
    </row>
    <row r="1745" spans="1:1" x14ac:dyDescent="0.2">
      <c r="A1745" s="12" t="str">
        <f t="shared" si="27"/>
        <v/>
      </c>
    </row>
    <row r="1746" spans="1:1" x14ac:dyDescent="0.2">
      <c r="A1746" s="12" t="str">
        <f t="shared" si="27"/>
        <v/>
      </c>
    </row>
    <row r="1747" spans="1:1" x14ac:dyDescent="0.2">
      <c r="A1747" s="12" t="str">
        <f t="shared" si="27"/>
        <v/>
      </c>
    </row>
    <row r="1748" spans="1:1" x14ac:dyDescent="0.2">
      <c r="A1748" s="12" t="str">
        <f t="shared" si="27"/>
        <v/>
      </c>
    </row>
    <row r="1749" spans="1:1" x14ac:dyDescent="0.2">
      <c r="A1749" s="12" t="str">
        <f t="shared" si="27"/>
        <v/>
      </c>
    </row>
    <row r="1750" spans="1:1" x14ac:dyDescent="0.2">
      <c r="A1750" s="12" t="str">
        <f t="shared" si="27"/>
        <v/>
      </c>
    </row>
    <row r="1751" spans="1:1" x14ac:dyDescent="0.2">
      <c r="A1751" s="12" t="str">
        <f t="shared" si="27"/>
        <v/>
      </c>
    </row>
    <row r="1752" spans="1:1" x14ac:dyDescent="0.2">
      <c r="A1752" s="12" t="str">
        <f t="shared" si="27"/>
        <v/>
      </c>
    </row>
    <row r="1753" spans="1:1" x14ac:dyDescent="0.2">
      <c r="A1753" s="12" t="str">
        <f t="shared" si="27"/>
        <v/>
      </c>
    </row>
    <row r="1754" spans="1:1" x14ac:dyDescent="0.2">
      <c r="A1754" s="12" t="str">
        <f t="shared" si="27"/>
        <v/>
      </c>
    </row>
    <row r="1755" spans="1:1" x14ac:dyDescent="0.2">
      <c r="A1755" s="12" t="str">
        <f t="shared" si="27"/>
        <v/>
      </c>
    </row>
    <row r="1756" spans="1:1" x14ac:dyDescent="0.2">
      <c r="A1756" s="12" t="str">
        <f t="shared" si="27"/>
        <v/>
      </c>
    </row>
    <row r="1757" spans="1:1" x14ac:dyDescent="0.2">
      <c r="A1757" s="12" t="str">
        <f t="shared" si="27"/>
        <v/>
      </c>
    </row>
    <row r="1758" spans="1:1" x14ac:dyDescent="0.2">
      <c r="A1758" s="12" t="str">
        <f t="shared" si="27"/>
        <v/>
      </c>
    </row>
    <row r="1759" spans="1:1" x14ac:dyDescent="0.2">
      <c r="A1759" s="12" t="str">
        <f t="shared" si="27"/>
        <v/>
      </c>
    </row>
    <row r="1760" spans="1:1" x14ac:dyDescent="0.2">
      <c r="A1760" s="12" t="str">
        <f t="shared" si="27"/>
        <v/>
      </c>
    </row>
    <row r="1761" spans="1:1" x14ac:dyDescent="0.2">
      <c r="A1761" s="12" t="str">
        <f t="shared" si="27"/>
        <v/>
      </c>
    </row>
    <row r="1762" spans="1:1" x14ac:dyDescent="0.2">
      <c r="A1762" s="12" t="str">
        <f t="shared" si="27"/>
        <v/>
      </c>
    </row>
    <row r="1763" spans="1:1" x14ac:dyDescent="0.2">
      <c r="A1763" s="12" t="str">
        <f t="shared" si="27"/>
        <v/>
      </c>
    </row>
    <row r="1764" spans="1:1" x14ac:dyDescent="0.2">
      <c r="A1764" s="12" t="str">
        <f t="shared" si="27"/>
        <v/>
      </c>
    </row>
    <row r="1765" spans="1:1" x14ac:dyDescent="0.2">
      <c r="A1765" s="12" t="str">
        <f t="shared" si="27"/>
        <v/>
      </c>
    </row>
    <row r="1766" spans="1:1" x14ac:dyDescent="0.2">
      <c r="A1766" s="12" t="str">
        <f t="shared" si="27"/>
        <v/>
      </c>
    </row>
    <row r="1767" spans="1:1" x14ac:dyDescent="0.2">
      <c r="A1767" s="12" t="str">
        <f t="shared" si="27"/>
        <v/>
      </c>
    </row>
    <row r="1768" spans="1:1" x14ac:dyDescent="0.2">
      <c r="A1768" s="12" t="str">
        <f t="shared" si="27"/>
        <v/>
      </c>
    </row>
    <row r="1769" spans="1:1" x14ac:dyDescent="0.2">
      <c r="A1769" s="12" t="str">
        <f t="shared" si="27"/>
        <v/>
      </c>
    </row>
    <row r="1770" spans="1:1" x14ac:dyDescent="0.2">
      <c r="A1770" s="12" t="str">
        <f t="shared" si="27"/>
        <v/>
      </c>
    </row>
    <row r="1771" spans="1:1" x14ac:dyDescent="0.2">
      <c r="A1771" s="12" t="str">
        <f t="shared" si="27"/>
        <v/>
      </c>
    </row>
    <row r="1772" spans="1:1" x14ac:dyDescent="0.2">
      <c r="A1772" s="12" t="str">
        <f t="shared" si="27"/>
        <v/>
      </c>
    </row>
    <row r="1773" spans="1:1" x14ac:dyDescent="0.2">
      <c r="A1773" s="12" t="str">
        <f t="shared" si="27"/>
        <v/>
      </c>
    </row>
    <row r="1774" spans="1:1" x14ac:dyDescent="0.2">
      <c r="A1774" s="12" t="str">
        <f t="shared" si="27"/>
        <v/>
      </c>
    </row>
    <row r="1775" spans="1:1" x14ac:dyDescent="0.2">
      <c r="A1775" s="12" t="str">
        <f t="shared" si="27"/>
        <v/>
      </c>
    </row>
    <row r="1776" spans="1:1" x14ac:dyDescent="0.2">
      <c r="A1776" s="12" t="str">
        <f t="shared" si="27"/>
        <v/>
      </c>
    </row>
    <row r="1777" spans="1:1" x14ac:dyDescent="0.2">
      <c r="A1777" s="12" t="str">
        <f t="shared" si="27"/>
        <v/>
      </c>
    </row>
    <row r="1778" spans="1:1" x14ac:dyDescent="0.2">
      <c r="A1778" s="12" t="str">
        <f t="shared" si="27"/>
        <v/>
      </c>
    </row>
    <row r="1779" spans="1:1" x14ac:dyDescent="0.2">
      <c r="A1779" s="12" t="str">
        <f t="shared" si="27"/>
        <v/>
      </c>
    </row>
    <row r="1780" spans="1:1" x14ac:dyDescent="0.2">
      <c r="A1780" s="12" t="str">
        <f t="shared" si="27"/>
        <v/>
      </c>
    </row>
    <row r="1781" spans="1:1" x14ac:dyDescent="0.2">
      <c r="A1781" s="12" t="str">
        <f t="shared" si="27"/>
        <v/>
      </c>
    </row>
    <row r="1782" spans="1:1" x14ac:dyDescent="0.2">
      <c r="A1782" s="12" t="str">
        <f t="shared" si="27"/>
        <v/>
      </c>
    </row>
    <row r="1783" spans="1:1" x14ac:dyDescent="0.2">
      <c r="A1783" s="12" t="str">
        <f t="shared" si="27"/>
        <v/>
      </c>
    </row>
    <row r="1784" spans="1:1" x14ac:dyDescent="0.2">
      <c r="A1784" s="12" t="str">
        <f t="shared" si="27"/>
        <v/>
      </c>
    </row>
    <row r="1785" spans="1:1" x14ac:dyDescent="0.2">
      <c r="A1785" s="12" t="str">
        <f t="shared" si="27"/>
        <v/>
      </c>
    </row>
    <row r="1786" spans="1:1" x14ac:dyDescent="0.2">
      <c r="A1786" s="12" t="str">
        <f t="shared" si="27"/>
        <v/>
      </c>
    </row>
    <row r="1787" spans="1:1" x14ac:dyDescent="0.2">
      <c r="A1787" s="12" t="str">
        <f t="shared" si="27"/>
        <v/>
      </c>
    </row>
    <row r="1788" spans="1:1" x14ac:dyDescent="0.2">
      <c r="A1788" s="12" t="str">
        <f t="shared" si="27"/>
        <v/>
      </c>
    </row>
    <row r="1789" spans="1:1" x14ac:dyDescent="0.2">
      <c r="A1789" s="12" t="str">
        <f t="shared" si="27"/>
        <v/>
      </c>
    </row>
    <row r="1790" spans="1:1" x14ac:dyDescent="0.2">
      <c r="A1790" s="12" t="str">
        <f t="shared" si="27"/>
        <v/>
      </c>
    </row>
    <row r="1791" spans="1:1" x14ac:dyDescent="0.2">
      <c r="A1791" s="12" t="str">
        <f t="shared" si="27"/>
        <v/>
      </c>
    </row>
    <row r="1792" spans="1:1" x14ac:dyDescent="0.2">
      <c r="A1792" s="12" t="str">
        <f t="shared" si="27"/>
        <v/>
      </c>
    </row>
    <row r="1793" spans="1:1" x14ac:dyDescent="0.2">
      <c r="A1793" s="12" t="str">
        <f t="shared" si="27"/>
        <v/>
      </c>
    </row>
    <row r="1794" spans="1:1" x14ac:dyDescent="0.2">
      <c r="A1794" s="12" t="str">
        <f t="shared" ref="A1794:A1857" si="28">IF(INDEX($AJ:$AJ,ROW())="","",HYPERLINK(INDEX($AJ:$AJ,ROW()),"Open"))</f>
        <v/>
      </c>
    </row>
    <row r="1795" spans="1:1" x14ac:dyDescent="0.2">
      <c r="A1795" s="12" t="str">
        <f t="shared" si="28"/>
        <v/>
      </c>
    </row>
    <row r="1796" spans="1:1" x14ac:dyDescent="0.2">
      <c r="A1796" s="12" t="str">
        <f t="shared" si="28"/>
        <v/>
      </c>
    </row>
    <row r="1797" spans="1:1" x14ac:dyDescent="0.2">
      <c r="A1797" s="12" t="str">
        <f t="shared" si="28"/>
        <v/>
      </c>
    </row>
    <row r="1798" spans="1:1" x14ac:dyDescent="0.2">
      <c r="A1798" s="12" t="str">
        <f t="shared" si="28"/>
        <v/>
      </c>
    </row>
    <row r="1799" spans="1:1" x14ac:dyDescent="0.2">
      <c r="A1799" s="12" t="str">
        <f t="shared" si="28"/>
        <v/>
      </c>
    </row>
    <row r="1800" spans="1:1" x14ac:dyDescent="0.2">
      <c r="A1800" s="12" t="str">
        <f t="shared" si="28"/>
        <v/>
      </c>
    </row>
    <row r="1801" spans="1:1" x14ac:dyDescent="0.2">
      <c r="A1801" s="12" t="str">
        <f t="shared" si="28"/>
        <v/>
      </c>
    </row>
    <row r="1802" spans="1:1" x14ac:dyDescent="0.2">
      <c r="A1802" s="12" t="str">
        <f t="shared" si="28"/>
        <v/>
      </c>
    </row>
    <row r="1803" spans="1:1" x14ac:dyDescent="0.2">
      <c r="A1803" s="12" t="str">
        <f t="shared" si="28"/>
        <v/>
      </c>
    </row>
    <row r="1804" spans="1:1" x14ac:dyDescent="0.2">
      <c r="A1804" s="12" t="str">
        <f t="shared" si="28"/>
        <v/>
      </c>
    </row>
    <row r="1805" spans="1:1" x14ac:dyDescent="0.2">
      <c r="A1805" s="12" t="str">
        <f t="shared" si="28"/>
        <v/>
      </c>
    </row>
    <row r="1806" spans="1:1" x14ac:dyDescent="0.2">
      <c r="A1806" s="12" t="str">
        <f t="shared" si="28"/>
        <v/>
      </c>
    </row>
    <row r="1807" spans="1:1" x14ac:dyDescent="0.2">
      <c r="A1807" s="12" t="str">
        <f t="shared" si="28"/>
        <v/>
      </c>
    </row>
    <row r="1808" spans="1:1" x14ac:dyDescent="0.2">
      <c r="A1808" s="12" t="str">
        <f t="shared" si="28"/>
        <v/>
      </c>
    </row>
    <row r="1809" spans="1:1" x14ac:dyDescent="0.2">
      <c r="A1809" s="12" t="str">
        <f t="shared" si="28"/>
        <v/>
      </c>
    </row>
    <row r="1810" spans="1:1" x14ac:dyDescent="0.2">
      <c r="A1810" s="12" t="str">
        <f t="shared" si="28"/>
        <v/>
      </c>
    </row>
    <row r="1811" spans="1:1" x14ac:dyDescent="0.2">
      <c r="A1811" s="12" t="str">
        <f t="shared" si="28"/>
        <v/>
      </c>
    </row>
    <row r="1812" spans="1:1" x14ac:dyDescent="0.2">
      <c r="A1812" s="12" t="str">
        <f t="shared" si="28"/>
        <v/>
      </c>
    </row>
    <row r="1813" spans="1:1" x14ac:dyDescent="0.2">
      <c r="A1813" s="12" t="str">
        <f t="shared" si="28"/>
        <v/>
      </c>
    </row>
    <row r="1814" spans="1:1" x14ac:dyDescent="0.2">
      <c r="A1814" s="12" t="str">
        <f t="shared" si="28"/>
        <v/>
      </c>
    </row>
    <row r="1815" spans="1:1" x14ac:dyDescent="0.2">
      <c r="A1815" s="12" t="str">
        <f t="shared" si="28"/>
        <v/>
      </c>
    </row>
    <row r="1816" spans="1:1" x14ac:dyDescent="0.2">
      <c r="A1816" s="12" t="str">
        <f t="shared" si="28"/>
        <v/>
      </c>
    </row>
    <row r="1817" spans="1:1" x14ac:dyDescent="0.2">
      <c r="A1817" s="12" t="str">
        <f t="shared" si="28"/>
        <v/>
      </c>
    </row>
    <row r="1818" spans="1:1" x14ac:dyDescent="0.2">
      <c r="A1818" s="12" t="str">
        <f t="shared" si="28"/>
        <v/>
      </c>
    </row>
    <row r="1819" spans="1:1" x14ac:dyDescent="0.2">
      <c r="A1819" s="12" t="str">
        <f t="shared" si="28"/>
        <v/>
      </c>
    </row>
    <row r="1820" spans="1:1" x14ac:dyDescent="0.2">
      <c r="A1820" s="12" t="str">
        <f t="shared" si="28"/>
        <v/>
      </c>
    </row>
    <row r="1821" spans="1:1" x14ac:dyDescent="0.2">
      <c r="A1821" s="12" t="str">
        <f t="shared" si="28"/>
        <v/>
      </c>
    </row>
    <row r="1822" spans="1:1" x14ac:dyDescent="0.2">
      <c r="A1822" s="12" t="str">
        <f t="shared" si="28"/>
        <v/>
      </c>
    </row>
    <row r="1823" spans="1:1" x14ac:dyDescent="0.2">
      <c r="A1823" s="12" t="str">
        <f t="shared" si="28"/>
        <v/>
      </c>
    </row>
    <row r="1824" spans="1:1" x14ac:dyDescent="0.2">
      <c r="A1824" s="12" t="str">
        <f t="shared" si="28"/>
        <v/>
      </c>
    </row>
    <row r="1825" spans="1:1" x14ac:dyDescent="0.2">
      <c r="A1825" s="12" t="str">
        <f t="shared" si="28"/>
        <v/>
      </c>
    </row>
    <row r="1826" spans="1:1" x14ac:dyDescent="0.2">
      <c r="A1826" s="12" t="str">
        <f t="shared" si="28"/>
        <v/>
      </c>
    </row>
    <row r="1827" spans="1:1" x14ac:dyDescent="0.2">
      <c r="A1827" s="12" t="str">
        <f t="shared" si="28"/>
        <v/>
      </c>
    </row>
    <row r="1828" spans="1:1" x14ac:dyDescent="0.2">
      <c r="A1828" s="12" t="str">
        <f t="shared" si="28"/>
        <v/>
      </c>
    </row>
    <row r="1829" spans="1:1" x14ac:dyDescent="0.2">
      <c r="A1829" s="12" t="str">
        <f t="shared" si="28"/>
        <v/>
      </c>
    </row>
    <row r="1830" spans="1:1" x14ac:dyDescent="0.2">
      <c r="A1830" s="12" t="str">
        <f t="shared" si="28"/>
        <v/>
      </c>
    </row>
    <row r="1831" spans="1:1" x14ac:dyDescent="0.2">
      <c r="A1831" s="12" t="str">
        <f t="shared" si="28"/>
        <v/>
      </c>
    </row>
    <row r="1832" spans="1:1" x14ac:dyDescent="0.2">
      <c r="A1832" s="12" t="str">
        <f t="shared" si="28"/>
        <v/>
      </c>
    </row>
    <row r="1833" spans="1:1" x14ac:dyDescent="0.2">
      <c r="A1833" s="12" t="str">
        <f t="shared" si="28"/>
        <v/>
      </c>
    </row>
    <row r="1834" spans="1:1" x14ac:dyDescent="0.2">
      <c r="A1834" s="12" t="str">
        <f t="shared" si="28"/>
        <v/>
      </c>
    </row>
    <row r="1835" spans="1:1" x14ac:dyDescent="0.2">
      <c r="A1835" s="12" t="str">
        <f t="shared" si="28"/>
        <v/>
      </c>
    </row>
    <row r="1836" spans="1:1" x14ac:dyDescent="0.2">
      <c r="A1836" s="12" t="str">
        <f t="shared" si="28"/>
        <v/>
      </c>
    </row>
    <row r="1837" spans="1:1" x14ac:dyDescent="0.2">
      <c r="A1837" s="12" t="str">
        <f t="shared" si="28"/>
        <v/>
      </c>
    </row>
    <row r="1838" spans="1:1" x14ac:dyDescent="0.2">
      <c r="A1838" s="12" t="str">
        <f t="shared" si="28"/>
        <v/>
      </c>
    </row>
    <row r="1839" spans="1:1" x14ac:dyDescent="0.2">
      <c r="A1839" s="12" t="str">
        <f t="shared" si="28"/>
        <v/>
      </c>
    </row>
    <row r="1840" spans="1:1" x14ac:dyDescent="0.2">
      <c r="A1840" s="12" t="str">
        <f t="shared" si="28"/>
        <v/>
      </c>
    </row>
    <row r="1841" spans="1:1" x14ac:dyDescent="0.2">
      <c r="A1841" s="12" t="str">
        <f t="shared" si="28"/>
        <v/>
      </c>
    </row>
    <row r="1842" spans="1:1" x14ac:dyDescent="0.2">
      <c r="A1842" s="12" t="str">
        <f t="shared" si="28"/>
        <v/>
      </c>
    </row>
    <row r="1843" spans="1:1" x14ac:dyDescent="0.2">
      <c r="A1843" s="12" t="str">
        <f t="shared" si="28"/>
        <v/>
      </c>
    </row>
    <row r="1844" spans="1:1" x14ac:dyDescent="0.2">
      <c r="A1844" s="12" t="str">
        <f t="shared" si="28"/>
        <v/>
      </c>
    </row>
    <row r="1845" spans="1:1" x14ac:dyDescent="0.2">
      <c r="A1845" s="12" t="str">
        <f t="shared" si="28"/>
        <v/>
      </c>
    </row>
    <row r="1846" spans="1:1" x14ac:dyDescent="0.2">
      <c r="A1846" s="12" t="str">
        <f t="shared" si="28"/>
        <v/>
      </c>
    </row>
    <row r="1847" spans="1:1" x14ac:dyDescent="0.2">
      <c r="A1847" s="12" t="str">
        <f t="shared" si="28"/>
        <v/>
      </c>
    </row>
    <row r="1848" spans="1:1" x14ac:dyDescent="0.2">
      <c r="A1848" s="12" t="str">
        <f t="shared" si="28"/>
        <v/>
      </c>
    </row>
    <row r="1849" spans="1:1" x14ac:dyDescent="0.2">
      <c r="A1849" s="12" t="str">
        <f t="shared" si="28"/>
        <v/>
      </c>
    </row>
    <row r="1850" spans="1:1" x14ac:dyDescent="0.2">
      <c r="A1850" s="12" t="str">
        <f t="shared" si="28"/>
        <v/>
      </c>
    </row>
    <row r="1851" spans="1:1" x14ac:dyDescent="0.2">
      <c r="A1851" s="12" t="str">
        <f t="shared" si="28"/>
        <v/>
      </c>
    </row>
    <row r="1852" spans="1:1" x14ac:dyDescent="0.2">
      <c r="A1852" s="12" t="str">
        <f t="shared" si="28"/>
        <v/>
      </c>
    </row>
    <row r="1853" spans="1:1" x14ac:dyDescent="0.2">
      <c r="A1853" s="12" t="str">
        <f t="shared" si="28"/>
        <v/>
      </c>
    </row>
    <row r="1854" spans="1:1" x14ac:dyDescent="0.2">
      <c r="A1854" s="12" t="str">
        <f t="shared" si="28"/>
        <v/>
      </c>
    </row>
    <row r="1855" spans="1:1" x14ac:dyDescent="0.2">
      <c r="A1855" s="12" t="str">
        <f t="shared" si="28"/>
        <v/>
      </c>
    </row>
    <row r="1856" spans="1:1" x14ac:dyDescent="0.2">
      <c r="A1856" s="12" t="str">
        <f t="shared" si="28"/>
        <v/>
      </c>
    </row>
    <row r="1857" spans="1:1" x14ac:dyDescent="0.2">
      <c r="A1857" s="12" t="str">
        <f t="shared" si="28"/>
        <v/>
      </c>
    </row>
    <row r="1858" spans="1:1" x14ac:dyDescent="0.2">
      <c r="A1858" s="12" t="str">
        <f t="shared" ref="A1858:A1921" si="29">IF(INDEX($AJ:$AJ,ROW())="","",HYPERLINK(INDEX($AJ:$AJ,ROW()),"Open"))</f>
        <v/>
      </c>
    </row>
    <row r="1859" spans="1:1" x14ac:dyDescent="0.2">
      <c r="A1859" s="12" t="str">
        <f t="shared" si="29"/>
        <v/>
      </c>
    </row>
    <row r="1860" spans="1:1" x14ac:dyDescent="0.2">
      <c r="A1860" s="12" t="str">
        <f t="shared" si="29"/>
        <v/>
      </c>
    </row>
    <row r="1861" spans="1:1" x14ac:dyDescent="0.2">
      <c r="A1861" s="12" t="str">
        <f t="shared" si="29"/>
        <v/>
      </c>
    </row>
    <row r="1862" spans="1:1" x14ac:dyDescent="0.2">
      <c r="A1862" s="12" t="str">
        <f t="shared" si="29"/>
        <v/>
      </c>
    </row>
    <row r="1863" spans="1:1" x14ac:dyDescent="0.2">
      <c r="A1863" s="12" t="str">
        <f t="shared" si="29"/>
        <v/>
      </c>
    </row>
    <row r="1864" spans="1:1" x14ac:dyDescent="0.2">
      <c r="A1864" s="12" t="str">
        <f t="shared" si="29"/>
        <v/>
      </c>
    </row>
    <row r="1865" spans="1:1" x14ac:dyDescent="0.2">
      <c r="A1865" s="12" t="str">
        <f t="shared" si="29"/>
        <v/>
      </c>
    </row>
    <row r="1866" spans="1:1" x14ac:dyDescent="0.2">
      <c r="A1866" s="12" t="str">
        <f t="shared" si="29"/>
        <v/>
      </c>
    </row>
    <row r="1867" spans="1:1" x14ac:dyDescent="0.2">
      <c r="A1867" s="12" t="str">
        <f t="shared" si="29"/>
        <v/>
      </c>
    </row>
    <row r="1868" spans="1:1" x14ac:dyDescent="0.2">
      <c r="A1868" s="12" t="str">
        <f t="shared" si="29"/>
        <v/>
      </c>
    </row>
    <row r="1869" spans="1:1" x14ac:dyDescent="0.2">
      <c r="A1869" s="12" t="str">
        <f t="shared" si="29"/>
        <v/>
      </c>
    </row>
    <row r="1870" spans="1:1" x14ac:dyDescent="0.2">
      <c r="A1870" s="12" t="str">
        <f t="shared" si="29"/>
        <v/>
      </c>
    </row>
    <row r="1871" spans="1:1" x14ac:dyDescent="0.2">
      <c r="A1871" s="12" t="str">
        <f t="shared" si="29"/>
        <v/>
      </c>
    </row>
    <row r="1872" spans="1:1" x14ac:dyDescent="0.2">
      <c r="A1872" s="12" t="str">
        <f t="shared" si="29"/>
        <v/>
      </c>
    </row>
    <row r="1873" spans="1:1" x14ac:dyDescent="0.2">
      <c r="A1873" s="12" t="str">
        <f t="shared" si="29"/>
        <v/>
      </c>
    </row>
    <row r="1874" spans="1:1" x14ac:dyDescent="0.2">
      <c r="A1874" s="12" t="str">
        <f t="shared" si="29"/>
        <v/>
      </c>
    </row>
    <row r="1875" spans="1:1" x14ac:dyDescent="0.2">
      <c r="A1875" s="12" t="str">
        <f t="shared" si="29"/>
        <v/>
      </c>
    </row>
    <row r="1876" spans="1:1" x14ac:dyDescent="0.2">
      <c r="A1876" s="12" t="str">
        <f t="shared" si="29"/>
        <v/>
      </c>
    </row>
    <row r="1877" spans="1:1" x14ac:dyDescent="0.2">
      <c r="A1877" s="12" t="str">
        <f t="shared" si="29"/>
        <v/>
      </c>
    </row>
    <row r="1878" spans="1:1" x14ac:dyDescent="0.2">
      <c r="A1878" s="12" t="str">
        <f t="shared" si="29"/>
        <v/>
      </c>
    </row>
    <row r="1879" spans="1:1" x14ac:dyDescent="0.2">
      <c r="A1879" s="12" t="str">
        <f t="shared" si="29"/>
        <v/>
      </c>
    </row>
    <row r="1880" spans="1:1" x14ac:dyDescent="0.2">
      <c r="A1880" s="12" t="str">
        <f t="shared" si="29"/>
        <v/>
      </c>
    </row>
    <row r="1881" spans="1:1" x14ac:dyDescent="0.2">
      <c r="A1881" s="12" t="str">
        <f t="shared" si="29"/>
        <v/>
      </c>
    </row>
    <row r="1882" spans="1:1" x14ac:dyDescent="0.2">
      <c r="A1882" s="12" t="str">
        <f t="shared" si="29"/>
        <v/>
      </c>
    </row>
    <row r="1883" spans="1:1" x14ac:dyDescent="0.2">
      <c r="A1883" s="12" t="str">
        <f t="shared" si="29"/>
        <v/>
      </c>
    </row>
    <row r="1884" spans="1:1" x14ac:dyDescent="0.2">
      <c r="A1884" s="12" t="str">
        <f t="shared" si="29"/>
        <v/>
      </c>
    </row>
    <row r="1885" spans="1:1" x14ac:dyDescent="0.2">
      <c r="A1885" s="12" t="str">
        <f t="shared" si="29"/>
        <v/>
      </c>
    </row>
    <row r="1886" spans="1:1" x14ac:dyDescent="0.2">
      <c r="A1886" s="12" t="str">
        <f t="shared" si="29"/>
        <v/>
      </c>
    </row>
    <row r="1887" spans="1:1" x14ac:dyDescent="0.2">
      <c r="A1887" s="12" t="str">
        <f t="shared" si="29"/>
        <v/>
      </c>
    </row>
    <row r="1888" spans="1:1" x14ac:dyDescent="0.2">
      <c r="A1888" s="12" t="str">
        <f t="shared" si="29"/>
        <v/>
      </c>
    </row>
    <row r="1889" spans="1:1" x14ac:dyDescent="0.2">
      <c r="A1889" s="12" t="str">
        <f t="shared" si="29"/>
        <v/>
      </c>
    </row>
    <row r="1890" spans="1:1" x14ac:dyDescent="0.2">
      <c r="A1890" s="12" t="str">
        <f t="shared" si="29"/>
        <v/>
      </c>
    </row>
    <row r="1891" spans="1:1" x14ac:dyDescent="0.2">
      <c r="A1891" s="12" t="str">
        <f t="shared" si="29"/>
        <v/>
      </c>
    </row>
    <row r="1892" spans="1:1" x14ac:dyDescent="0.2">
      <c r="A1892" s="12" t="str">
        <f t="shared" si="29"/>
        <v/>
      </c>
    </row>
    <row r="1893" spans="1:1" x14ac:dyDescent="0.2">
      <c r="A1893" s="12" t="str">
        <f t="shared" si="29"/>
        <v/>
      </c>
    </row>
    <row r="1894" spans="1:1" x14ac:dyDescent="0.2">
      <c r="A1894" s="12" t="str">
        <f t="shared" si="29"/>
        <v/>
      </c>
    </row>
    <row r="1895" spans="1:1" x14ac:dyDescent="0.2">
      <c r="A1895" s="12" t="str">
        <f t="shared" si="29"/>
        <v/>
      </c>
    </row>
    <row r="1896" spans="1:1" x14ac:dyDescent="0.2">
      <c r="A1896" s="12" t="str">
        <f t="shared" si="29"/>
        <v/>
      </c>
    </row>
    <row r="1897" spans="1:1" x14ac:dyDescent="0.2">
      <c r="A1897" s="12" t="str">
        <f t="shared" si="29"/>
        <v/>
      </c>
    </row>
    <row r="1898" spans="1:1" x14ac:dyDescent="0.2">
      <c r="A1898" s="12" t="str">
        <f t="shared" si="29"/>
        <v/>
      </c>
    </row>
    <row r="1899" spans="1:1" x14ac:dyDescent="0.2">
      <c r="A1899" s="12" t="str">
        <f t="shared" si="29"/>
        <v/>
      </c>
    </row>
    <row r="1900" spans="1:1" x14ac:dyDescent="0.2">
      <c r="A1900" s="12" t="str">
        <f t="shared" si="29"/>
        <v/>
      </c>
    </row>
    <row r="1901" spans="1:1" x14ac:dyDescent="0.2">
      <c r="A1901" s="12" t="str">
        <f t="shared" si="29"/>
        <v/>
      </c>
    </row>
    <row r="1902" spans="1:1" x14ac:dyDescent="0.2">
      <c r="A1902" s="12" t="str">
        <f t="shared" si="29"/>
        <v/>
      </c>
    </row>
    <row r="1903" spans="1:1" x14ac:dyDescent="0.2">
      <c r="A1903" s="12" t="str">
        <f t="shared" si="29"/>
        <v/>
      </c>
    </row>
    <row r="1904" spans="1:1" x14ac:dyDescent="0.2">
      <c r="A1904" s="12" t="str">
        <f t="shared" si="29"/>
        <v/>
      </c>
    </row>
    <row r="1905" spans="1:1" x14ac:dyDescent="0.2">
      <c r="A1905" s="12" t="str">
        <f t="shared" si="29"/>
        <v/>
      </c>
    </row>
    <row r="1906" spans="1:1" x14ac:dyDescent="0.2">
      <c r="A1906" s="12" t="str">
        <f t="shared" si="29"/>
        <v/>
      </c>
    </row>
    <row r="1907" spans="1:1" x14ac:dyDescent="0.2">
      <c r="A1907" s="12" t="str">
        <f t="shared" si="29"/>
        <v/>
      </c>
    </row>
    <row r="1908" spans="1:1" x14ac:dyDescent="0.2">
      <c r="A1908" s="12" t="str">
        <f t="shared" si="29"/>
        <v/>
      </c>
    </row>
    <row r="1909" spans="1:1" x14ac:dyDescent="0.2">
      <c r="A1909" s="12" t="str">
        <f t="shared" si="29"/>
        <v/>
      </c>
    </row>
    <row r="1910" spans="1:1" x14ac:dyDescent="0.2">
      <c r="A1910" s="12" t="str">
        <f t="shared" si="29"/>
        <v/>
      </c>
    </row>
    <row r="1911" spans="1:1" x14ac:dyDescent="0.2">
      <c r="A1911" s="12" t="str">
        <f t="shared" si="29"/>
        <v/>
      </c>
    </row>
    <row r="1912" spans="1:1" x14ac:dyDescent="0.2">
      <c r="A1912" s="12" t="str">
        <f t="shared" si="29"/>
        <v/>
      </c>
    </row>
    <row r="1913" spans="1:1" x14ac:dyDescent="0.2">
      <c r="A1913" s="12" t="str">
        <f t="shared" si="29"/>
        <v/>
      </c>
    </row>
    <row r="1914" spans="1:1" x14ac:dyDescent="0.2">
      <c r="A1914" s="12" t="str">
        <f t="shared" si="29"/>
        <v/>
      </c>
    </row>
    <row r="1915" spans="1:1" x14ac:dyDescent="0.2">
      <c r="A1915" s="12" t="str">
        <f t="shared" si="29"/>
        <v/>
      </c>
    </row>
    <row r="1916" spans="1:1" x14ac:dyDescent="0.2">
      <c r="A1916" s="12" t="str">
        <f t="shared" si="29"/>
        <v/>
      </c>
    </row>
    <row r="1917" spans="1:1" x14ac:dyDescent="0.2">
      <c r="A1917" s="12" t="str">
        <f t="shared" si="29"/>
        <v/>
      </c>
    </row>
    <row r="1918" spans="1:1" x14ac:dyDescent="0.2">
      <c r="A1918" s="12" t="str">
        <f t="shared" si="29"/>
        <v/>
      </c>
    </row>
    <row r="1919" spans="1:1" x14ac:dyDescent="0.2">
      <c r="A1919" s="12" t="str">
        <f t="shared" si="29"/>
        <v/>
      </c>
    </row>
    <row r="1920" spans="1:1" x14ac:dyDescent="0.2">
      <c r="A1920" s="12" t="str">
        <f t="shared" si="29"/>
        <v/>
      </c>
    </row>
    <row r="1921" spans="1:1" x14ac:dyDescent="0.2">
      <c r="A1921" s="12" t="str">
        <f t="shared" si="29"/>
        <v/>
      </c>
    </row>
    <row r="1922" spans="1:1" x14ac:dyDescent="0.2">
      <c r="A1922" s="12" t="str">
        <f t="shared" ref="A1922:A1985" si="30">IF(INDEX($AJ:$AJ,ROW())="","",HYPERLINK(INDEX($AJ:$AJ,ROW()),"Open"))</f>
        <v/>
      </c>
    </row>
    <row r="1923" spans="1:1" x14ac:dyDescent="0.2">
      <c r="A1923" s="12" t="str">
        <f t="shared" si="30"/>
        <v/>
      </c>
    </row>
    <row r="1924" spans="1:1" x14ac:dyDescent="0.2">
      <c r="A1924" s="12" t="str">
        <f t="shared" si="30"/>
        <v/>
      </c>
    </row>
    <row r="1925" spans="1:1" x14ac:dyDescent="0.2">
      <c r="A1925" s="12" t="str">
        <f t="shared" si="30"/>
        <v/>
      </c>
    </row>
    <row r="1926" spans="1:1" x14ac:dyDescent="0.2">
      <c r="A1926" s="12" t="str">
        <f t="shared" si="30"/>
        <v/>
      </c>
    </row>
    <row r="1927" spans="1:1" x14ac:dyDescent="0.2">
      <c r="A1927" s="12" t="str">
        <f t="shared" si="30"/>
        <v/>
      </c>
    </row>
    <row r="1928" spans="1:1" x14ac:dyDescent="0.2">
      <c r="A1928" s="12" t="str">
        <f t="shared" si="30"/>
        <v/>
      </c>
    </row>
    <row r="1929" spans="1:1" x14ac:dyDescent="0.2">
      <c r="A1929" s="12" t="str">
        <f t="shared" si="30"/>
        <v/>
      </c>
    </row>
    <row r="1930" spans="1:1" x14ac:dyDescent="0.2">
      <c r="A1930" s="12" t="str">
        <f t="shared" si="30"/>
        <v/>
      </c>
    </row>
    <row r="1931" spans="1:1" x14ac:dyDescent="0.2">
      <c r="A1931" s="12" t="str">
        <f t="shared" si="30"/>
        <v/>
      </c>
    </row>
    <row r="1932" spans="1:1" x14ac:dyDescent="0.2">
      <c r="A1932" s="12" t="str">
        <f t="shared" si="30"/>
        <v/>
      </c>
    </row>
    <row r="1933" spans="1:1" x14ac:dyDescent="0.2">
      <c r="A1933" s="12" t="str">
        <f t="shared" si="30"/>
        <v/>
      </c>
    </row>
    <row r="1934" spans="1:1" x14ac:dyDescent="0.2">
      <c r="A1934" s="12" t="str">
        <f t="shared" si="30"/>
        <v/>
      </c>
    </row>
    <row r="1935" spans="1:1" x14ac:dyDescent="0.2">
      <c r="A1935" s="12" t="str">
        <f t="shared" si="30"/>
        <v/>
      </c>
    </row>
    <row r="1936" spans="1:1" x14ac:dyDescent="0.2">
      <c r="A1936" s="12" t="str">
        <f t="shared" si="30"/>
        <v/>
      </c>
    </row>
    <row r="1937" spans="1:1" x14ac:dyDescent="0.2">
      <c r="A1937" s="12" t="str">
        <f t="shared" si="30"/>
        <v/>
      </c>
    </row>
    <row r="1938" spans="1:1" x14ac:dyDescent="0.2">
      <c r="A1938" s="12" t="str">
        <f t="shared" si="30"/>
        <v/>
      </c>
    </row>
    <row r="1939" spans="1:1" x14ac:dyDescent="0.2">
      <c r="A1939" s="12" t="str">
        <f t="shared" si="30"/>
        <v/>
      </c>
    </row>
    <row r="1940" spans="1:1" x14ac:dyDescent="0.2">
      <c r="A1940" s="12" t="str">
        <f t="shared" si="30"/>
        <v/>
      </c>
    </row>
    <row r="1941" spans="1:1" x14ac:dyDescent="0.2">
      <c r="A1941" s="12" t="str">
        <f t="shared" si="30"/>
        <v/>
      </c>
    </row>
    <row r="1942" spans="1:1" x14ac:dyDescent="0.2">
      <c r="A1942" s="12" t="str">
        <f t="shared" si="30"/>
        <v/>
      </c>
    </row>
    <row r="1943" spans="1:1" x14ac:dyDescent="0.2">
      <c r="A1943" s="12" t="str">
        <f t="shared" si="30"/>
        <v/>
      </c>
    </row>
    <row r="1944" spans="1:1" x14ac:dyDescent="0.2">
      <c r="A1944" s="12" t="str">
        <f t="shared" si="30"/>
        <v/>
      </c>
    </row>
    <row r="1945" spans="1:1" x14ac:dyDescent="0.2">
      <c r="A1945" s="12" t="str">
        <f t="shared" si="30"/>
        <v/>
      </c>
    </row>
    <row r="1946" spans="1:1" x14ac:dyDescent="0.2">
      <c r="A1946" s="12" t="str">
        <f t="shared" si="30"/>
        <v/>
      </c>
    </row>
    <row r="1947" spans="1:1" x14ac:dyDescent="0.2">
      <c r="A1947" s="12" t="str">
        <f t="shared" si="30"/>
        <v/>
      </c>
    </row>
    <row r="1948" spans="1:1" x14ac:dyDescent="0.2">
      <c r="A1948" s="12" t="str">
        <f t="shared" si="30"/>
        <v/>
      </c>
    </row>
    <row r="1949" spans="1:1" x14ac:dyDescent="0.2">
      <c r="A1949" s="12" t="str">
        <f t="shared" si="30"/>
        <v/>
      </c>
    </row>
    <row r="1950" spans="1:1" x14ac:dyDescent="0.2">
      <c r="A1950" s="12" t="str">
        <f t="shared" si="30"/>
        <v/>
      </c>
    </row>
    <row r="1951" spans="1:1" x14ac:dyDescent="0.2">
      <c r="A1951" s="12" t="str">
        <f t="shared" si="30"/>
        <v/>
      </c>
    </row>
    <row r="1952" spans="1:1" x14ac:dyDescent="0.2">
      <c r="A1952" s="12" t="str">
        <f t="shared" si="30"/>
        <v/>
      </c>
    </row>
    <row r="1953" spans="1:1" x14ac:dyDescent="0.2">
      <c r="A1953" s="12" t="str">
        <f t="shared" si="30"/>
        <v/>
      </c>
    </row>
    <row r="1954" spans="1:1" x14ac:dyDescent="0.2">
      <c r="A1954" s="12" t="str">
        <f t="shared" si="30"/>
        <v/>
      </c>
    </row>
    <row r="1955" spans="1:1" x14ac:dyDescent="0.2">
      <c r="A1955" s="12" t="str">
        <f t="shared" si="30"/>
        <v/>
      </c>
    </row>
    <row r="1956" spans="1:1" x14ac:dyDescent="0.2">
      <c r="A1956" s="12" t="str">
        <f t="shared" si="30"/>
        <v/>
      </c>
    </row>
    <row r="1957" spans="1:1" x14ac:dyDescent="0.2">
      <c r="A1957" s="12" t="str">
        <f t="shared" si="30"/>
        <v/>
      </c>
    </row>
    <row r="1958" spans="1:1" x14ac:dyDescent="0.2">
      <c r="A1958" s="12" t="str">
        <f t="shared" si="30"/>
        <v/>
      </c>
    </row>
    <row r="1959" spans="1:1" x14ac:dyDescent="0.2">
      <c r="A1959" s="12" t="str">
        <f t="shared" si="30"/>
        <v/>
      </c>
    </row>
    <row r="1960" spans="1:1" x14ac:dyDescent="0.2">
      <c r="A1960" s="12" t="str">
        <f t="shared" si="30"/>
        <v/>
      </c>
    </row>
    <row r="1961" spans="1:1" x14ac:dyDescent="0.2">
      <c r="A1961" s="12" t="str">
        <f t="shared" si="30"/>
        <v/>
      </c>
    </row>
    <row r="1962" spans="1:1" x14ac:dyDescent="0.2">
      <c r="A1962" s="12" t="str">
        <f t="shared" si="30"/>
        <v/>
      </c>
    </row>
    <row r="1963" spans="1:1" x14ac:dyDescent="0.2">
      <c r="A1963" s="12" t="str">
        <f t="shared" si="30"/>
        <v/>
      </c>
    </row>
    <row r="1964" spans="1:1" x14ac:dyDescent="0.2">
      <c r="A1964" s="12" t="str">
        <f t="shared" si="30"/>
        <v/>
      </c>
    </row>
    <row r="1965" spans="1:1" x14ac:dyDescent="0.2">
      <c r="A1965" s="12" t="str">
        <f t="shared" si="30"/>
        <v/>
      </c>
    </row>
    <row r="1966" spans="1:1" x14ac:dyDescent="0.2">
      <c r="A1966" s="12" t="str">
        <f t="shared" si="30"/>
        <v/>
      </c>
    </row>
    <row r="1967" spans="1:1" x14ac:dyDescent="0.2">
      <c r="A1967" s="12" t="str">
        <f t="shared" si="30"/>
        <v/>
      </c>
    </row>
    <row r="1968" spans="1:1" x14ac:dyDescent="0.2">
      <c r="A1968" s="12" t="str">
        <f t="shared" si="30"/>
        <v/>
      </c>
    </row>
    <row r="1969" spans="1:1" x14ac:dyDescent="0.2">
      <c r="A1969" s="12" t="str">
        <f t="shared" si="30"/>
        <v/>
      </c>
    </row>
    <row r="1970" spans="1:1" x14ac:dyDescent="0.2">
      <c r="A1970" s="12" t="str">
        <f t="shared" si="30"/>
        <v/>
      </c>
    </row>
    <row r="1971" spans="1:1" x14ac:dyDescent="0.2">
      <c r="A1971" s="12" t="str">
        <f t="shared" si="30"/>
        <v/>
      </c>
    </row>
    <row r="1972" spans="1:1" x14ac:dyDescent="0.2">
      <c r="A1972" s="12" t="str">
        <f t="shared" si="30"/>
        <v/>
      </c>
    </row>
    <row r="1973" spans="1:1" x14ac:dyDescent="0.2">
      <c r="A1973" s="12" t="str">
        <f t="shared" si="30"/>
        <v/>
      </c>
    </row>
    <row r="1974" spans="1:1" x14ac:dyDescent="0.2">
      <c r="A1974" s="12" t="str">
        <f t="shared" si="30"/>
        <v/>
      </c>
    </row>
    <row r="1975" spans="1:1" x14ac:dyDescent="0.2">
      <c r="A1975" s="12" t="str">
        <f t="shared" si="30"/>
        <v/>
      </c>
    </row>
    <row r="1976" spans="1:1" x14ac:dyDescent="0.2">
      <c r="A1976" s="12" t="str">
        <f t="shared" si="30"/>
        <v/>
      </c>
    </row>
    <row r="1977" spans="1:1" x14ac:dyDescent="0.2">
      <c r="A1977" s="12" t="str">
        <f t="shared" si="30"/>
        <v/>
      </c>
    </row>
    <row r="1978" spans="1:1" x14ac:dyDescent="0.2">
      <c r="A1978" s="12" t="str">
        <f t="shared" si="30"/>
        <v/>
      </c>
    </row>
    <row r="1979" spans="1:1" x14ac:dyDescent="0.2">
      <c r="A1979" s="12" t="str">
        <f t="shared" si="30"/>
        <v/>
      </c>
    </row>
    <row r="1980" spans="1:1" x14ac:dyDescent="0.2">
      <c r="A1980" s="12" t="str">
        <f t="shared" si="30"/>
        <v/>
      </c>
    </row>
    <row r="1981" spans="1:1" x14ac:dyDescent="0.2">
      <c r="A1981" s="12" t="str">
        <f t="shared" si="30"/>
        <v/>
      </c>
    </row>
    <row r="1982" spans="1:1" x14ac:dyDescent="0.2">
      <c r="A1982" s="12" t="str">
        <f t="shared" si="30"/>
        <v/>
      </c>
    </row>
    <row r="1983" spans="1:1" x14ac:dyDescent="0.2">
      <c r="A1983" s="12" t="str">
        <f t="shared" si="30"/>
        <v/>
      </c>
    </row>
    <row r="1984" spans="1:1" x14ac:dyDescent="0.2">
      <c r="A1984" s="12" t="str">
        <f t="shared" si="30"/>
        <v/>
      </c>
    </row>
    <row r="1985" spans="1:1" x14ac:dyDescent="0.2">
      <c r="A1985" s="12" t="str">
        <f t="shared" si="30"/>
        <v/>
      </c>
    </row>
    <row r="1986" spans="1:1" x14ac:dyDescent="0.2">
      <c r="A1986" s="12" t="str">
        <f t="shared" ref="A1986:A2049" si="31">IF(INDEX($AJ:$AJ,ROW())="","",HYPERLINK(INDEX($AJ:$AJ,ROW()),"Open"))</f>
        <v/>
      </c>
    </row>
    <row r="1987" spans="1:1" x14ac:dyDescent="0.2">
      <c r="A1987" s="12" t="str">
        <f t="shared" si="31"/>
        <v/>
      </c>
    </row>
    <row r="1988" spans="1:1" x14ac:dyDescent="0.2">
      <c r="A1988" s="12" t="str">
        <f t="shared" si="31"/>
        <v/>
      </c>
    </row>
    <row r="1989" spans="1:1" x14ac:dyDescent="0.2">
      <c r="A1989" s="12" t="str">
        <f t="shared" si="31"/>
        <v/>
      </c>
    </row>
    <row r="1990" spans="1:1" x14ac:dyDescent="0.2">
      <c r="A1990" s="12" t="str">
        <f t="shared" si="31"/>
        <v/>
      </c>
    </row>
    <row r="1991" spans="1:1" x14ac:dyDescent="0.2">
      <c r="A1991" s="12" t="str">
        <f t="shared" si="31"/>
        <v/>
      </c>
    </row>
    <row r="1992" spans="1:1" x14ac:dyDescent="0.2">
      <c r="A1992" s="12" t="str">
        <f t="shared" si="31"/>
        <v/>
      </c>
    </row>
    <row r="1993" spans="1:1" x14ac:dyDescent="0.2">
      <c r="A1993" s="12" t="str">
        <f t="shared" si="31"/>
        <v/>
      </c>
    </row>
    <row r="1994" spans="1:1" x14ac:dyDescent="0.2">
      <c r="A1994" s="12" t="str">
        <f t="shared" si="31"/>
        <v/>
      </c>
    </row>
    <row r="1995" spans="1:1" x14ac:dyDescent="0.2">
      <c r="A1995" s="12" t="str">
        <f t="shared" si="31"/>
        <v/>
      </c>
    </row>
    <row r="1996" spans="1:1" x14ac:dyDescent="0.2">
      <c r="A1996" s="12" t="str">
        <f t="shared" si="31"/>
        <v/>
      </c>
    </row>
    <row r="1997" spans="1:1" x14ac:dyDescent="0.2">
      <c r="A1997" s="12" t="str">
        <f t="shared" si="31"/>
        <v/>
      </c>
    </row>
    <row r="1998" spans="1:1" x14ac:dyDescent="0.2">
      <c r="A1998" s="12" t="str">
        <f t="shared" si="31"/>
        <v/>
      </c>
    </row>
    <row r="1999" spans="1:1" x14ac:dyDescent="0.2">
      <c r="A1999" s="12" t="str">
        <f t="shared" si="31"/>
        <v/>
      </c>
    </row>
    <row r="2000" spans="1:1" x14ac:dyDescent="0.2">
      <c r="A2000" s="12" t="str">
        <f t="shared" si="31"/>
        <v/>
      </c>
    </row>
    <row r="2001" spans="1:1" x14ac:dyDescent="0.2">
      <c r="A2001" s="12" t="str">
        <f t="shared" si="31"/>
        <v/>
      </c>
    </row>
    <row r="2002" spans="1:1" x14ac:dyDescent="0.2">
      <c r="A2002" s="12" t="str">
        <f t="shared" si="31"/>
        <v/>
      </c>
    </row>
    <row r="2003" spans="1:1" x14ac:dyDescent="0.2">
      <c r="A2003" s="12" t="str">
        <f t="shared" si="31"/>
        <v/>
      </c>
    </row>
    <row r="2004" spans="1:1" x14ac:dyDescent="0.2">
      <c r="A2004" s="12" t="str">
        <f t="shared" si="31"/>
        <v/>
      </c>
    </row>
    <row r="2005" spans="1:1" x14ac:dyDescent="0.2">
      <c r="A2005" s="12" t="str">
        <f t="shared" si="31"/>
        <v/>
      </c>
    </row>
    <row r="2006" spans="1:1" x14ac:dyDescent="0.2">
      <c r="A2006" s="12" t="str">
        <f t="shared" si="31"/>
        <v/>
      </c>
    </row>
    <row r="2007" spans="1:1" x14ac:dyDescent="0.2">
      <c r="A2007" s="12" t="str">
        <f t="shared" si="31"/>
        <v/>
      </c>
    </row>
    <row r="2008" spans="1:1" x14ac:dyDescent="0.2">
      <c r="A2008" s="12" t="str">
        <f t="shared" si="31"/>
        <v/>
      </c>
    </row>
    <row r="2009" spans="1:1" x14ac:dyDescent="0.2">
      <c r="A2009" s="12" t="str">
        <f t="shared" si="31"/>
        <v/>
      </c>
    </row>
    <row r="2010" spans="1:1" x14ac:dyDescent="0.2">
      <c r="A2010" s="12" t="str">
        <f t="shared" si="31"/>
        <v/>
      </c>
    </row>
    <row r="2011" spans="1:1" x14ac:dyDescent="0.2">
      <c r="A2011" s="12" t="str">
        <f t="shared" si="31"/>
        <v/>
      </c>
    </row>
    <row r="2012" spans="1:1" x14ac:dyDescent="0.2">
      <c r="A2012" s="12" t="str">
        <f t="shared" si="31"/>
        <v/>
      </c>
    </row>
    <row r="2013" spans="1:1" x14ac:dyDescent="0.2">
      <c r="A2013" s="12" t="str">
        <f t="shared" si="31"/>
        <v/>
      </c>
    </row>
    <row r="2014" spans="1:1" x14ac:dyDescent="0.2">
      <c r="A2014" s="12" t="str">
        <f t="shared" si="31"/>
        <v/>
      </c>
    </row>
    <row r="2015" spans="1:1" x14ac:dyDescent="0.2">
      <c r="A2015" s="12" t="str">
        <f t="shared" si="31"/>
        <v/>
      </c>
    </row>
    <row r="2016" spans="1:1" x14ac:dyDescent="0.2">
      <c r="A2016" s="12" t="str">
        <f t="shared" si="31"/>
        <v/>
      </c>
    </row>
    <row r="2017" spans="1:1" x14ac:dyDescent="0.2">
      <c r="A2017" s="12" t="str">
        <f t="shared" si="31"/>
        <v/>
      </c>
    </row>
    <row r="2018" spans="1:1" x14ac:dyDescent="0.2">
      <c r="A2018" s="12" t="str">
        <f t="shared" si="31"/>
        <v/>
      </c>
    </row>
    <row r="2019" spans="1:1" x14ac:dyDescent="0.2">
      <c r="A2019" s="12" t="str">
        <f t="shared" si="31"/>
        <v/>
      </c>
    </row>
    <row r="2020" spans="1:1" x14ac:dyDescent="0.2">
      <c r="A2020" s="12" t="str">
        <f t="shared" si="31"/>
        <v/>
      </c>
    </row>
    <row r="2021" spans="1:1" x14ac:dyDescent="0.2">
      <c r="A2021" s="12" t="str">
        <f t="shared" si="31"/>
        <v/>
      </c>
    </row>
    <row r="2022" spans="1:1" x14ac:dyDescent="0.2">
      <c r="A2022" s="12" t="str">
        <f t="shared" si="31"/>
        <v/>
      </c>
    </row>
    <row r="2023" spans="1:1" x14ac:dyDescent="0.2">
      <c r="A2023" s="12" t="str">
        <f t="shared" si="31"/>
        <v/>
      </c>
    </row>
    <row r="2024" spans="1:1" x14ac:dyDescent="0.2">
      <c r="A2024" s="12" t="str">
        <f t="shared" si="31"/>
        <v/>
      </c>
    </row>
    <row r="2025" spans="1:1" x14ac:dyDescent="0.2">
      <c r="A2025" s="12" t="str">
        <f t="shared" si="31"/>
        <v/>
      </c>
    </row>
    <row r="2026" spans="1:1" x14ac:dyDescent="0.2">
      <c r="A2026" s="12" t="str">
        <f t="shared" si="31"/>
        <v/>
      </c>
    </row>
    <row r="2027" spans="1:1" x14ac:dyDescent="0.2">
      <c r="A2027" s="12" t="str">
        <f t="shared" si="31"/>
        <v/>
      </c>
    </row>
    <row r="2028" spans="1:1" x14ac:dyDescent="0.2">
      <c r="A2028" s="12" t="str">
        <f t="shared" si="31"/>
        <v/>
      </c>
    </row>
    <row r="2029" spans="1:1" x14ac:dyDescent="0.2">
      <c r="A2029" s="12" t="str">
        <f t="shared" si="31"/>
        <v/>
      </c>
    </row>
    <row r="2030" spans="1:1" x14ac:dyDescent="0.2">
      <c r="A2030" s="12" t="str">
        <f t="shared" si="31"/>
        <v/>
      </c>
    </row>
    <row r="2031" spans="1:1" x14ac:dyDescent="0.2">
      <c r="A2031" s="12" t="str">
        <f t="shared" si="31"/>
        <v/>
      </c>
    </row>
    <row r="2032" spans="1:1" x14ac:dyDescent="0.2">
      <c r="A2032" s="12" t="str">
        <f t="shared" si="31"/>
        <v/>
      </c>
    </row>
    <row r="2033" spans="1:1" x14ac:dyDescent="0.2">
      <c r="A2033" s="12" t="str">
        <f t="shared" si="31"/>
        <v/>
      </c>
    </row>
    <row r="2034" spans="1:1" x14ac:dyDescent="0.2">
      <c r="A2034" s="12" t="str">
        <f t="shared" si="31"/>
        <v/>
      </c>
    </row>
    <row r="2035" spans="1:1" x14ac:dyDescent="0.2">
      <c r="A2035" s="12" t="str">
        <f t="shared" si="31"/>
        <v/>
      </c>
    </row>
    <row r="2036" spans="1:1" x14ac:dyDescent="0.2">
      <c r="A2036" s="12" t="str">
        <f t="shared" si="31"/>
        <v/>
      </c>
    </row>
    <row r="2037" spans="1:1" x14ac:dyDescent="0.2">
      <c r="A2037" s="12" t="str">
        <f t="shared" si="31"/>
        <v/>
      </c>
    </row>
    <row r="2038" spans="1:1" x14ac:dyDescent="0.2">
      <c r="A2038" s="12" t="str">
        <f t="shared" si="31"/>
        <v/>
      </c>
    </row>
    <row r="2039" spans="1:1" x14ac:dyDescent="0.2">
      <c r="A2039" s="12" t="str">
        <f t="shared" si="31"/>
        <v/>
      </c>
    </row>
    <row r="2040" spans="1:1" x14ac:dyDescent="0.2">
      <c r="A2040" s="12" t="str">
        <f t="shared" si="31"/>
        <v/>
      </c>
    </row>
    <row r="2041" spans="1:1" x14ac:dyDescent="0.2">
      <c r="A2041" s="12" t="str">
        <f t="shared" si="31"/>
        <v/>
      </c>
    </row>
    <row r="2042" spans="1:1" x14ac:dyDescent="0.2">
      <c r="A2042" s="12" t="str">
        <f t="shared" si="31"/>
        <v/>
      </c>
    </row>
    <row r="2043" spans="1:1" x14ac:dyDescent="0.2">
      <c r="A2043" s="12" t="str">
        <f t="shared" si="31"/>
        <v/>
      </c>
    </row>
    <row r="2044" spans="1:1" x14ac:dyDescent="0.2">
      <c r="A2044" s="12" t="str">
        <f t="shared" si="31"/>
        <v/>
      </c>
    </row>
    <row r="2045" spans="1:1" x14ac:dyDescent="0.2">
      <c r="A2045" s="12" t="str">
        <f t="shared" si="31"/>
        <v/>
      </c>
    </row>
    <row r="2046" spans="1:1" x14ac:dyDescent="0.2">
      <c r="A2046" s="12" t="str">
        <f t="shared" si="31"/>
        <v/>
      </c>
    </row>
    <row r="2047" spans="1:1" x14ac:dyDescent="0.2">
      <c r="A2047" s="12" t="str">
        <f t="shared" si="31"/>
        <v/>
      </c>
    </row>
    <row r="2048" spans="1:1" x14ac:dyDescent="0.2">
      <c r="A2048" s="12" t="str">
        <f t="shared" si="31"/>
        <v/>
      </c>
    </row>
    <row r="2049" spans="1:1" x14ac:dyDescent="0.2">
      <c r="A2049" s="12" t="str">
        <f t="shared" si="31"/>
        <v/>
      </c>
    </row>
    <row r="2050" spans="1:1" x14ac:dyDescent="0.2">
      <c r="A2050" s="12" t="str">
        <f t="shared" ref="A2050:A2113" si="32">IF(INDEX($AJ:$AJ,ROW())="","",HYPERLINK(INDEX($AJ:$AJ,ROW()),"Open"))</f>
        <v/>
      </c>
    </row>
    <row r="2051" spans="1:1" x14ac:dyDescent="0.2">
      <c r="A2051" s="12" t="str">
        <f t="shared" si="32"/>
        <v/>
      </c>
    </row>
    <row r="2052" spans="1:1" x14ac:dyDescent="0.2">
      <c r="A2052" s="12" t="str">
        <f t="shared" si="32"/>
        <v/>
      </c>
    </row>
    <row r="2053" spans="1:1" x14ac:dyDescent="0.2">
      <c r="A2053" s="12" t="str">
        <f t="shared" si="32"/>
        <v/>
      </c>
    </row>
    <row r="2054" spans="1:1" x14ac:dyDescent="0.2">
      <c r="A2054" s="12" t="str">
        <f t="shared" si="32"/>
        <v/>
      </c>
    </row>
    <row r="2055" spans="1:1" x14ac:dyDescent="0.2">
      <c r="A2055" s="12" t="str">
        <f t="shared" si="32"/>
        <v/>
      </c>
    </row>
    <row r="2056" spans="1:1" x14ac:dyDescent="0.2">
      <c r="A2056" s="12" t="str">
        <f t="shared" si="32"/>
        <v/>
      </c>
    </row>
    <row r="2057" spans="1:1" x14ac:dyDescent="0.2">
      <c r="A2057" s="12" t="str">
        <f t="shared" si="32"/>
        <v/>
      </c>
    </row>
    <row r="2058" spans="1:1" x14ac:dyDescent="0.2">
      <c r="A2058" s="12" t="str">
        <f t="shared" si="32"/>
        <v/>
      </c>
    </row>
    <row r="2059" spans="1:1" x14ac:dyDescent="0.2">
      <c r="A2059" s="12" t="str">
        <f t="shared" si="32"/>
        <v/>
      </c>
    </row>
    <row r="2060" spans="1:1" x14ac:dyDescent="0.2">
      <c r="A2060" s="12" t="str">
        <f t="shared" si="32"/>
        <v/>
      </c>
    </row>
    <row r="2061" spans="1:1" x14ac:dyDescent="0.2">
      <c r="A2061" s="12" t="str">
        <f t="shared" si="32"/>
        <v/>
      </c>
    </row>
    <row r="2062" spans="1:1" x14ac:dyDescent="0.2">
      <c r="A2062" s="12" t="str">
        <f t="shared" si="32"/>
        <v/>
      </c>
    </row>
    <row r="2063" spans="1:1" x14ac:dyDescent="0.2">
      <c r="A2063" s="12" t="str">
        <f t="shared" si="32"/>
        <v/>
      </c>
    </row>
    <row r="2064" spans="1:1" x14ac:dyDescent="0.2">
      <c r="A2064" s="12" t="str">
        <f t="shared" si="32"/>
        <v/>
      </c>
    </row>
    <row r="2065" spans="1:1" x14ac:dyDescent="0.2">
      <c r="A2065" s="12" t="str">
        <f t="shared" si="32"/>
        <v/>
      </c>
    </row>
    <row r="2066" spans="1:1" x14ac:dyDescent="0.2">
      <c r="A2066" s="12" t="str">
        <f t="shared" si="32"/>
        <v/>
      </c>
    </row>
    <row r="2067" spans="1:1" x14ac:dyDescent="0.2">
      <c r="A2067" s="12" t="str">
        <f t="shared" si="32"/>
        <v/>
      </c>
    </row>
    <row r="2068" spans="1:1" x14ac:dyDescent="0.2">
      <c r="A2068" s="12" t="str">
        <f t="shared" si="32"/>
        <v/>
      </c>
    </row>
    <row r="2069" spans="1:1" x14ac:dyDescent="0.2">
      <c r="A2069" s="12" t="str">
        <f t="shared" si="32"/>
        <v/>
      </c>
    </row>
    <row r="2070" spans="1:1" x14ac:dyDescent="0.2">
      <c r="A2070" s="12" t="str">
        <f t="shared" si="32"/>
        <v/>
      </c>
    </row>
    <row r="2071" spans="1:1" x14ac:dyDescent="0.2">
      <c r="A2071" s="12" t="str">
        <f t="shared" si="32"/>
        <v/>
      </c>
    </row>
    <row r="2072" spans="1:1" x14ac:dyDescent="0.2">
      <c r="A2072" s="12" t="str">
        <f t="shared" si="32"/>
        <v/>
      </c>
    </row>
    <row r="2073" spans="1:1" x14ac:dyDescent="0.2">
      <c r="A2073" s="12" t="str">
        <f t="shared" si="32"/>
        <v/>
      </c>
    </row>
    <row r="2074" spans="1:1" x14ac:dyDescent="0.2">
      <c r="A2074" s="12" t="str">
        <f t="shared" si="32"/>
        <v/>
      </c>
    </row>
    <row r="2075" spans="1:1" x14ac:dyDescent="0.2">
      <c r="A2075" s="12" t="str">
        <f t="shared" si="32"/>
        <v/>
      </c>
    </row>
    <row r="2076" spans="1:1" x14ac:dyDescent="0.2">
      <c r="A2076" s="12" t="str">
        <f t="shared" si="32"/>
        <v/>
      </c>
    </row>
    <row r="2077" spans="1:1" x14ac:dyDescent="0.2">
      <c r="A2077" s="12" t="str">
        <f t="shared" si="32"/>
        <v/>
      </c>
    </row>
    <row r="2078" spans="1:1" x14ac:dyDescent="0.2">
      <c r="A2078" s="12" t="str">
        <f t="shared" si="32"/>
        <v/>
      </c>
    </row>
    <row r="2079" spans="1:1" x14ac:dyDescent="0.2">
      <c r="A2079" s="12" t="str">
        <f t="shared" si="32"/>
        <v/>
      </c>
    </row>
    <row r="2080" spans="1:1" x14ac:dyDescent="0.2">
      <c r="A2080" s="12" t="str">
        <f t="shared" si="32"/>
        <v/>
      </c>
    </row>
    <row r="2081" spans="1:1" x14ac:dyDescent="0.2">
      <c r="A2081" s="12" t="str">
        <f t="shared" si="32"/>
        <v/>
      </c>
    </row>
    <row r="2082" spans="1:1" x14ac:dyDescent="0.2">
      <c r="A2082" s="12" t="str">
        <f t="shared" si="32"/>
        <v/>
      </c>
    </row>
    <row r="2083" spans="1:1" x14ac:dyDescent="0.2">
      <c r="A2083" s="12" t="str">
        <f t="shared" si="32"/>
        <v/>
      </c>
    </row>
    <row r="2084" spans="1:1" x14ac:dyDescent="0.2">
      <c r="A2084" s="12" t="str">
        <f t="shared" si="32"/>
        <v/>
      </c>
    </row>
    <row r="2085" spans="1:1" x14ac:dyDescent="0.2">
      <c r="A2085" s="12" t="str">
        <f t="shared" si="32"/>
        <v/>
      </c>
    </row>
    <row r="2086" spans="1:1" x14ac:dyDescent="0.2">
      <c r="A2086" s="12" t="str">
        <f t="shared" si="32"/>
        <v/>
      </c>
    </row>
    <row r="2087" spans="1:1" x14ac:dyDescent="0.2">
      <c r="A2087" s="12" t="str">
        <f t="shared" si="32"/>
        <v/>
      </c>
    </row>
    <row r="2088" spans="1:1" x14ac:dyDescent="0.2">
      <c r="A2088" s="12" t="str">
        <f t="shared" si="32"/>
        <v/>
      </c>
    </row>
    <row r="2089" spans="1:1" x14ac:dyDescent="0.2">
      <c r="A2089" s="12" t="str">
        <f t="shared" si="32"/>
        <v/>
      </c>
    </row>
    <row r="2090" spans="1:1" x14ac:dyDescent="0.2">
      <c r="A2090" s="12" t="str">
        <f t="shared" si="32"/>
        <v/>
      </c>
    </row>
    <row r="2091" spans="1:1" x14ac:dyDescent="0.2">
      <c r="A2091" s="12" t="str">
        <f t="shared" si="32"/>
        <v/>
      </c>
    </row>
    <row r="2092" spans="1:1" x14ac:dyDescent="0.2">
      <c r="A2092" s="12" t="str">
        <f t="shared" si="32"/>
        <v/>
      </c>
    </row>
    <row r="2093" spans="1:1" x14ac:dyDescent="0.2">
      <c r="A2093" s="12" t="str">
        <f t="shared" si="32"/>
        <v/>
      </c>
    </row>
    <row r="2094" spans="1:1" x14ac:dyDescent="0.2">
      <c r="A2094" s="12" t="str">
        <f t="shared" si="32"/>
        <v/>
      </c>
    </row>
    <row r="2095" spans="1:1" x14ac:dyDescent="0.2">
      <c r="A2095" s="12" t="str">
        <f t="shared" si="32"/>
        <v/>
      </c>
    </row>
    <row r="2096" spans="1:1" x14ac:dyDescent="0.2">
      <c r="A2096" s="12" t="str">
        <f t="shared" si="32"/>
        <v/>
      </c>
    </row>
    <row r="2097" spans="1:1" x14ac:dyDescent="0.2">
      <c r="A2097" s="12" t="str">
        <f t="shared" si="32"/>
        <v/>
      </c>
    </row>
    <row r="2098" spans="1:1" x14ac:dyDescent="0.2">
      <c r="A2098" s="12" t="str">
        <f t="shared" si="32"/>
        <v/>
      </c>
    </row>
    <row r="2099" spans="1:1" x14ac:dyDescent="0.2">
      <c r="A2099" s="12" t="str">
        <f t="shared" si="32"/>
        <v/>
      </c>
    </row>
    <row r="2100" spans="1:1" x14ac:dyDescent="0.2">
      <c r="A2100" s="12" t="str">
        <f t="shared" si="32"/>
        <v/>
      </c>
    </row>
    <row r="2101" spans="1:1" x14ac:dyDescent="0.2">
      <c r="A2101" s="12" t="str">
        <f t="shared" si="32"/>
        <v/>
      </c>
    </row>
    <row r="2102" spans="1:1" x14ac:dyDescent="0.2">
      <c r="A2102" s="12" t="str">
        <f t="shared" si="32"/>
        <v/>
      </c>
    </row>
    <row r="2103" spans="1:1" x14ac:dyDescent="0.2">
      <c r="A2103" s="12" t="str">
        <f t="shared" si="32"/>
        <v/>
      </c>
    </row>
    <row r="2104" spans="1:1" x14ac:dyDescent="0.2">
      <c r="A2104" s="12" t="str">
        <f t="shared" si="32"/>
        <v/>
      </c>
    </row>
    <row r="2105" spans="1:1" x14ac:dyDescent="0.2">
      <c r="A2105" s="12" t="str">
        <f t="shared" si="32"/>
        <v/>
      </c>
    </row>
    <row r="2106" spans="1:1" x14ac:dyDescent="0.2">
      <c r="A2106" s="12" t="str">
        <f t="shared" si="32"/>
        <v/>
      </c>
    </row>
    <row r="2107" spans="1:1" x14ac:dyDescent="0.2">
      <c r="A2107" s="12" t="str">
        <f t="shared" si="32"/>
        <v/>
      </c>
    </row>
    <row r="2108" spans="1:1" x14ac:dyDescent="0.2">
      <c r="A2108" s="12" t="str">
        <f t="shared" si="32"/>
        <v/>
      </c>
    </row>
    <row r="2109" spans="1:1" x14ac:dyDescent="0.2">
      <c r="A2109" s="12" t="str">
        <f t="shared" si="32"/>
        <v/>
      </c>
    </row>
    <row r="2110" spans="1:1" x14ac:dyDescent="0.2">
      <c r="A2110" s="12" t="str">
        <f t="shared" si="32"/>
        <v/>
      </c>
    </row>
    <row r="2111" spans="1:1" x14ac:dyDescent="0.2">
      <c r="A2111" s="12" t="str">
        <f t="shared" si="32"/>
        <v/>
      </c>
    </row>
    <row r="2112" spans="1:1" x14ac:dyDescent="0.2">
      <c r="A2112" s="12" t="str">
        <f t="shared" si="32"/>
        <v/>
      </c>
    </row>
    <row r="2113" spans="1:1" x14ac:dyDescent="0.2">
      <c r="A2113" s="12" t="str">
        <f t="shared" si="32"/>
        <v/>
      </c>
    </row>
    <row r="2114" spans="1:1" x14ac:dyDescent="0.2">
      <c r="A2114" s="12" t="str">
        <f t="shared" ref="A2114:A2177" si="33">IF(INDEX($AJ:$AJ,ROW())="","",HYPERLINK(INDEX($AJ:$AJ,ROW()),"Open"))</f>
        <v/>
      </c>
    </row>
    <row r="2115" spans="1:1" x14ac:dyDescent="0.2">
      <c r="A2115" s="12" t="str">
        <f t="shared" si="33"/>
        <v/>
      </c>
    </row>
    <row r="2116" spans="1:1" x14ac:dyDescent="0.2">
      <c r="A2116" s="12" t="str">
        <f t="shared" si="33"/>
        <v/>
      </c>
    </row>
    <row r="2117" spans="1:1" x14ac:dyDescent="0.2">
      <c r="A2117" s="12" t="str">
        <f t="shared" si="33"/>
        <v/>
      </c>
    </row>
    <row r="2118" spans="1:1" x14ac:dyDescent="0.2">
      <c r="A2118" s="12" t="str">
        <f t="shared" si="33"/>
        <v/>
      </c>
    </row>
    <row r="2119" spans="1:1" x14ac:dyDescent="0.2">
      <c r="A2119" s="12" t="str">
        <f t="shared" si="33"/>
        <v/>
      </c>
    </row>
    <row r="2120" spans="1:1" x14ac:dyDescent="0.2">
      <c r="A2120" s="12" t="str">
        <f t="shared" si="33"/>
        <v/>
      </c>
    </row>
    <row r="2121" spans="1:1" x14ac:dyDescent="0.2">
      <c r="A2121" s="12" t="str">
        <f t="shared" si="33"/>
        <v/>
      </c>
    </row>
    <row r="2122" spans="1:1" x14ac:dyDescent="0.2">
      <c r="A2122" s="12" t="str">
        <f t="shared" si="33"/>
        <v/>
      </c>
    </row>
    <row r="2123" spans="1:1" x14ac:dyDescent="0.2">
      <c r="A2123" s="12" t="str">
        <f t="shared" si="33"/>
        <v/>
      </c>
    </row>
    <row r="2124" spans="1:1" x14ac:dyDescent="0.2">
      <c r="A2124" s="12" t="str">
        <f t="shared" si="33"/>
        <v/>
      </c>
    </row>
    <row r="2125" spans="1:1" x14ac:dyDescent="0.2">
      <c r="A2125" s="12" t="str">
        <f t="shared" si="33"/>
        <v/>
      </c>
    </row>
    <row r="2126" spans="1:1" x14ac:dyDescent="0.2">
      <c r="A2126" s="12" t="str">
        <f t="shared" si="33"/>
        <v/>
      </c>
    </row>
    <row r="2127" spans="1:1" x14ac:dyDescent="0.2">
      <c r="A2127" s="12" t="str">
        <f t="shared" si="33"/>
        <v/>
      </c>
    </row>
    <row r="2128" spans="1:1" x14ac:dyDescent="0.2">
      <c r="A2128" s="12" t="str">
        <f t="shared" si="33"/>
        <v/>
      </c>
    </row>
    <row r="2129" spans="1:1" x14ac:dyDescent="0.2">
      <c r="A2129" s="12" t="str">
        <f t="shared" si="33"/>
        <v/>
      </c>
    </row>
    <row r="2130" spans="1:1" x14ac:dyDescent="0.2">
      <c r="A2130" s="12" t="str">
        <f t="shared" si="33"/>
        <v/>
      </c>
    </row>
    <row r="2131" spans="1:1" x14ac:dyDescent="0.2">
      <c r="A2131" s="12" t="str">
        <f t="shared" si="33"/>
        <v/>
      </c>
    </row>
    <row r="2132" spans="1:1" x14ac:dyDescent="0.2">
      <c r="A2132" s="12" t="str">
        <f t="shared" si="33"/>
        <v/>
      </c>
    </row>
    <row r="2133" spans="1:1" x14ac:dyDescent="0.2">
      <c r="A2133" s="12" t="str">
        <f t="shared" si="33"/>
        <v/>
      </c>
    </row>
    <row r="2134" spans="1:1" x14ac:dyDescent="0.2">
      <c r="A2134" s="12" t="str">
        <f t="shared" si="33"/>
        <v/>
      </c>
    </row>
    <row r="2135" spans="1:1" x14ac:dyDescent="0.2">
      <c r="A2135" s="12" t="str">
        <f t="shared" si="33"/>
        <v/>
      </c>
    </row>
    <row r="2136" spans="1:1" x14ac:dyDescent="0.2">
      <c r="A2136" s="12" t="str">
        <f t="shared" si="33"/>
        <v/>
      </c>
    </row>
    <row r="2137" spans="1:1" x14ac:dyDescent="0.2">
      <c r="A2137" s="12" t="str">
        <f t="shared" si="33"/>
        <v/>
      </c>
    </row>
    <row r="2138" spans="1:1" x14ac:dyDescent="0.2">
      <c r="A2138" s="12" t="str">
        <f t="shared" si="33"/>
        <v/>
      </c>
    </row>
    <row r="2139" spans="1:1" x14ac:dyDescent="0.2">
      <c r="A2139" s="12" t="str">
        <f t="shared" si="33"/>
        <v/>
      </c>
    </row>
    <row r="2140" spans="1:1" x14ac:dyDescent="0.2">
      <c r="A2140" s="12" t="str">
        <f t="shared" si="33"/>
        <v/>
      </c>
    </row>
    <row r="2141" spans="1:1" x14ac:dyDescent="0.2">
      <c r="A2141" s="12" t="str">
        <f t="shared" si="33"/>
        <v/>
      </c>
    </row>
    <row r="2142" spans="1:1" x14ac:dyDescent="0.2">
      <c r="A2142" s="12" t="str">
        <f t="shared" si="33"/>
        <v/>
      </c>
    </row>
    <row r="2143" spans="1:1" x14ac:dyDescent="0.2">
      <c r="A2143" s="12" t="str">
        <f t="shared" si="33"/>
        <v/>
      </c>
    </row>
    <row r="2144" spans="1:1" x14ac:dyDescent="0.2">
      <c r="A2144" s="12" t="str">
        <f t="shared" si="33"/>
        <v/>
      </c>
    </row>
    <row r="2145" spans="1:1" x14ac:dyDescent="0.2">
      <c r="A2145" s="12" t="str">
        <f t="shared" si="33"/>
        <v/>
      </c>
    </row>
    <row r="2146" spans="1:1" x14ac:dyDescent="0.2">
      <c r="A2146" s="12" t="str">
        <f t="shared" si="33"/>
        <v/>
      </c>
    </row>
    <row r="2147" spans="1:1" x14ac:dyDescent="0.2">
      <c r="A2147" s="12" t="str">
        <f t="shared" si="33"/>
        <v/>
      </c>
    </row>
    <row r="2148" spans="1:1" x14ac:dyDescent="0.2">
      <c r="A2148" s="12" t="str">
        <f t="shared" si="33"/>
        <v/>
      </c>
    </row>
    <row r="2149" spans="1:1" x14ac:dyDescent="0.2">
      <c r="A2149" s="12" t="str">
        <f t="shared" si="33"/>
        <v/>
      </c>
    </row>
    <row r="2150" spans="1:1" x14ac:dyDescent="0.2">
      <c r="A2150" s="12" t="str">
        <f t="shared" si="33"/>
        <v/>
      </c>
    </row>
    <row r="2151" spans="1:1" x14ac:dyDescent="0.2">
      <c r="A2151" s="12" t="str">
        <f t="shared" si="33"/>
        <v/>
      </c>
    </row>
    <row r="2152" spans="1:1" x14ac:dyDescent="0.2">
      <c r="A2152" s="12" t="str">
        <f t="shared" si="33"/>
        <v/>
      </c>
    </row>
    <row r="2153" spans="1:1" x14ac:dyDescent="0.2">
      <c r="A2153" s="12" t="str">
        <f t="shared" si="33"/>
        <v/>
      </c>
    </row>
    <row r="2154" spans="1:1" x14ac:dyDescent="0.2">
      <c r="A2154" s="12" t="str">
        <f t="shared" si="33"/>
        <v/>
      </c>
    </row>
    <row r="2155" spans="1:1" x14ac:dyDescent="0.2">
      <c r="A2155" s="12" t="str">
        <f t="shared" si="33"/>
        <v/>
      </c>
    </row>
    <row r="2156" spans="1:1" x14ac:dyDescent="0.2">
      <c r="A2156" s="12" t="str">
        <f t="shared" si="33"/>
        <v/>
      </c>
    </row>
    <row r="2157" spans="1:1" x14ac:dyDescent="0.2">
      <c r="A2157" s="12" t="str">
        <f t="shared" si="33"/>
        <v/>
      </c>
    </row>
    <row r="2158" spans="1:1" x14ac:dyDescent="0.2">
      <c r="A2158" s="12" t="str">
        <f t="shared" si="33"/>
        <v/>
      </c>
    </row>
    <row r="2159" spans="1:1" x14ac:dyDescent="0.2">
      <c r="A2159" s="12" t="str">
        <f t="shared" si="33"/>
        <v/>
      </c>
    </row>
    <row r="2160" spans="1:1" x14ac:dyDescent="0.2">
      <c r="A2160" s="12" t="str">
        <f t="shared" si="33"/>
        <v/>
      </c>
    </row>
    <row r="2161" spans="1:1" x14ac:dyDescent="0.2">
      <c r="A2161" s="12" t="str">
        <f t="shared" si="33"/>
        <v/>
      </c>
    </row>
    <row r="2162" spans="1:1" x14ac:dyDescent="0.2">
      <c r="A2162" s="12" t="str">
        <f t="shared" si="33"/>
        <v/>
      </c>
    </row>
    <row r="2163" spans="1:1" x14ac:dyDescent="0.2">
      <c r="A2163" s="12" t="str">
        <f t="shared" si="33"/>
        <v/>
      </c>
    </row>
    <row r="2164" spans="1:1" x14ac:dyDescent="0.2">
      <c r="A2164" s="12" t="str">
        <f t="shared" si="33"/>
        <v/>
      </c>
    </row>
    <row r="2165" spans="1:1" x14ac:dyDescent="0.2">
      <c r="A2165" s="12" t="str">
        <f t="shared" si="33"/>
        <v/>
      </c>
    </row>
    <row r="2166" spans="1:1" x14ac:dyDescent="0.2">
      <c r="A2166" s="12" t="str">
        <f t="shared" si="33"/>
        <v/>
      </c>
    </row>
    <row r="2167" spans="1:1" x14ac:dyDescent="0.2">
      <c r="A2167" s="12" t="str">
        <f t="shared" si="33"/>
        <v/>
      </c>
    </row>
    <row r="2168" spans="1:1" x14ac:dyDescent="0.2">
      <c r="A2168" s="12" t="str">
        <f t="shared" si="33"/>
        <v/>
      </c>
    </row>
    <row r="2169" spans="1:1" x14ac:dyDescent="0.2">
      <c r="A2169" s="12" t="str">
        <f t="shared" si="33"/>
        <v/>
      </c>
    </row>
    <row r="2170" spans="1:1" x14ac:dyDescent="0.2">
      <c r="A2170" s="12" t="str">
        <f t="shared" si="33"/>
        <v/>
      </c>
    </row>
    <row r="2171" spans="1:1" x14ac:dyDescent="0.2">
      <c r="A2171" s="12" t="str">
        <f t="shared" si="33"/>
        <v/>
      </c>
    </row>
    <row r="2172" spans="1:1" x14ac:dyDescent="0.2">
      <c r="A2172" s="12" t="str">
        <f t="shared" si="33"/>
        <v/>
      </c>
    </row>
    <row r="2173" spans="1:1" x14ac:dyDescent="0.2">
      <c r="A2173" s="12" t="str">
        <f t="shared" si="33"/>
        <v/>
      </c>
    </row>
    <row r="2174" spans="1:1" x14ac:dyDescent="0.2">
      <c r="A2174" s="12" t="str">
        <f t="shared" si="33"/>
        <v/>
      </c>
    </row>
    <row r="2175" spans="1:1" x14ac:dyDescent="0.2">
      <c r="A2175" s="12" t="str">
        <f t="shared" si="33"/>
        <v/>
      </c>
    </row>
    <row r="2176" spans="1:1" x14ac:dyDescent="0.2">
      <c r="A2176" s="12" t="str">
        <f t="shared" si="33"/>
        <v/>
      </c>
    </row>
    <row r="2177" spans="1:1" x14ac:dyDescent="0.2">
      <c r="A2177" s="12" t="str">
        <f t="shared" si="33"/>
        <v/>
      </c>
    </row>
    <row r="2178" spans="1:1" x14ac:dyDescent="0.2">
      <c r="A2178" s="12" t="str">
        <f t="shared" ref="A2178:A2241" si="34">IF(INDEX($AJ:$AJ,ROW())="","",HYPERLINK(INDEX($AJ:$AJ,ROW()),"Open"))</f>
        <v/>
      </c>
    </row>
    <row r="2179" spans="1:1" x14ac:dyDescent="0.2">
      <c r="A2179" s="12" t="str">
        <f t="shared" si="34"/>
        <v/>
      </c>
    </row>
    <row r="2180" spans="1:1" x14ac:dyDescent="0.2">
      <c r="A2180" s="12" t="str">
        <f t="shared" si="34"/>
        <v/>
      </c>
    </row>
    <row r="2181" spans="1:1" x14ac:dyDescent="0.2">
      <c r="A2181" s="12" t="str">
        <f t="shared" si="34"/>
        <v/>
      </c>
    </row>
    <row r="2182" spans="1:1" x14ac:dyDescent="0.2">
      <c r="A2182" s="12" t="str">
        <f t="shared" si="34"/>
        <v/>
      </c>
    </row>
    <row r="2183" spans="1:1" x14ac:dyDescent="0.2">
      <c r="A2183" s="12" t="str">
        <f t="shared" si="34"/>
        <v/>
      </c>
    </row>
    <row r="2184" spans="1:1" x14ac:dyDescent="0.2">
      <c r="A2184" s="12" t="str">
        <f t="shared" si="34"/>
        <v/>
      </c>
    </row>
    <row r="2185" spans="1:1" x14ac:dyDescent="0.2">
      <c r="A2185" s="12" t="str">
        <f t="shared" si="34"/>
        <v/>
      </c>
    </row>
    <row r="2186" spans="1:1" x14ac:dyDescent="0.2">
      <c r="A2186" s="12" t="str">
        <f t="shared" si="34"/>
        <v/>
      </c>
    </row>
    <row r="2187" spans="1:1" x14ac:dyDescent="0.2">
      <c r="A2187" s="12" t="str">
        <f t="shared" si="34"/>
        <v/>
      </c>
    </row>
    <row r="2188" spans="1:1" x14ac:dyDescent="0.2">
      <c r="A2188" s="12" t="str">
        <f t="shared" si="34"/>
        <v/>
      </c>
    </row>
    <row r="2189" spans="1:1" x14ac:dyDescent="0.2">
      <c r="A2189" s="12" t="str">
        <f t="shared" si="34"/>
        <v/>
      </c>
    </row>
    <row r="2190" spans="1:1" x14ac:dyDescent="0.2">
      <c r="A2190" s="12" t="str">
        <f t="shared" si="34"/>
        <v/>
      </c>
    </row>
    <row r="2191" spans="1:1" x14ac:dyDescent="0.2">
      <c r="A2191" s="12" t="str">
        <f t="shared" si="34"/>
        <v/>
      </c>
    </row>
    <row r="2192" spans="1:1" x14ac:dyDescent="0.2">
      <c r="A2192" s="12" t="str">
        <f t="shared" si="34"/>
        <v/>
      </c>
    </row>
    <row r="2193" spans="1:1" x14ac:dyDescent="0.2">
      <c r="A2193" s="12" t="str">
        <f t="shared" si="34"/>
        <v/>
      </c>
    </row>
    <row r="2194" spans="1:1" x14ac:dyDescent="0.2">
      <c r="A2194" s="12" t="str">
        <f t="shared" si="34"/>
        <v/>
      </c>
    </row>
    <row r="2195" spans="1:1" x14ac:dyDescent="0.2">
      <c r="A2195" s="12" t="str">
        <f t="shared" si="34"/>
        <v/>
      </c>
    </row>
    <row r="2196" spans="1:1" x14ac:dyDescent="0.2">
      <c r="A2196" s="12" t="str">
        <f t="shared" si="34"/>
        <v/>
      </c>
    </row>
    <row r="2197" spans="1:1" x14ac:dyDescent="0.2">
      <c r="A2197" s="12" t="str">
        <f t="shared" si="34"/>
        <v/>
      </c>
    </row>
    <row r="2198" spans="1:1" x14ac:dyDescent="0.2">
      <c r="A2198" s="12" t="str">
        <f t="shared" si="34"/>
        <v/>
      </c>
    </row>
    <row r="2199" spans="1:1" x14ac:dyDescent="0.2">
      <c r="A2199" s="12" t="str">
        <f t="shared" si="34"/>
        <v/>
      </c>
    </row>
    <row r="2200" spans="1:1" x14ac:dyDescent="0.2">
      <c r="A2200" s="12" t="str">
        <f t="shared" si="34"/>
        <v/>
      </c>
    </row>
    <row r="2201" spans="1:1" x14ac:dyDescent="0.2">
      <c r="A2201" s="12" t="str">
        <f t="shared" si="34"/>
        <v/>
      </c>
    </row>
    <row r="2202" spans="1:1" x14ac:dyDescent="0.2">
      <c r="A2202" s="12" t="str">
        <f t="shared" si="34"/>
        <v/>
      </c>
    </row>
    <row r="2203" spans="1:1" x14ac:dyDescent="0.2">
      <c r="A2203" s="12" t="str">
        <f t="shared" si="34"/>
        <v/>
      </c>
    </row>
    <row r="2204" spans="1:1" x14ac:dyDescent="0.2">
      <c r="A2204" s="12" t="str">
        <f t="shared" si="34"/>
        <v/>
      </c>
    </row>
    <row r="2205" spans="1:1" x14ac:dyDescent="0.2">
      <c r="A2205" s="12" t="str">
        <f t="shared" si="34"/>
        <v/>
      </c>
    </row>
    <row r="2206" spans="1:1" x14ac:dyDescent="0.2">
      <c r="A2206" s="12" t="str">
        <f t="shared" si="34"/>
        <v/>
      </c>
    </row>
    <row r="2207" spans="1:1" x14ac:dyDescent="0.2">
      <c r="A2207" s="12" t="str">
        <f t="shared" si="34"/>
        <v/>
      </c>
    </row>
    <row r="2208" spans="1:1" x14ac:dyDescent="0.2">
      <c r="A2208" s="12" t="str">
        <f t="shared" si="34"/>
        <v/>
      </c>
    </row>
    <row r="2209" spans="1:1" x14ac:dyDescent="0.2">
      <c r="A2209" s="12" t="str">
        <f t="shared" si="34"/>
        <v/>
      </c>
    </row>
    <row r="2210" spans="1:1" x14ac:dyDescent="0.2">
      <c r="A2210" s="12" t="str">
        <f t="shared" si="34"/>
        <v/>
      </c>
    </row>
    <row r="2211" spans="1:1" x14ac:dyDescent="0.2">
      <c r="A2211" s="12" t="str">
        <f t="shared" si="34"/>
        <v/>
      </c>
    </row>
    <row r="2212" spans="1:1" x14ac:dyDescent="0.2">
      <c r="A2212" s="12" t="str">
        <f t="shared" si="34"/>
        <v/>
      </c>
    </row>
    <row r="2213" spans="1:1" x14ac:dyDescent="0.2">
      <c r="A2213" s="12" t="str">
        <f t="shared" si="34"/>
        <v/>
      </c>
    </row>
    <row r="2214" spans="1:1" x14ac:dyDescent="0.2">
      <c r="A2214" s="12" t="str">
        <f t="shared" si="34"/>
        <v/>
      </c>
    </row>
    <row r="2215" spans="1:1" x14ac:dyDescent="0.2">
      <c r="A2215" s="12" t="str">
        <f t="shared" si="34"/>
        <v/>
      </c>
    </row>
    <row r="2216" spans="1:1" x14ac:dyDescent="0.2">
      <c r="A2216" s="12" t="str">
        <f t="shared" si="34"/>
        <v/>
      </c>
    </row>
    <row r="2217" spans="1:1" x14ac:dyDescent="0.2">
      <c r="A2217" s="12" t="str">
        <f t="shared" si="34"/>
        <v/>
      </c>
    </row>
    <row r="2218" spans="1:1" x14ac:dyDescent="0.2">
      <c r="A2218" s="12" t="str">
        <f t="shared" si="34"/>
        <v/>
      </c>
    </row>
    <row r="2219" spans="1:1" x14ac:dyDescent="0.2">
      <c r="A2219" s="12" t="str">
        <f t="shared" si="34"/>
        <v/>
      </c>
    </row>
    <row r="2220" spans="1:1" x14ac:dyDescent="0.2">
      <c r="A2220" s="12" t="str">
        <f t="shared" si="34"/>
        <v/>
      </c>
    </row>
    <row r="2221" spans="1:1" x14ac:dyDescent="0.2">
      <c r="A2221" s="12" t="str">
        <f t="shared" si="34"/>
        <v/>
      </c>
    </row>
    <row r="2222" spans="1:1" x14ac:dyDescent="0.2">
      <c r="A2222" s="12" t="str">
        <f t="shared" si="34"/>
        <v/>
      </c>
    </row>
    <row r="2223" spans="1:1" x14ac:dyDescent="0.2">
      <c r="A2223" s="12" t="str">
        <f t="shared" si="34"/>
        <v/>
      </c>
    </row>
    <row r="2224" spans="1:1" x14ac:dyDescent="0.2">
      <c r="A2224" s="12" t="str">
        <f t="shared" si="34"/>
        <v/>
      </c>
    </row>
    <row r="2225" spans="1:1" x14ac:dyDescent="0.2">
      <c r="A2225" s="12" t="str">
        <f t="shared" si="34"/>
        <v/>
      </c>
    </row>
    <row r="2226" spans="1:1" x14ac:dyDescent="0.2">
      <c r="A2226" s="12" t="str">
        <f t="shared" si="34"/>
        <v/>
      </c>
    </row>
    <row r="2227" spans="1:1" x14ac:dyDescent="0.2">
      <c r="A2227" s="12" t="str">
        <f t="shared" si="34"/>
        <v/>
      </c>
    </row>
    <row r="2228" spans="1:1" x14ac:dyDescent="0.2">
      <c r="A2228" s="12" t="str">
        <f t="shared" si="34"/>
        <v/>
      </c>
    </row>
    <row r="2229" spans="1:1" x14ac:dyDescent="0.2">
      <c r="A2229" s="12" t="str">
        <f t="shared" si="34"/>
        <v/>
      </c>
    </row>
    <row r="2230" spans="1:1" x14ac:dyDescent="0.2">
      <c r="A2230" s="12" t="str">
        <f t="shared" si="34"/>
        <v/>
      </c>
    </row>
    <row r="2231" spans="1:1" x14ac:dyDescent="0.2">
      <c r="A2231" s="12" t="str">
        <f t="shared" si="34"/>
        <v/>
      </c>
    </row>
    <row r="2232" spans="1:1" x14ac:dyDescent="0.2">
      <c r="A2232" s="12" t="str">
        <f t="shared" si="34"/>
        <v/>
      </c>
    </row>
    <row r="2233" spans="1:1" x14ac:dyDescent="0.2">
      <c r="A2233" s="12" t="str">
        <f t="shared" si="34"/>
        <v/>
      </c>
    </row>
    <row r="2234" spans="1:1" x14ac:dyDescent="0.2">
      <c r="A2234" s="12" t="str">
        <f t="shared" si="34"/>
        <v/>
      </c>
    </row>
    <row r="2235" spans="1:1" x14ac:dyDescent="0.2">
      <c r="A2235" s="12" t="str">
        <f t="shared" si="34"/>
        <v/>
      </c>
    </row>
    <row r="2236" spans="1:1" x14ac:dyDescent="0.2">
      <c r="A2236" s="12" t="str">
        <f t="shared" si="34"/>
        <v/>
      </c>
    </row>
    <row r="2237" spans="1:1" x14ac:dyDescent="0.2">
      <c r="A2237" s="12" t="str">
        <f t="shared" si="34"/>
        <v/>
      </c>
    </row>
    <row r="2238" spans="1:1" x14ac:dyDescent="0.2">
      <c r="A2238" s="12" t="str">
        <f t="shared" si="34"/>
        <v/>
      </c>
    </row>
    <row r="2239" spans="1:1" x14ac:dyDescent="0.2">
      <c r="A2239" s="12" t="str">
        <f t="shared" si="34"/>
        <v/>
      </c>
    </row>
    <row r="2240" spans="1:1" x14ac:dyDescent="0.2">
      <c r="A2240" s="12" t="str">
        <f t="shared" si="34"/>
        <v/>
      </c>
    </row>
    <row r="2241" spans="1:1" x14ac:dyDescent="0.2">
      <c r="A2241" s="12" t="str">
        <f t="shared" si="34"/>
        <v/>
      </c>
    </row>
    <row r="2242" spans="1:1" x14ac:dyDescent="0.2">
      <c r="A2242" s="12" t="str">
        <f t="shared" ref="A2242:A2305" si="35">IF(INDEX($AJ:$AJ,ROW())="","",HYPERLINK(INDEX($AJ:$AJ,ROW()),"Open"))</f>
        <v/>
      </c>
    </row>
    <row r="2243" spans="1:1" x14ac:dyDescent="0.2">
      <c r="A2243" s="12" t="str">
        <f t="shared" si="35"/>
        <v/>
      </c>
    </row>
    <row r="2244" spans="1:1" x14ac:dyDescent="0.2">
      <c r="A2244" s="12" t="str">
        <f t="shared" si="35"/>
        <v/>
      </c>
    </row>
    <row r="2245" spans="1:1" x14ac:dyDescent="0.2">
      <c r="A2245" s="12" t="str">
        <f t="shared" si="35"/>
        <v/>
      </c>
    </row>
    <row r="2246" spans="1:1" x14ac:dyDescent="0.2">
      <c r="A2246" s="12" t="str">
        <f t="shared" si="35"/>
        <v/>
      </c>
    </row>
    <row r="2247" spans="1:1" x14ac:dyDescent="0.2">
      <c r="A2247" s="12" t="str">
        <f t="shared" si="35"/>
        <v/>
      </c>
    </row>
    <row r="2248" spans="1:1" x14ac:dyDescent="0.2">
      <c r="A2248" s="12" t="str">
        <f t="shared" si="35"/>
        <v/>
      </c>
    </row>
    <row r="2249" spans="1:1" x14ac:dyDescent="0.2">
      <c r="A2249" s="12" t="str">
        <f t="shared" si="35"/>
        <v/>
      </c>
    </row>
    <row r="2250" spans="1:1" x14ac:dyDescent="0.2">
      <c r="A2250" s="12" t="str">
        <f t="shared" si="35"/>
        <v/>
      </c>
    </row>
    <row r="2251" spans="1:1" x14ac:dyDescent="0.2">
      <c r="A2251" s="12" t="str">
        <f t="shared" si="35"/>
        <v/>
      </c>
    </row>
    <row r="2252" spans="1:1" x14ac:dyDescent="0.2">
      <c r="A2252" s="12" t="str">
        <f t="shared" si="35"/>
        <v/>
      </c>
    </row>
    <row r="2253" spans="1:1" x14ac:dyDescent="0.2">
      <c r="A2253" s="12" t="str">
        <f t="shared" si="35"/>
        <v/>
      </c>
    </row>
    <row r="2254" spans="1:1" x14ac:dyDescent="0.2">
      <c r="A2254" s="12" t="str">
        <f t="shared" si="35"/>
        <v/>
      </c>
    </row>
    <row r="2255" spans="1:1" x14ac:dyDescent="0.2">
      <c r="A2255" s="12" t="str">
        <f t="shared" si="35"/>
        <v/>
      </c>
    </row>
    <row r="2256" spans="1:1" x14ac:dyDescent="0.2">
      <c r="A2256" s="12" t="str">
        <f t="shared" si="35"/>
        <v/>
      </c>
    </row>
    <row r="2257" spans="1:1" x14ac:dyDescent="0.2">
      <c r="A2257" s="12" t="str">
        <f t="shared" si="35"/>
        <v/>
      </c>
    </row>
    <row r="2258" spans="1:1" x14ac:dyDescent="0.2">
      <c r="A2258" s="12" t="str">
        <f t="shared" si="35"/>
        <v/>
      </c>
    </row>
    <row r="2259" spans="1:1" x14ac:dyDescent="0.2">
      <c r="A2259" s="12" t="str">
        <f t="shared" si="35"/>
        <v/>
      </c>
    </row>
    <row r="2260" spans="1:1" x14ac:dyDescent="0.2">
      <c r="A2260" s="12" t="str">
        <f t="shared" si="35"/>
        <v/>
      </c>
    </row>
    <row r="2261" spans="1:1" x14ac:dyDescent="0.2">
      <c r="A2261" s="12" t="str">
        <f t="shared" si="35"/>
        <v/>
      </c>
    </row>
    <row r="2262" spans="1:1" x14ac:dyDescent="0.2">
      <c r="A2262" s="12" t="str">
        <f t="shared" si="35"/>
        <v/>
      </c>
    </row>
    <row r="2263" spans="1:1" x14ac:dyDescent="0.2">
      <c r="A2263" s="12" t="str">
        <f t="shared" si="35"/>
        <v/>
      </c>
    </row>
    <row r="2264" spans="1:1" x14ac:dyDescent="0.2">
      <c r="A2264" s="12" t="str">
        <f t="shared" si="35"/>
        <v/>
      </c>
    </row>
    <row r="2265" spans="1:1" x14ac:dyDescent="0.2">
      <c r="A2265" s="12" t="str">
        <f t="shared" si="35"/>
        <v/>
      </c>
    </row>
    <row r="2266" spans="1:1" x14ac:dyDescent="0.2">
      <c r="A2266" s="12" t="str">
        <f t="shared" si="35"/>
        <v/>
      </c>
    </row>
    <row r="2267" spans="1:1" x14ac:dyDescent="0.2">
      <c r="A2267" s="12" t="str">
        <f t="shared" si="35"/>
        <v/>
      </c>
    </row>
    <row r="2268" spans="1:1" x14ac:dyDescent="0.2">
      <c r="A2268" s="12" t="str">
        <f t="shared" si="35"/>
        <v/>
      </c>
    </row>
    <row r="2269" spans="1:1" x14ac:dyDescent="0.2">
      <c r="A2269" s="12" t="str">
        <f t="shared" si="35"/>
        <v/>
      </c>
    </row>
    <row r="2270" spans="1:1" x14ac:dyDescent="0.2">
      <c r="A2270" s="12" t="str">
        <f t="shared" si="35"/>
        <v/>
      </c>
    </row>
    <row r="2271" spans="1:1" x14ac:dyDescent="0.2">
      <c r="A2271" s="12" t="str">
        <f t="shared" si="35"/>
        <v/>
      </c>
    </row>
    <row r="2272" spans="1:1" x14ac:dyDescent="0.2">
      <c r="A2272" s="12" t="str">
        <f t="shared" si="35"/>
        <v/>
      </c>
    </row>
    <row r="2273" spans="1:1" x14ac:dyDescent="0.2">
      <c r="A2273" s="12" t="str">
        <f t="shared" si="35"/>
        <v/>
      </c>
    </row>
    <row r="2274" spans="1:1" x14ac:dyDescent="0.2">
      <c r="A2274" s="12" t="str">
        <f t="shared" si="35"/>
        <v/>
      </c>
    </row>
    <row r="2275" spans="1:1" x14ac:dyDescent="0.2">
      <c r="A2275" s="12" t="str">
        <f t="shared" si="35"/>
        <v/>
      </c>
    </row>
    <row r="2276" spans="1:1" x14ac:dyDescent="0.2">
      <c r="A2276" s="12" t="str">
        <f t="shared" si="35"/>
        <v/>
      </c>
    </row>
    <row r="2277" spans="1:1" x14ac:dyDescent="0.2">
      <c r="A2277" s="12" t="str">
        <f t="shared" si="35"/>
        <v/>
      </c>
    </row>
    <row r="2278" spans="1:1" x14ac:dyDescent="0.2">
      <c r="A2278" s="12" t="str">
        <f t="shared" si="35"/>
        <v/>
      </c>
    </row>
    <row r="2279" spans="1:1" x14ac:dyDescent="0.2">
      <c r="A2279" s="12" t="str">
        <f t="shared" si="35"/>
        <v/>
      </c>
    </row>
    <row r="2280" spans="1:1" x14ac:dyDescent="0.2">
      <c r="A2280" s="12" t="str">
        <f t="shared" si="35"/>
        <v/>
      </c>
    </row>
    <row r="2281" spans="1:1" x14ac:dyDescent="0.2">
      <c r="A2281" s="12" t="str">
        <f t="shared" si="35"/>
        <v/>
      </c>
    </row>
    <row r="2282" spans="1:1" x14ac:dyDescent="0.2">
      <c r="A2282" s="12" t="str">
        <f t="shared" si="35"/>
        <v/>
      </c>
    </row>
    <row r="2283" spans="1:1" x14ac:dyDescent="0.2">
      <c r="A2283" s="12" t="str">
        <f t="shared" si="35"/>
        <v/>
      </c>
    </row>
    <row r="2284" spans="1:1" x14ac:dyDescent="0.2">
      <c r="A2284" s="12" t="str">
        <f t="shared" si="35"/>
        <v/>
      </c>
    </row>
    <row r="2285" spans="1:1" x14ac:dyDescent="0.2">
      <c r="A2285" s="12" t="str">
        <f t="shared" si="35"/>
        <v/>
      </c>
    </row>
    <row r="2286" spans="1:1" x14ac:dyDescent="0.2">
      <c r="A2286" s="12" t="str">
        <f t="shared" si="35"/>
        <v/>
      </c>
    </row>
    <row r="2287" spans="1:1" x14ac:dyDescent="0.2">
      <c r="A2287" s="12" t="str">
        <f t="shared" si="35"/>
        <v/>
      </c>
    </row>
    <row r="2288" spans="1:1" x14ac:dyDescent="0.2">
      <c r="A2288" s="12" t="str">
        <f t="shared" si="35"/>
        <v/>
      </c>
    </row>
    <row r="2289" spans="1:1" x14ac:dyDescent="0.2">
      <c r="A2289" s="12" t="str">
        <f t="shared" si="35"/>
        <v/>
      </c>
    </row>
    <row r="2290" spans="1:1" x14ac:dyDescent="0.2">
      <c r="A2290" s="12" t="str">
        <f t="shared" si="35"/>
        <v/>
      </c>
    </row>
    <row r="2291" spans="1:1" x14ac:dyDescent="0.2">
      <c r="A2291" s="12" t="str">
        <f t="shared" si="35"/>
        <v/>
      </c>
    </row>
    <row r="2292" spans="1:1" x14ac:dyDescent="0.2">
      <c r="A2292" s="12" t="str">
        <f t="shared" si="35"/>
        <v/>
      </c>
    </row>
    <row r="2293" spans="1:1" x14ac:dyDescent="0.2">
      <c r="A2293" s="12" t="str">
        <f t="shared" si="35"/>
        <v/>
      </c>
    </row>
    <row r="2294" spans="1:1" x14ac:dyDescent="0.2">
      <c r="A2294" s="12" t="str">
        <f t="shared" si="35"/>
        <v/>
      </c>
    </row>
    <row r="2295" spans="1:1" x14ac:dyDescent="0.2">
      <c r="A2295" s="12" t="str">
        <f t="shared" si="35"/>
        <v/>
      </c>
    </row>
    <row r="2296" spans="1:1" x14ac:dyDescent="0.2">
      <c r="A2296" s="12" t="str">
        <f t="shared" si="35"/>
        <v/>
      </c>
    </row>
    <row r="2297" spans="1:1" x14ac:dyDescent="0.2">
      <c r="A2297" s="12" t="str">
        <f t="shared" si="35"/>
        <v/>
      </c>
    </row>
    <row r="2298" spans="1:1" x14ac:dyDescent="0.2">
      <c r="A2298" s="12" t="str">
        <f t="shared" si="35"/>
        <v/>
      </c>
    </row>
    <row r="2299" spans="1:1" x14ac:dyDescent="0.2">
      <c r="A2299" s="12" t="str">
        <f t="shared" si="35"/>
        <v/>
      </c>
    </row>
    <row r="2300" spans="1:1" x14ac:dyDescent="0.2">
      <c r="A2300" s="12" t="str">
        <f t="shared" si="35"/>
        <v/>
      </c>
    </row>
    <row r="2301" spans="1:1" x14ac:dyDescent="0.2">
      <c r="A2301" s="12" t="str">
        <f t="shared" si="35"/>
        <v/>
      </c>
    </row>
    <row r="2302" spans="1:1" x14ac:dyDescent="0.2">
      <c r="A2302" s="12" t="str">
        <f t="shared" si="35"/>
        <v/>
      </c>
    </row>
    <row r="2303" spans="1:1" x14ac:dyDescent="0.2">
      <c r="A2303" s="12" t="str">
        <f t="shared" si="35"/>
        <v/>
      </c>
    </row>
    <row r="2304" spans="1:1" x14ac:dyDescent="0.2">
      <c r="A2304" s="12" t="str">
        <f t="shared" si="35"/>
        <v/>
      </c>
    </row>
    <row r="2305" spans="1:1" x14ac:dyDescent="0.2">
      <c r="A2305" s="12" t="str">
        <f t="shared" si="35"/>
        <v/>
      </c>
    </row>
    <row r="2306" spans="1:1" x14ac:dyDescent="0.2">
      <c r="A2306" s="12" t="str">
        <f t="shared" ref="A2306:A2369" si="36">IF(INDEX($AJ:$AJ,ROW())="","",HYPERLINK(INDEX($AJ:$AJ,ROW()),"Open"))</f>
        <v/>
      </c>
    </row>
    <row r="2307" spans="1:1" x14ac:dyDescent="0.2">
      <c r="A2307" s="12" t="str">
        <f t="shared" si="36"/>
        <v/>
      </c>
    </row>
    <row r="2308" spans="1:1" x14ac:dyDescent="0.2">
      <c r="A2308" s="12" t="str">
        <f t="shared" si="36"/>
        <v/>
      </c>
    </row>
    <row r="2309" spans="1:1" x14ac:dyDescent="0.2">
      <c r="A2309" s="12" t="str">
        <f t="shared" si="36"/>
        <v/>
      </c>
    </row>
    <row r="2310" spans="1:1" x14ac:dyDescent="0.2">
      <c r="A2310" s="12" t="str">
        <f t="shared" si="36"/>
        <v/>
      </c>
    </row>
    <row r="2311" spans="1:1" x14ac:dyDescent="0.2">
      <c r="A2311" s="12" t="str">
        <f t="shared" si="36"/>
        <v/>
      </c>
    </row>
    <row r="2312" spans="1:1" x14ac:dyDescent="0.2">
      <c r="A2312" s="12" t="str">
        <f t="shared" si="36"/>
        <v/>
      </c>
    </row>
    <row r="2313" spans="1:1" x14ac:dyDescent="0.2">
      <c r="A2313" s="12" t="str">
        <f t="shared" si="36"/>
        <v/>
      </c>
    </row>
    <row r="2314" spans="1:1" x14ac:dyDescent="0.2">
      <c r="A2314" s="12" t="str">
        <f t="shared" si="36"/>
        <v/>
      </c>
    </row>
    <row r="2315" spans="1:1" x14ac:dyDescent="0.2">
      <c r="A2315" s="12" t="str">
        <f t="shared" si="36"/>
        <v/>
      </c>
    </row>
    <row r="2316" spans="1:1" x14ac:dyDescent="0.2">
      <c r="A2316" s="12" t="str">
        <f t="shared" si="36"/>
        <v/>
      </c>
    </row>
    <row r="2317" spans="1:1" x14ac:dyDescent="0.2">
      <c r="A2317" s="12" t="str">
        <f t="shared" si="36"/>
        <v/>
      </c>
    </row>
    <row r="2318" spans="1:1" x14ac:dyDescent="0.2">
      <c r="A2318" s="12" t="str">
        <f t="shared" si="36"/>
        <v/>
      </c>
    </row>
    <row r="2319" spans="1:1" x14ac:dyDescent="0.2">
      <c r="A2319" s="12" t="str">
        <f t="shared" si="36"/>
        <v/>
      </c>
    </row>
    <row r="2320" spans="1:1" x14ac:dyDescent="0.2">
      <c r="A2320" s="12" t="str">
        <f t="shared" si="36"/>
        <v/>
      </c>
    </row>
    <row r="2321" spans="1:1" x14ac:dyDescent="0.2">
      <c r="A2321" s="12" t="str">
        <f t="shared" si="36"/>
        <v/>
      </c>
    </row>
    <row r="2322" spans="1:1" x14ac:dyDescent="0.2">
      <c r="A2322" s="12" t="str">
        <f t="shared" si="36"/>
        <v/>
      </c>
    </row>
    <row r="2323" spans="1:1" x14ac:dyDescent="0.2">
      <c r="A2323" s="12" t="str">
        <f t="shared" si="36"/>
        <v/>
      </c>
    </row>
    <row r="2324" spans="1:1" x14ac:dyDescent="0.2">
      <c r="A2324" s="12" t="str">
        <f t="shared" si="36"/>
        <v/>
      </c>
    </row>
    <row r="2325" spans="1:1" x14ac:dyDescent="0.2">
      <c r="A2325" s="12" t="str">
        <f t="shared" si="36"/>
        <v/>
      </c>
    </row>
    <row r="2326" spans="1:1" x14ac:dyDescent="0.2">
      <c r="A2326" s="12" t="str">
        <f t="shared" si="36"/>
        <v/>
      </c>
    </row>
    <row r="2327" spans="1:1" x14ac:dyDescent="0.2">
      <c r="A2327" s="12" t="str">
        <f t="shared" si="36"/>
        <v/>
      </c>
    </row>
    <row r="2328" spans="1:1" x14ac:dyDescent="0.2">
      <c r="A2328" s="12" t="str">
        <f t="shared" si="36"/>
        <v/>
      </c>
    </row>
    <row r="2329" spans="1:1" x14ac:dyDescent="0.2">
      <c r="A2329" s="12" t="str">
        <f t="shared" si="36"/>
        <v/>
      </c>
    </row>
    <row r="2330" spans="1:1" x14ac:dyDescent="0.2">
      <c r="A2330" s="12" t="str">
        <f t="shared" si="36"/>
        <v/>
      </c>
    </row>
    <row r="2331" spans="1:1" x14ac:dyDescent="0.2">
      <c r="A2331" s="12" t="str">
        <f t="shared" si="36"/>
        <v/>
      </c>
    </row>
    <row r="2332" spans="1:1" x14ac:dyDescent="0.2">
      <c r="A2332" s="12" t="str">
        <f t="shared" si="36"/>
        <v/>
      </c>
    </row>
    <row r="2333" spans="1:1" x14ac:dyDescent="0.2">
      <c r="A2333" s="12" t="str">
        <f t="shared" si="36"/>
        <v/>
      </c>
    </row>
    <row r="2334" spans="1:1" x14ac:dyDescent="0.2">
      <c r="A2334" s="12" t="str">
        <f t="shared" si="36"/>
        <v/>
      </c>
    </row>
    <row r="2335" spans="1:1" x14ac:dyDescent="0.2">
      <c r="A2335" s="12" t="str">
        <f t="shared" si="36"/>
        <v/>
      </c>
    </row>
    <row r="2336" spans="1:1" x14ac:dyDescent="0.2">
      <c r="A2336" s="12" t="str">
        <f t="shared" si="36"/>
        <v/>
      </c>
    </row>
    <row r="2337" spans="1:1" x14ac:dyDescent="0.2">
      <c r="A2337" s="12" t="str">
        <f t="shared" si="36"/>
        <v/>
      </c>
    </row>
    <row r="2338" spans="1:1" x14ac:dyDescent="0.2">
      <c r="A2338" s="12" t="str">
        <f t="shared" si="36"/>
        <v/>
      </c>
    </row>
    <row r="2339" spans="1:1" x14ac:dyDescent="0.2">
      <c r="A2339" s="12" t="str">
        <f t="shared" si="36"/>
        <v/>
      </c>
    </row>
    <row r="2340" spans="1:1" x14ac:dyDescent="0.2">
      <c r="A2340" s="12" t="str">
        <f t="shared" si="36"/>
        <v/>
      </c>
    </row>
    <row r="2341" spans="1:1" x14ac:dyDescent="0.2">
      <c r="A2341" s="12" t="str">
        <f t="shared" si="36"/>
        <v/>
      </c>
    </row>
    <row r="2342" spans="1:1" x14ac:dyDescent="0.2">
      <c r="A2342" s="12" t="str">
        <f t="shared" si="36"/>
        <v/>
      </c>
    </row>
    <row r="2343" spans="1:1" x14ac:dyDescent="0.2">
      <c r="A2343" s="12" t="str">
        <f t="shared" si="36"/>
        <v/>
      </c>
    </row>
    <row r="2344" spans="1:1" x14ac:dyDescent="0.2">
      <c r="A2344" s="12" t="str">
        <f t="shared" si="36"/>
        <v/>
      </c>
    </row>
    <row r="2345" spans="1:1" x14ac:dyDescent="0.2">
      <c r="A2345" s="12" t="str">
        <f t="shared" si="36"/>
        <v/>
      </c>
    </row>
    <row r="2346" spans="1:1" x14ac:dyDescent="0.2">
      <c r="A2346" s="12" t="str">
        <f t="shared" si="36"/>
        <v/>
      </c>
    </row>
    <row r="2347" spans="1:1" x14ac:dyDescent="0.2">
      <c r="A2347" s="12" t="str">
        <f t="shared" si="36"/>
        <v/>
      </c>
    </row>
    <row r="2348" spans="1:1" x14ac:dyDescent="0.2">
      <c r="A2348" s="12" t="str">
        <f t="shared" si="36"/>
        <v/>
      </c>
    </row>
    <row r="2349" spans="1:1" x14ac:dyDescent="0.2">
      <c r="A2349" s="12" t="str">
        <f t="shared" si="36"/>
        <v/>
      </c>
    </row>
    <row r="2350" spans="1:1" x14ac:dyDescent="0.2">
      <c r="A2350" s="12" t="str">
        <f t="shared" si="36"/>
        <v/>
      </c>
    </row>
    <row r="2351" spans="1:1" x14ac:dyDescent="0.2">
      <c r="A2351" s="12" t="str">
        <f t="shared" si="36"/>
        <v/>
      </c>
    </row>
    <row r="2352" spans="1:1" x14ac:dyDescent="0.2">
      <c r="A2352" s="12" t="str">
        <f t="shared" si="36"/>
        <v/>
      </c>
    </row>
    <row r="2353" spans="1:1" x14ac:dyDescent="0.2">
      <c r="A2353" s="12" t="str">
        <f t="shared" si="36"/>
        <v/>
      </c>
    </row>
    <row r="2354" spans="1:1" x14ac:dyDescent="0.2">
      <c r="A2354" s="12" t="str">
        <f t="shared" si="36"/>
        <v/>
      </c>
    </row>
    <row r="2355" spans="1:1" x14ac:dyDescent="0.2">
      <c r="A2355" s="12" t="str">
        <f t="shared" si="36"/>
        <v/>
      </c>
    </row>
    <row r="2356" spans="1:1" x14ac:dyDescent="0.2">
      <c r="A2356" s="12" t="str">
        <f t="shared" si="36"/>
        <v/>
      </c>
    </row>
    <row r="2357" spans="1:1" x14ac:dyDescent="0.2">
      <c r="A2357" s="12" t="str">
        <f t="shared" si="36"/>
        <v/>
      </c>
    </row>
    <row r="2358" spans="1:1" x14ac:dyDescent="0.2">
      <c r="A2358" s="12" t="str">
        <f t="shared" si="36"/>
        <v/>
      </c>
    </row>
    <row r="2359" spans="1:1" x14ac:dyDescent="0.2">
      <c r="A2359" s="12" t="str">
        <f t="shared" si="36"/>
        <v/>
      </c>
    </row>
    <row r="2360" spans="1:1" x14ac:dyDescent="0.2">
      <c r="A2360" s="12" t="str">
        <f t="shared" si="36"/>
        <v/>
      </c>
    </row>
    <row r="2361" spans="1:1" x14ac:dyDescent="0.2">
      <c r="A2361" s="12" t="str">
        <f t="shared" si="36"/>
        <v/>
      </c>
    </row>
    <row r="2362" spans="1:1" x14ac:dyDescent="0.2">
      <c r="A2362" s="12" t="str">
        <f t="shared" si="36"/>
        <v/>
      </c>
    </row>
    <row r="2363" spans="1:1" x14ac:dyDescent="0.2">
      <c r="A2363" s="12" t="str">
        <f t="shared" si="36"/>
        <v/>
      </c>
    </row>
    <row r="2364" spans="1:1" x14ac:dyDescent="0.2">
      <c r="A2364" s="12" t="str">
        <f t="shared" si="36"/>
        <v/>
      </c>
    </row>
    <row r="2365" spans="1:1" x14ac:dyDescent="0.2">
      <c r="A2365" s="12" t="str">
        <f t="shared" si="36"/>
        <v/>
      </c>
    </row>
    <row r="2366" spans="1:1" x14ac:dyDescent="0.2">
      <c r="A2366" s="12" t="str">
        <f t="shared" si="36"/>
        <v/>
      </c>
    </row>
    <row r="2367" spans="1:1" x14ac:dyDescent="0.2">
      <c r="A2367" s="12" t="str">
        <f t="shared" si="36"/>
        <v/>
      </c>
    </row>
    <row r="2368" spans="1:1" x14ac:dyDescent="0.2">
      <c r="A2368" s="12" t="str">
        <f t="shared" si="36"/>
        <v/>
      </c>
    </row>
    <row r="2369" spans="1:1" x14ac:dyDescent="0.2">
      <c r="A2369" s="12" t="str">
        <f t="shared" si="36"/>
        <v/>
      </c>
    </row>
    <row r="2370" spans="1:1" x14ac:dyDescent="0.2">
      <c r="A2370" s="12" t="str">
        <f t="shared" ref="A2370:A2433" si="37">IF(INDEX($AJ:$AJ,ROW())="","",HYPERLINK(INDEX($AJ:$AJ,ROW()),"Open"))</f>
        <v/>
      </c>
    </row>
    <row r="2371" spans="1:1" x14ac:dyDescent="0.2">
      <c r="A2371" s="12" t="str">
        <f t="shared" si="37"/>
        <v/>
      </c>
    </row>
    <row r="2372" spans="1:1" x14ac:dyDescent="0.2">
      <c r="A2372" s="12" t="str">
        <f t="shared" si="37"/>
        <v/>
      </c>
    </row>
    <row r="2373" spans="1:1" x14ac:dyDescent="0.2">
      <c r="A2373" s="12" t="str">
        <f t="shared" si="37"/>
        <v/>
      </c>
    </row>
    <row r="2374" spans="1:1" x14ac:dyDescent="0.2">
      <c r="A2374" s="12" t="str">
        <f t="shared" si="37"/>
        <v/>
      </c>
    </row>
    <row r="2375" spans="1:1" x14ac:dyDescent="0.2">
      <c r="A2375" s="12" t="str">
        <f t="shared" si="37"/>
        <v/>
      </c>
    </row>
    <row r="2376" spans="1:1" x14ac:dyDescent="0.2">
      <c r="A2376" s="12" t="str">
        <f t="shared" si="37"/>
        <v/>
      </c>
    </row>
    <row r="2377" spans="1:1" x14ac:dyDescent="0.2">
      <c r="A2377" s="12" t="str">
        <f t="shared" si="37"/>
        <v/>
      </c>
    </row>
    <row r="2378" spans="1:1" x14ac:dyDescent="0.2">
      <c r="A2378" s="12" t="str">
        <f t="shared" si="37"/>
        <v/>
      </c>
    </row>
    <row r="2379" spans="1:1" x14ac:dyDescent="0.2">
      <c r="A2379" s="12" t="str">
        <f t="shared" si="37"/>
        <v/>
      </c>
    </row>
    <row r="2380" spans="1:1" x14ac:dyDescent="0.2">
      <c r="A2380" s="12" t="str">
        <f t="shared" si="37"/>
        <v/>
      </c>
    </row>
    <row r="2381" spans="1:1" x14ac:dyDescent="0.2">
      <c r="A2381" s="12" t="str">
        <f t="shared" si="37"/>
        <v/>
      </c>
    </row>
    <row r="2382" spans="1:1" x14ac:dyDescent="0.2">
      <c r="A2382" s="12" t="str">
        <f t="shared" si="37"/>
        <v/>
      </c>
    </row>
    <row r="2383" spans="1:1" x14ac:dyDescent="0.2">
      <c r="A2383" s="12" t="str">
        <f t="shared" si="37"/>
        <v/>
      </c>
    </row>
    <row r="2384" spans="1:1" x14ac:dyDescent="0.2">
      <c r="A2384" s="12" t="str">
        <f t="shared" si="37"/>
        <v/>
      </c>
    </row>
    <row r="2385" spans="1:1" x14ac:dyDescent="0.2">
      <c r="A2385" s="12" t="str">
        <f t="shared" si="37"/>
        <v/>
      </c>
    </row>
    <row r="2386" spans="1:1" x14ac:dyDescent="0.2">
      <c r="A2386" s="12" t="str">
        <f t="shared" si="37"/>
        <v/>
      </c>
    </row>
    <row r="2387" spans="1:1" x14ac:dyDescent="0.2">
      <c r="A2387" s="12" t="str">
        <f t="shared" si="37"/>
        <v/>
      </c>
    </row>
    <row r="2388" spans="1:1" x14ac:dyDescent="0.2">
      <c r="A2388" s="12" t="str">
        <f t="shared" si="37"/>
        <v/>
      </c>
    </row>
    <row r="2389" spans="1:1" x14ac:dyDescent="0.2">
      <c r="A2389" s="12" t="str">
        <f t="shared" si="37"/>
        <v/>
      </c>
    </row>
    <row r="2390" spans="1:1" x14ac:dyDescent="0.2">
      <c r="A2390" s="12" t="str">
        <f t="shared" si="37"/>
        <v/>
      </c>
    </row>
    <row r="2391" spans="1:1" x14ac:dyDescent="0.2">
      <c r="A2391" s="12" t="str">
        <f t="shared" si="37"/>
        <v/>
      </c>
    </row>
    <row r="2392" spans="1:1" x14ac:dyDescent="0.2">
      <c r="A2392" s="12" t="str">
        <f t="shared" si="37"/>
        <v/>
      </c>
    </row>
    <row r="2393" spans="1:1" x14ac:dyDescent="0.2">
      <c r="A2393" s="12" t="str">
        <f t="shared" si="37"/>
        <v/>
      </c>
    </row>
    <row r="2394" spans="1:1" x14ac:dyDescent="0.2">
      <c r="A2394" s="12" t="str">
        <f t="shared" si="37"/>
        <v/>
      </c>
    </row>
    <row r="2395" spans="1:1" x14ac:dyDescent="0.2">
      <c r="A2395" s="12" t="str">
        <f t="shared" si="37"/>
        <v/>
      </c>
    </row>
    <row r="2396" spans="1:1" x14ac:dyDescent="0.2">
      <c r="A2396" s="12" t="str">
        <f t="shared" si="37"/>
        <v/>
      </c>
    </row>
    <row r="2397" spans="1:1" x14ac:dyDescent="0.2">
      <c r="A2397" s="12" t="str">
        <f t="shared" si="37"/>
        <v/>
      </c>
    </row>
    <row r="2398" spans="1:1" x14ac:dyDescent="0.2">
      <c r="A2398" s="12" t="str">
        <f t="shared" si="37"/>
        <v/>
      </c>
    </row>
    <row r="2399" spans="1:1" x14ac:dyDescent="0.2">
      <c r="A2399" s="12" t="str">
        <f t="shared" si="37"/>
        <v/>
      </c>
    </row>
    <row r="2400" spans="1:1" x14ac:dyDescent="0.2">
      <c r="A2400" s="12" t="str">
        <f t="shared" si="37"/>
        <v/>
      </c>
    </row>
    <row r="2401" spans="1:1" x14ac:dyDescent="0.2">
      <c r="A2401" s="12" t="str">
        <f t="shared" si="37"/>
        <v/>
      </c>
    </row>
    <row r="2402" spans="1:1" x14ac:dyDescent="0.2">
      <c r="A2402" s="12" t="str">
        <f t="shared" si="37"/>
        <v/>
      </c>
    </row>
    <row r="2403" spans="1:1" x14ac:dyDescent="0.2">
      <c r="A2403" s="12" t="str">
        <f t="shared" si="37"/>
        <v/>
      </c>
    </row>
    <row r="2404" spans="1:1" x14ac:dyDescent="0.2">
      <c r="A2404" s="12" t="str">
        <f t="shared" si="37"/>
        <v/>
      </c>
    </row>
    <row r="2405" spans="1:1" x14ac:dyDescent="0.2">
      <c r="A2405" s="12" t="str">
        <f t="shared" si="37"/>
        <v/>
      </c>
    </row>
    <row r="2406" spans="1:1" x14ac:dyDescent="0.2">
      <c r="A2406" s="12" t="str">
        <f t="shared" si="37"/>
        <v/>
      </c>
    </row>
    <row r="2407" spans="1:1" x14ac:dyDescent="0.2">
      <c r="A2407" s="12" t="str">
        <f t="shared" si="37"/>
        <v/>
      </c>
    </row>
    <row r="2408" spans="1:1" x14ac:dyDescent="0.2">
      <c r="A2408" s="12" t="str">
        <f t="shared" si="37"/>
        <v/>
      </c>
    </row>
    <row r="2409" spans="1:1" x14ac:dyDescent="0.2">
      <c r="A2409" s="12" t="str">
        <f t="shared" si="37"/>
        <v/>
      </c>
    </row>
    <row r="2410" spans="1:1" x14ac:dyDescent="0.2">
      <c r="A2410" s="12" t="str">
        <f t="shared" si="37"/>
        <v/>
      </c>
    </row>
    <row r="2411" spans="1:1" x14ac:dyDescent="0.2">
      <c r="A2411" s="12" t="str">
        <f t="shared" si="37"/>
        <v/>
      </c>
    </row>
    <row r="2412" spans="1:1" x14ac:dyDescent="0.2">
      <c r="A2412" s="12" t="str">
        <f t="shared" si="37"/>
        <v/>
      </c>
    </row>
    <row r="2413" spans="1:1" x14ac:dyDescent="0.2">
      <c r="A2413" s="12" t="str">
        <f t="shared" si="37"/>
        <v/>
      </c>
    </row>
    <row r="2414" spans="1:1" x14ac:dyDescent="0.2">
      <c r="A2414" s="12" t="str">
        <f t="shared" si="37"/>
        <v/>
      </c>
    </row>
    <row r="2415" spans="1:1" x14ac:dyDescent="0.2">
      <c r="A2415" s="12" t="str">
        <f t="shared" si="37"/>
        <v/>
      </c>
    </row>
    <row r="2416" spans="1:1" x14ac:dyDescent="0.2">
      <c r="A2416" s="12" t="str">
        <f t="shared" si="37"/>
        <v/>
      </c>
    </row>
    <row r="2417" spans="1:1" x14ac:dyDescent="0.2">
      <c r="A2417" s="12" t="str">
        <f t="shared" si="37"/>
        <v/>
      </c>
    </row>
    <row r="2418" spans="1:1" x14ac:dyDescent="0.2">
      <c r="A2418" s="12" t="str">
        <f t="shared" si="37"/>
        <v/>
      </c>
    </row>
    <row r="2419" spans="1:1" x14ac:dyDescent="0.2">
      <c r="A2419" s="12" t="str">
        <f t="shared" si="37"/>
        <v/>
      </c>
    </row>
    <row r="2420" spans="1:1" x14ac:dyDescent="0.2">
      <c r="A2420" s="12" t="str">
        <f t="shared" si="37"/>
        <v/>
      </c>
    </row>
    <row r="2421" spans="1:1" x14ac:dyDescent="0.2">
      <c r="A2421" s="12" t="str">
        <f t="shared" si="37"/>
        <v/>
      </c>
    </row>
    <row r="2422" spans="1:1" x14ac:dyDescent="0.2">
      <c r="A2422" s="12" t="str">
        <f t="shared" si="37"/>
        <v/>
      </c>
    </row>
    <row r="2423" spans="1:1" x14ac:dyDescent="0.2">
      <c r="A2423" s="12" t="str">
        <f t="shared" si="37"/>
        <v/>
      </c>
    </row>
    <row r="2424" spans="1:1" x14ac:dyDescent="0.2">
      <c r="A2424" s="12" t="str">
        <f t="shared" si="37"/>
        <v/>
      </c>
    </row>
    <row r="2425" spans="1:1" x14ac:dyDescent="0.2">
      <c r="A2425" s="12" t="str">
        <f t="shared" si="37"/>
        <v/>
      </c>
    </row>
    <row r="2426" spans="1:1" x14ac:dyDescent="0.2">
      <c r="A2426" s="12" t="str">
        <f t="shared" si="37"/>
        <v/>
      </c>
    </row>
    <row r="2427" spans="1:1" x14ac:dyDescent="0.2">
      <c r="A2427" s="12" t="str">
        <f t="shared" si="37"/>
        <v/>
      </c>
    </row>
    <row r="2428" spans="1:1" x14ac:dyDescent="0.2">
      <c r="A2428" s="12" t="str">
        <f t="shared" si="37"/>
        <v/>
      </c>
    </row>
    <row r="2429" spans="1:1" x14ac:dyDescent="0.2">
      <c r="A2429" s="12" t="str">
        <f t="shared" si="37"/>
        <v/>
      </c>
    </row>
    <row r="2430" spans="1:1" x14ac:dyDescent="0.2">
      <c r="A2430" s="12" t="str">
        <f t="shared" si="37"/>
        <v/>
      </c>
    </row>
    <row r="2431" spans="1:1" x14ac:dyDescent="0.2">
      <c r="A2431" s="12" t="str">
        <f t="shared" si="37"/>
        <v/>
      </c>
    </row>
    <row r="2432" spans="1:1" x14ac:dyDescent="0.2">
      <c r="A2432" s="12" t="str">
        <f t="shared" si="37"/>
        <v/>
      </c>
    </row>
    <row r="2433" spans="1:1" x14ac:dyDescent="0.2">
      <c r="A2433" s="12" t="str">
        <f t="shared" si="37"/>
        <v/>
      </c>
    </row>
    <row r="2434" spans="1:1" x14ac:dyDescent="0.2">
      <c r="A2434" s="12" t="str">
        <f t="shared" ref="A2434:A2497" si="38">IF(INDEX($AJ:$AJ,ROW())="","",HYPERLINK(INDEX($AJ:$AJ,ROW()),"Open"))</f>
        <v/>
      </c>
    </row>
    <row r="2435" spans="1:1" x14ac:dyDescent="0.2">
      <c r="A2435" s="12" t="str">
        <f t="shared" si="38"/>
        <v/>
      </c>
    </row>
    <row r="2436" spans="1:1" x14ac:dyDescent="0.2">
      <c r="A2436" s="12" t="str">
        <f t="shared" si="38"/>
        <v/>
      </c>
    </row>
    <row r="2437" spans="1:1" x14ac:dyDescent="0.2">
      <c r="A2437" s="12" t="str">
        <f t="shared" si="38"/>
        <v/>
      </c>
    </row>
    <row r="2438" spans="1:1" x14ac:dyDescent="0.2">
      <c r="A2438" s="12" t="str">
        <f t="shared" si="38"/>
        <v/>
      </c>
    </row>
    <row r="2439" spans="1:1" x14ac:dyDescent="0.2">
      <c r="A2439" s="12" t="str">
        <f t="shared" si="38"/>
        <v/>
      </c>
    </row>
    <row r="2440" spans="1:1" x14ac:dyDescent="0.2">
      <c r="A2440" s="12" t="str">
        <f t="shared" si="38"/>
        <v/>
      </c>
    </row>
    <row r="2441" spans="1:1" x14ac:dyDescent="0.2">
      <c r="A2441" s="12" t="str">
        <f t="shared" si="38"/>
        <v/>
      </c>
    </row>
    <row r="2442" spans="1:1" x14ac:dyDescent="0.2">
      <c r="A2442" s="12" t="str">
        <f t="shared" si="38"/>
        <v/>
      </c>
    </row>
    <row r="2443" spans="1:1" x14ac:dyDescent="0.2">
      <c r="A2443" s="12" t="str">
        <f t="shared" si="38"/>
        <v/>
      </c>
    </row>
    <row r="2444" spans="1:1" x14ac:dyDescent="0.2">
      <c r="A2444" s="12" t="str">
        <f t="shared" si="38"/>
        <v/>
      </c>
    </row>
    <row r="2445" spans="1:1" x14ac:dyDescent="0.2">
      <c r="A2445" s="12" t="str">
        <f t="shared" si="38"/>
        <v/>
      </c>
    </row>
    <row r="2446" spans="1:1" x14ac:dyDescent="0.2">
      <c r="A2446" s="12" t="str">
        <f t="shared" si="38"/>
        <v/>
      </c>
    </row>
    <row r="2447" spans="1:1" x14ac:dyDescent="0.2">
      <c r="A2447" s="12" t="str">
        <f t="shared" si="38"/>
        <v/>
      </c>
    </row>
    <row r="2448" spans="1:1" x14ac:dyDescent="0.2">
      <c r="A2448" s="12" t="str">
        <f t="shared" si="38"/>
        <v/>
      </c>
    </row>
    <row r="2449" spans="1:1" x14ac:dyDescent="0.2">
      <c r="A2449" s="12" t="str">
        <f t="shared" si="38"/>
        <v/>
      </c>
    </row>
    <row r="2450" spans="1:1" x14ac:dyDescent="0.2">
      <c r="A2450" s="12" t="str">
        <f t="shared" si="38"/>
        <v/>
      </c>
    </row>
    <row r="2451" spans="1:1" x14ac:dyDescent="0.2">
      <c r="A2451" s="12" t="str">
        <f t="shared" si="38"/>
        <v/>
      </c>
    </row>
    <row r="2452" spans="1:1" x14ac:dyDescent="0.2">
      <c r="A2452" s="12" t="str">
        <f t="shared" si="38"/>
        <v/>
      </c>
    </row>
    <row r="2453" spans="1:1" x14ac:dyDescent="0.2">
      <c r="A2453" s="12" t="str">
        <f t="shared" si="38"/>
        <v/>
      </c>
    </row>
    <row r="2454" spans="1:1" x14ac:dyDescent="0.2">
      <c r="A2454" s="12" t="str">
        <f t="shared" si="38"/>
        <v/>
      </c>
    </row>
    <row r="2455" spans="1:1" x14ac:dyDescent="0.2">
      <c r="A2455" s="12" t="str">
        <f t="shared" si="38"/>
        <v/>
      </c>
    </row>
    <row r="2456" spans="1:1" x14ac:dyDescent="0.2">
      <c r="A2456" s="12" t="str">
        <f t="shared" si="38"/>
        <v/>
      </c>
    </row>
    <row r="2457" spans="1:1" x14ac:dyDescent="0.2">
      <c r="A2457" s="12" t="str">
        <f t="shared" si="38"/>
        <v/>
      </c>
    </row>
    <row r="2458" spans="1:1" x14ac:dyDescent="0.2">
      <c r="A2458" s="12" t="str">
        <f t="shared" si="38"/>
        <v/>
      </c>
    </row>
    <row r="2459" spans="1:1" x14ac:dyDescent="0.2">
      <c r="A2459" s="12" t="str">
        <f t="shared" si="38"/>
        <v/>
      </c>
    </row>
    <row r="2460" spans="1:1" x14ac:dyDescent="0.2">
      <c r="A2460" s="12" t="str">
        <f t="shared" si="38"/>
        <v/>
      </c>
    </row>
    <row r="2461" spans="1:1" x14ac:dyDescent="0.2">
      <c r="A2461" s="12" t="str">
        <f t="shared" si="38"/>
        <v/>
      </c>
    </row>
    <row r="2462" spans="1:1" x14ac:dyDescent="0.2">
      <c r="A2462" s="12" t="str">
        <f t="shared" si="38"/>
        <v/>
      </c>
    </row>
    <row r="2463" spans="1:1" x14ac:dyDescent="0.2">
      <c r="A2463" s="12" t="str">
        <f t="shared" si="38"/>
        <v/>
      </c>
    </row>
    <row r="2464" spans="1:1" x14ac:dyDescent="0.2">
      <c r="A2464" s="12" t="str">
        <f t="shared" si="38"/>
        <v/>
      </c>
    </row>
    <row r="2465" spans="1:1" x14ac:dyDescent="0.2">
      <c r="A2465" s="12" t="str">
        <f t="shared" si="38"/>
        <v/>
      </c>
    </row>
    <row r="2466" spans="1:1" x14ac:dyDescent="0.2">
      <c r="A2466" s="12" t="str">
        <f t="shared" si="38"/>
        <v/>
      </c>
    </row>
    <row r="2467" spans="1:1" x14ac:dyDescent="0.2">
      <c r="A2467" s="12" t="str">
        <f t="shared" si="38"/>
        <v/>
      </c>
    </row>
    <row r="2468" spans="1:1" x14ac:dyDescent="0.2">
      <c r="A2468" s="12" t="str">
        <f t="shared" si="38"/>
        <v/>
      </c>
    </row>
    <row r="2469" spans="1:1" x14ac:dyDescent="0.2">
      <c r="A2469" s="12" t="str">
        <f t="shared" si="38"/>
        <v/>
      </c>
    </row>
    <row r="2470" spans="1:1" x14ac:dyDescent="0.2">
      <c r="A2470" s="12" t="str">
        <f t="shared" si="38"/>
        <v/>
      </c>
    </row>
    <row r="2471" spans="1:1" x14ac:dyDescent="0.2">
      <c r="A2471" s="12" t="str">
        <f t="shared" si="38"/>
        <v/>
      </c>
    </row>
    <row r="2472" spans="1:1" x14ac:dyDescent="0.2">
      <c r="A2472" s="12" t="str">
        <f t="shared" si="38"/>
        <v/>
      </c>
    </row>
    <row r="2473" spans="1:1" x14ac:dyDescent="0.2">
      <c r="A2473" s="12" t="str">
        <f t="shared" si="38"/>
        <v/>
      </c>
    </row>
    <row r="2474" spans="1:1" x14ac:dyDescent="0.2">
      <c r="A2474" s="12" t="str">
        <f t="shared" si="38"/>
        <v/>
      </c>
    </row>
    <row r="2475" spans="1:1" x14ac:dyDescent="0.2">
      <c r="A2475" s="12" t="str">
        <f t="shared" si="38"/>
        <v/>
      </c>
    </row>
    <row r="2476" spans="1:1" x14ac:dyDescent="0.2">
      <c r="A2476" s="12" t="str">
        <f t="shared" si="38"/>
        <v/>
      </c>
    </row>
    <row r="2477" spans="1:1" x14ac:dyDescent="0.2">
      <c r="A2477" s="12" t="str">
        <f t="shared" si="38"/>
        <v/>
      </c>
    </row>
    <row r="2478" spans="1:1" x14ac:dyDescent="0.2">
      <c r="A2478" s="12" t="str">
        <f t="shared" si="38"/>
        <v/>
      </c>
    </row>
    <row r="2479" spans="1:1" x14ac:dyDescent="0.2">
      <c r="A2479" s="12" t="str">
        <f t="shared" si="38"/>
        <v/>
      </c>
    </row>
    <row r="2480" spans="1:1" x14ac:dyDescent="0.2">
      <c r="A2480" s="12" t="str">
        <f t="shared" si="38"/>
        <v/>
      </c>
    </row>
    <row r="2481" spans="1:1" x14ac:dyDescent="0.2">
      <c r="A2481" s="12" t="str">
        <f t="shared" si="38"/>
        <v/>
      </c>
    </row>
    <row r="2482" spans="1:1" x14ac:dyDescent="0.2">
      <c r="A2482" s="12" t="str">
        <f t="shared" si="38"/>
        <v/>
      </c>
    </row>
    <row r="2483" spans="1:1" x14ac:dyDescent="0.2">
      <c r="A2483" s="12" t="str">
        <f t="shared" si="38"/>
        <v/>
      </c>
    </row>
    <row r="2484" spans="1:1" x14ac:dyDescent="0.2">
      <c r="A2484" s="12" t="str">
        <f t="shared" si="38"/>
        <v/>
      </c>
    </row>
    <row r="2485" spans="1:1" x14ac:dyDescent="0.2">
      <c r="A2485" s="12" t="str">
        <f t="shared" si="38"/>
        <v/>
      </c>
    </row>
    <row r="2486" spans="1:1" x14ac:dyDescent="0.2">
      <c r="A2486" s="12" t="str">
        <f t="shared" si="38"/>
        <v/>
      </c>
    </row>
    <row r="2487" spans="1:1" x14ac:dyDescent="0.2">
      <c r="A2487" s="12" t="str">
        <f t="shared" si="38"/>
        <v/>
      </c>
    </row>
    <row r="2488" spans="1:1" x14ac:dyDescent="0.2">
      <c r="A2488" s="12" t="str">
        <f t="shared" si="38"/>
        <v/>
      </c>
    </row>
    <row r="2489" spans="1:1" x14ac:dyDescent="0.2">
      <c r="A2489" s="12" t="str">
        <f t="shared" si="38"/>
        <v/>
      </c>
    </row>
    <row r="2490" spans="1:1" x14ac:dyDescent="0.2">
      <c r="A2490" s="12" t="str">
        <f t="shared" si="38"/>
        <v/>
      </c>
    </row>
    <row r="2491" spans="1:1" x14ac:dyDescent="0.2">
      <c r="A2491" s="12" t="str">
        <f t="shared" si="38"/>
        <v/>
      </c>
    </row>
    <row r="2492" spans="1:1" x14ac:dyDescent="0.2">
      <c r="A2492" s="12" t="str">
        <f t="shared" si="38"/>
        <v/>
      </c>
    </row>
    <row r="2493" spans="1:1" x14ac:dyDescent="0.2">
      <c r="A2493" s="12" t="str">
        <f t="shared" si="38"/>
        <v/>
      </c>
    </row>
    <row r="2494" spans="1:1" x14ac:dyDescent="0.2">
      <c r="A2494" s="12" t="str">
        <f t="shared" si="38"/>
        <v/>
      </c>
    </row>
    <row r="2495" spans="1:1" x14ac:dyDescent="0.2">
      <c r="A2495" s="12" t="str">
        <f t="shared" si="38"/>
        <v/>
      </c>
    </row>
    <row r="2496" spans="1:1" x14ac:dyDescent="0.2">
      <c r="A2496" s="12" t="str">
        <f t="shared" si="38"/>
        <v/>
      </c>
    </row>
    <row r="2497" spans="1:1" x14ac:dyDescent="0.2">
      <c r="A2497" s="12" t="str">
        <f t="shared" si="38"/>
        <v/>
      </c>
    </row>
    <row r="2498" spans="1:1" x14ac:dyDescent="0.2">
      <c r="A2498" s="12" t="str">
        <f t="shared" ref="A2498:A2561" si="39">IF(INDEX($AJ:$AJ,ROW())="","",HYPERLINK(INDEX($AJ:$AJ,ROW()),"Open"))</f>
        <v/>
      </c>
    </row>
    <row r="2499" spans="1:1" x14ac:dyDescent="0.2">
      <c r="A2499" s="12" t="str">
        <f t="shared" si="39"/>
        <v/>
      </c>
    </row>
    <row r="2500" spans="1:1" x14ac:dyDescent="0.2">
      <c r="A2500" s="12" t="str">
        <f t="shared" si="39"/>
        <v/>
      </c>
    </row>
    <row r="2501" spans="1:1" x14ac:dyDescent="0.2">
      <c r="A2501" s="12" t="str">
        <f t="shared" si="39"/>
        <v/>
      </c>
    </row>
    <row r="2502" spans="1:1" x14ac:dyDescent="0.2">
      <c r="A2502" s="12" t="str">
        <f t="shared" si="39"/>
        <v/>
      </c>
    </row>
    <row r="2503" spans="1:1" x14ac:dyDescent="0.2">
      <c r="A2503" s="12" t="str">
        <f t="shared" si="39"/>
        <v/>
      </c>
    </row>
    <row r="2504" spans="1:1" x14ac:dyDescent="0.2">
      <c r="A2504" s="12" t="str">
        <f t="shared" si="39"/>
        <v/>
      </c>
    </row>
    <row r="2505" spans="1:1" x14ac:dyDescent="0.2">
      <c r="A2505" s="12" t="str">
        <f t="shared" si="39"/>
        <v/>
      </c>
    </row>
    <row r="2506" spans="1:1" x14ac:dyDescent="0.2">
      <c r="A2506" s="12" t="str">
        <f t="shared" si="39"/>
        <v/>
      </c>
    </row>
    <row r="2507" spans="1:1" x14ac:dyDescent="0.2">
      <c r="A2507" s="12" t="str">
        <f t="shared" si="39"/>
        <v/>
      </c>
    </row>
    <row r="2508" spans="1:1" x14ac:dyDescent="0.2">
      <c r="A2508" s="12" t="str">
        <f t="shared" si="39"/>
        <v/>
      </c>
    </row>
    <row r="2509" spans="1:1" x14ac:dyDescent="0.2">
      <c r="A2509" s="12" t="str">
        <f t="shared" si="39"/>
        <v/>
      </c>
    </row>
    <row r="2510" spans="1:1" x14ac:dyDescent="0.2">
      <c r="A2510" s="12" t="str">
        <f t="shared" si="39"/>
        <v/>
      </c>
    </row>
    <row r="2511" spans="1:1" x14ac:dyDescent="0.2">
      <c r="A2511" s="12" t="str">
        <f t="shared" si="39"/>
        <v/>
      </c>
    </row>
    <row r="2512" spans="1:1" x14ac:dyDescent="0.2">
      <c r="A2512" s="12" t="str">
        <f t="shared" si="39"/>
        <v/>
      </c>
    </row>
    <row r="2513" spans="1:1" x14ac:dyDescent="0.2">
      <c r="A2513" s="12" t="str">
        <f t="shared" si="39"/>
        <v/>
      </c>
    </row>
    <row r="2514" spans="1:1" x14ac:dyDescent="0.2">
      <c r="A2514" s="12" t="str">
        <f t="shared" si="39"/>
        <v/>
      </c>
    </row>
    <row r="2515" spans="1:1" x14ac:dyDescent="0.2">
      <c r="A2515" s="12" t="str">
        <f t="shared" si="39"/>
        <v/>
      </c>
    </row>
    <row r="2516" spans="1:1" x14ac:dyDescent="0.2">
      <c r="A2516" s="12" t="str">
        <f t="shared" si="39"/>
        <v/>
      </c>
    </row>
    <row r="2517" spans="1:1" x14ac:dyDescent="0.2">
      <c r="A2517" s="12" t="str">
        <f t="shared" si="39"/>
        <v/>
      </c>
    </row>
    <row r="2518" spans="1:1" x14ac:dyDescent="0.2">
      <c r="A2518" s="12" t="str">
        <f t="shared" si="39"/>
        <v/>
      </c>
    </row>
    <row r="2519" spans="1:1" x14ac:dyDescent="0.2">
      <c r="A2519" s="12" t="str">
        <f t="shared" si="39"/>
        <v/>
      </c>
    </row>
    <row r="2520" spans="1:1" x14ac:dyDescent="0.2">
      <c r="A2520" s="12" t="str">
        <f t="shared" si="39"/>
        <v/>
      </c>
    </row>
    <row r="2521" spans="1:1" x14ac:dyDescent="0.2">
      <c r="A2521" s="12" t="str">
        <f t="shared" si="39"/>
        <v/>
      </c>
    </row>
    <row r="2522" spans="1:1" x14ac:dyDescent="0.2">
      <c r="A2522" s="12" t="str">
        <f t="shared" si="39"/>
        <v/>
      </c>
    </row>
    <row r="2523" spans="1:1" x14ac:dyDescent="0.2">
      <c r="A2523" s="12" t="str">
        <f t="shared" si="39"/>
        <v/>
      </c>
    </row>
    <row r="2524" spans="1:1" x14ac:dyDescent="0.2">
      <c r="A2524" s="12" t="str">
        <f t="shared" si="39"/>
        <v/>
      </c>
    </row>
    <row r="2525" spans="1:1" x14ac:dyDescent="0.2">
      <c r="A2525" s="12" t="str">
        <f t="shared" si="39"/>
        <v/>
      </c>
    </row>
    <row r="2526" spans="1:1" x14ac:dyDescent="0.2">
      <c r="A2526" s="12" t="str">
        <f t="shared" si="39"/>
        <v/>
      </c>
    </row>
    <row r="2527" spans="1:1" x14ac:dyDescent="0.2">
      <c r="A2527" s="12" t="str">
        <f t="shared" si="39"/>
        <v/>
      </c>
    </row>
    <row r="2528" spans="1:1" x14ac:dyDescent="0.2">
      <c r="A2528" s="12" t="str">
        <f t="shared" si="39"/>
        <v/>
      </c>
    </row>
    <row r="2529" spans="1:1" x14ac:dyDescent="0.2">
      <c r="A2529" s="12" t="str">
        <f t="shared" si="39"/>
        <v/>
      </c>
    </row>
    <row r="2530" spans="1:1" x14ac:dyDescent="0.2">
      <c r="A2530" s="12" t="str">
        <f t="shared" si="39"/>
        <v/>
      </c>
    </row>
    <row r="2531" spans="1:1" x14ac:dyDescent="0.2">
      <c r="A2531" s="12" t="str">
        <f t="shared" si="39"/>
        <v/>
      </c>
    </row>
    <row r="2532" spans="1:1" x14ac:dyDescent="0.2">
      <c r="A2532" s="12" t="str">
        <f t="shared" si="39"/>
        <v/>
      </c>
    </row>
    <row r="2533" spans="1:1" x14ac:dyDescent="0.2">
      <c r="A2533" s="12" t="str">
        <f t="shared" si="39"/>
        <v/>
      </c>
    </row>
    <row r="2534" spans="1:1" x14ac:dyDescent="0.2">
      <c r="A2534" s="12" t="str">
        <f t="shared" si="39"/>
        <v/>
      </c>
    </row>
    <row r="2535" spans="1:1" x14ac:dyDescent="0.2">
      <c r="A2535" s="12" t="str">
        <f t="shared" si="39"/>
        <v/>
      </c>
    </row>
    <row r="2536" spans="1:1" x14ac:dyDescent="0.2">
      <c r="A2536" s="12" t="str">
        <f t="shared" si="39"/>
        <v/>
      </c>
    </row>
    <row r="2537" spans="1:1" x14ac:dyDescent="0.2">
      <c r="A2537" s="12" t="str">
        <f t="shared" si="39"/>
        <v/>
      </c>
    </row>
    <row r="2538" spans="1:1" x14ac:dyDescent="0.2">
      <c r="A2538" s="12" t="str">
        <f t="shared" si="39"/>
        <v/>
      </c>
    </row>
    <row r="2539" spans="1:1" x14ac:dyDescent="0.2">
      <c r="A2539" s="12" t="str">
        <f t="shared" si="39"/>
        <v/>
      </c>
    </row>
    <row r="2540" spans="1:1" x14ac:dyDescent="0.2">
      <c r="A2540" s="12" t="str">
        <f t="shared" si="39"/>
        <v/>
      </c>
    </row>
    <row r="2541" spans="1:1" x14ac:dyDescent="0.2">
      <c r="A2541" s="12" t="str">
        <f t="shared" si="39"/>
        <v/>
      </c>
    </row>
    <row r="2542" spans="1:1" x14ac:dyDescent="0.2">
      <c r="A2542" s="12" t="str">
        <f t="shared" si="39"/>
        <v/>
      </c>
    </row>
    <row r="2543" spans="1:1" x14ac:dyDescent="0.2">
      <c r="A2543" s="12" t="str">
        <f t="shared" si="39"/>
        <v/>
      </c>
    </row>
    <row r="2544" spans="1:1" x14ac:dyDescent="0.2">
      <c r="A2544" s="12" t="str">
        <f t="shared" si="39"/>
        <v/>
      </c>
    </row>
    <row r="2545" spans="1:1" x14ac:dyDescent="0.2">
      <c r="A2545" s="12" t="str">
        <f t="shared" si="39"/>
        <v/>
      </c>
    </row>
    <row r="2546" spans="1:1" x14ac:dyDescent="0.2">
      <c r="A2546" s="12" t="str">
        <f t="shared" si="39"/>
        <v/>
      </c>
    </row>
    <row r="2547" spans="1:1" x14ac:dyDescent="0.2">
      <c r="A2547" s="12" t="str">
        <f t="shared" si="39"/>
        <v/>
      </c>
    </row>
    <row r="2548" spans="1:1" x14ac:dyDescent="0.2">
      <c r="A2548" s="12" t="str">
        <f t="shared" si="39"/>
        <v/>
      </c>
    </row>
    <row r="2549" spans="1:1" x14ac:dyDescent="0.2">
      <c r="A2549" s="12" t="str">
        <f t="shared" si="39"/>
        <v/>
      </c>
    </row>
    <row r="2550" spans="1:1" x14ac:dyDescent="0.2">
      <c r="A2550" s="12" t="str">
        <f t="shared" si="39"/>
        <v/>
      </c>
    </row>
    <row r="2551" spans="1:1" x14ac:dyDescent="0.2">
      <c r="A2551" s="12" t="str">
        <f t="shared" si="39"/>
        <v/>
      </c>
    </row>
    <row r="2552" spans="1:1" x14ac:dyDescent="0.2">
      <c r="A2552" s="12" t="str">
        <f t="shared" si="39"/>
        <v/>
      </c>
    </row>
    <row r="2553" spans="1:1" x14ac:dyDescent="0.2">
      <c r="A2553" s="12" t="str">
        <f t="shared" si="39"/>
        <v/>
      </c>
    </row>
    <row r="2554" spans="1:1" x14ac:dyDescent="0.2">
      <c r="A2554" s="12" t="str">
        <f t="shared" si="39"/>
        <v/>
      </c>
    </row>
    <row r="2555" spans="1:1" x14ac:dyDescent="0.2">
      <c r="A2555" s="12" t="str">
        <f t="shared" si="39"/>
        <v/>
      </c>
    </row>
    <row r="2556" spans="1:1" x14ac:dyDescent="0.2">
      <c r="A2556" s="12" t="str">
        <f t="shared" si="39"/>
        <v/>
      </c>
    </row>
    <row r="2557" spans="1:1" x14ac:dyDescent="0.2">
      <c r="A2557" s="12" t="str">
        <f t="shared" si="39"/>
        <v/>
      </c>
    </row>
    <row r="2558" spans="1:1" x14ac:dyDescent="0.2">
      <c r="A2558" s="12" t="str">
        <f t="shared" si="39"/>
        <v/>
      </c>
    </row>
    <row r="2559" spans="1:1" x14ac:dyDescent="0.2">
      <c r="A2559" s="12" t="str">
        <f t="shared" si="39"/>
        <v/>
      </c>
    </row>
    <row r="2560" spans="1:1" x14ac:dyDescent="0.2">
      <c r="A2560" s="12" t="str">
        <f t="shared" si="39"/>
        <v/>
      </c>
    </row>
    <row r="2561" spans="1:1" x14ac:dyDescent="0.2">
      <c r="A2561" s="12" t="str">
        <f t="shared" si="39"/>
        <v/>
      </c>
    </row>
    <row r="2562" spans="1:1" x14ac:dyDescent="0.2">
      <c r="A2562" s="12" t="str">
        <f t="shared" ref="A2562:A2625" si="40">IF(INDEX($AJ:$AJ,ROW())="","",HYPERLINK(INDEX($AJ:$AJ,ROW()),"Open"))</f>
        <v/>
      </c>
    </row>
    <row r="2563" spans="1:1" x14ac:dyDescent="0.2">
      <c r="A2563" s="12" t="str">
        <f t="shared" si="40"/>
        <v/>
      </c>
    </row>
    <row r="2564" spans="1:1" x14ac:dyDescent="0.2">
      <c r="A2564" s="12" t="str">
        <f t="shared" si="40"/>
        <v/>
      </c>
    </row>
    <row r="2565" spans="1:1" x14ac:dyDescent="0.2">
      <c r="A2565" s="12" t="str">
        <f t="shared" si="40"/>
        <v/>
      </c>
    </row>
    <row r="2566" spans="1:1" x14ac:dyDescent="0.2">
      <c r="A2566" s="12" t="str">
        <f t="shared" si="40"/>
        <v/>
      </c>
    </row>
    <row r="2567" spans="1:1" x14ac:dyDescent="0.2">
      <c r="A2567" s="12" t="str">
        <f t="shared" si="40"/>
        <v/>
      </c>
    </row>
    <row r="2568" spans="1:1" x14ac:dyDescent="0.2">
      <c r="A2568" s="12" t="str">
        <f t="shared" si="40"/>
        <v/>
      </c>
    </row>
    <row r="2569" spans="1:1" x14ac:dyDescent="0.2">
      <c r="A2569" s="12" t="str">
        <f t="shared" si="40"/>
        <v/>
      </c>
    </row>
    <row r="2570" spans="1:1" x14ac:dyDescent="0.2">
      <c r="A2570" s="12" t="str">
        <f t="shared" si="40"/>
        <v/>
      </c>
    </row>
    <row r="2571" spans="1:1" x14ac:dyDescent="0.2">
      <c r="A2571" s="12" t="str">
        <f t="shared" si="40"/>
        <v/>
      </c>
    </row>
    <row r="2572" spans="1:1" x14ac:dyDescent="0.2">
      <c r="A2572" s="12" t="str">
        <f t="shared" si="40"/>
        <v/>
      </c>
    </row>
    <row r="2573" spans="1:1" x14ac:dyDescent="0.2">
      <c r="A2573" s="12" t="str">
        <f t="shared" si="40"/>
        <v/>
      </c>
    </row>
    <row r="2574" spans="1:1" x14ac:dyDescent="0.2">
      <c r="A2574" s="12" t="str">
        <f t="shared" si="40"/>
        <v/>
      </c>
    </row>
    <row r="2575" spans="1:1" x14ac:dyDescent="0.2">
      <c r="A2575" s="12" t="str">
        <f t="shared" si="40"/>
        <v/>
      </c>
    </row>
    <row r="2576" spans="1:1" x14ac:dyDescent="0.2">
      <c r="A2576" s="12" t="str">
        <f t="shared" si="40"/>
        <v/>
      </c>
    </row>
    <row r="2577" spans="1:1" x14ac:dyDescent="0.2">
      <c r="A2577" s="12" t="str">
        <f t="shared" si="40"/>
        <v/>
      </c>
    </row>
    <row r="2578" spans="1:1" x14ac:dyDescent="0.2">
      <c r="A2578" s="12" t="str">
        <f t="shared" si="40"/>
        <v/>
      </c>
    </row>
    <row r="2579" spans="1:1" x14ac:dyDescent="0.2">
      <c r="A2579" s="12" t="str">
        <f t="shared" si="40"/>
        <v/>
      </c>
    </row>
    <row r="2580" spans="1:1" x14ac:dyDescent="0.2">
      <c r="A2580" s="12" t="str">
        <f t="shared" si="40"/>
        <v/>
      </c>
    </row>
    <row r="2581" spans="1:1" x14ac:dyDescent="0.2">
      <c r="A2581" s="12" t="str">
        <f t="shared" si="40"/>
        <v/>
      </c>
    </row>
    <row r="2582" spans="1:1" x14ac:dyDescent="0.2">
      <c r="A2582" s="12" t="str">
        <f t="shared" si="40"/>
        <v/>
      </c>
    </row>
    <row r="2583" spans="1:1" x14ac:dyDescent="0.2">
      <c r="A2583" s="12" t="str">
        <f t="shared" si="40"/>
        <v/>
      </c>
    </row>
    <row r="2584" spans="1:1" x14ac:dyDescent="0.2">
      <c r="A2584" s="12" t="str">
        <f t="shared" si="40"/>
        <v/>
      </c>
    </row>
    <row r="2585" spans="1:1" x14ac:dyDescent="0.2">
      <c r="A2585" s="12" t="str">
        <f t="shared" si="40"/>
        <v/>
      </c>
    </row>
    <row r="2586" spans="1:1" x14ac:dyDescent="0.2">
      <c r="A2586" s="12" t="str">
        <f t="shared" si="40"/>
        <v/>
      </c>
    </row>
    <row r="2587" spans="1:1" x14ac:dyDescent="0.2">
      <c r="A2587" s="12" t="str">
        <f t="shared" si="40"/>
        <v/>
      </c>
    </row>
    <row r="2588" spans="1:1" x14ac:dyDescent="0.2">
      <c r="A2588" s="12" t="str">
        <f t="shared" si="40"/>
        <v/>
      </c>
    </row>
    <row r="2589" spans="1:1" x14ac:dyDescent="0.2">
      <c r="A2589" s="12" t="str">
        <f t="shared" si="40"/>
        <v/>
      </c>
    </row>
    <row r="2590" spans="1:1" x14ac:dyDescent="0.2">
      <c r="A2590" s="12" t="str">
        <f t="shared" si="40"/>
        <v/>
      </c>
    </row>
    <row r="2591" spans="1:1" x14ac:dyDescent="0.2">
      <c r="A2591" s="12" t="str">
        <f t="shared" si="40"/>
        <v/>
      </c>
    </row>
    <row r="2592" spans="1:1" x14ac:dyDescent="0.2">
      <c r="A2592" s="12" t="str">
        <f t="shared" si="40"/>
        <v/>
      </c>
    </row>
    <row r="2593" spans="1:1" x14ac:dyDescent="0.2">
      <c r="A2593" s="12" t="str">
        <f t="shared" si="40"/>
        <v/>
      </c>
    </row>
    <row r="2594" spans="1:1" x14ac:dyDescent="0.2">
      <c r="A2594" s="12" t="str">
        <f t="shared" si="40"/>
        <v/>
      </c>
    </row>
    <row r="2595" spans="1:1" x14ac:dyDescent="0.2">
      <c r="A2595" s="12" t="str">
        <f t="shared" si="40"/>
        <v/>
      </c>
    </row>
    <row r="2596" spans="1:1" x14ac:dyDescent="0.2">
      <c r="A2596" s="12" t="str">
        <f t="shared" si="40"/>
        <v/>
      </c>
    </row>
    <row r="2597" spans="1:1" x14ac:dyDescent="0.2">
      <c r="A2597" s="12" t="str">
        <f t="shared" si="40"/>
        <v/>
      </c>
    </row>
    <row r="2598" spans="1:1" x14ac:dyDescent="0.2">
      <c r="A2598" s="12" t="str">
        <f t="shared" si="40"/>
        <v/>
      </c>
    </row>
    <row r="2599" spans="1:1" x14ac:dyDescent="0.2">
      <c r="A2599" s="12" t="str">
        <f t="shared" si="40"/>
        <v/>
      </c>
    </row>
    <row r="2600" spans="1:1" x14ac:dyDescent="0.2">
      <c r="A2600" s="12" t="str">
        <f t="shared" si="40"/>
        <v/>
      </c>
    </row>
    <row r="2601" spans="1:1" x14ac:dyDescent="0.2">
      <c r="A2601" s="12" t="str">
        <f t="shared" si="40"/>
        <v/>
      </c>
    </row>
    <row r="2602" spans="1:1" x14ac:dyDescent="0.2">
      <c r="A2602" s="12" t="str">
        <f t="shared" si="40"/>
        <v/>
      </c>
    </row>
    <row r="2603" spans="1:1" x14ac:dyDescent="0.2">
      <c r="A2603" s="12" t="str">
        <f t="shared" si="40"/>
        <v/>
      </c>
    </row>
    <row r="2604" spans="1:1" x14ac:dyDescent="0.2">
      <c r="A2604" s="12" t="str">
        <f t="shared" si="40"/>
        <v/>
      </c>
    </row>
    <row r="2605" spans="1:1" x14ac:dyDescent="0.2">
      <c r="A2605" s="12" t="str">
        <f t="shared" si="40"/>
        <v/>
      </c>
    </row>
    <row r="2606" spans="1:1" x14ac:dyDescent="0.2">
      <c r="A2606" s="12" t="str">
        <f t="shared" si="40"/>
        <v/>
      </c>
    </row>
    <row r="2607" spans="1:1" x14ac:dyDescent="0.2">
      <c r="A2607" s="12" t="str">
        <f t="shared" si="40"/>
        <v/>
      </c>
    </row>
    <row r="2608" spans="1:1" x14ac:dyDescent="0.2">
      <c r="A2608" s="12" t="str">
        <f t="shared" si="40"/>
        <v/>
      </c>
    </row>
    <row r="2609" spans="1:1" x14ac:dyDescent="0.2">
      <c r="A2609" s="12" t="str">
        <f t="shared" si="40"/>
        <v/>
      </c>
    </row>
    <row r="2610" spans="1:1" x14ac:dyDescent="0.2">
      <c r="A2610" s="12" t="str">
        <f t="shared" si="40"/>
        <v/>
      </c>
    </row>
    <row r="2611" spans="1:1" x14ac:dyDescent="0.2">
      <c r="A2611" s="12" t="str">
        <f t="shared" si="40"/>
        <v/>
      </c>
    </row>
    <row r="2612" spans="1:1" x14ac:dyDescent="0.2">
      <c r="A2612" s="12" t="str">
        <f t="shared" si="40"/>
        <v/>
      </c>
    </row>
    <row r="2613" spans="1:1" x14ac:dyDescent="0.2">
      <c r="A2613" s="12" t="str">
        <f t="shared" si="40"/>
        <v/>
      </c>
    </row>
    <row r="2614" spans="1:1" x14ac:dyDescent="0.2">
      <c r="A2614" s="12" t="str">
        <f t="shared" si="40"/>
        <v/>
      </c>
    </row>
    <row r="2615" spans="1:1" x14ac:dyDescent="0.2">
      <c r="A2615" s="12" t="str">
        <f t="shared" si="40"/>
        <v/>
      </c>
    </row>
    <row r="2616" spans="1:1" x14ac:dyDescent="0.2">
      <c r="A2616" s="12" t="str">
        <f t="shared" si="40"/>
        <v/>
      </c>
    </row>
    <row r="2617" spans="1:1" x14ac:dyDescent="0.2">
      <c r="A2617" s="12" t="str">
        <f t="shared" si="40"/>
        <v/>
      </c>
    </row>
    <row r="2618" spans="1:1" x14ac:dyDescent="0.2">
      <c r="A2618" s="12" t="str">
        <f t="shared" si="40"/>
        <v/>
      </c>
    </row>
    <row r="2619" spans="1:1" x14ac:dyDescent="0.2">
      <c r="A2619" s="12" t="str">
        <f t="shared" si="40"/>
        <v/>
      </c>
    </row>
    <row r="2620" spans="1:1" x14ac:dyDescent="0.2">
      <c r="A2620" s="12" t="str">
        <f t="shared" si="40"/>
        <v/>
      </c>
    </row>
    <row r="2621" spans="1:1" x14ac:dyDescent="0.2">
      <c r="A2621" s="12" t="str">
        <f t="shared" si="40"/>
        <v/>
      </c>
    </row>
    <row r="2622" spans="1:1" x14ac:dyDescent="0.2">
      <c r="A2622" s="12" t="str">
        <f t="shared" si="40"/>
        <v/>
      </c>
    </row>
    <row r="2623" spans="1:1" x14ac:dyDescent="0.2">
      <c r="A2623" s="12" t="str">
        <f t="shared" si="40"/>
        <v/>
      </c>
    </row>
    <row r="2624" spans="1:1" x14ac:dyDescent="0.2">
      <c r="A2624" s="12" t="str">
        <f t="shared" si="40"/>
        <v/>
      </c>
    </row>
    <row r="2625" spans="1:1" x14ac:dyDescent="0.2">
      <c r="A2625" s="12" t="str">
        <f t="shared" si="40"/>
        <v/>
      </c>
    </row>
    <row r="2626" spans="1:1" x14ac:dyDescent="0.2">
      <c r="A2626" s="12" t="str">
        <f t="shared" ref="A2626:A2689" si="41">IF(INDEX($AJ:$AJ,ROW())="","",HYPERLINK(INDEX($AJ:$AJ,ROW()),"Open"))</f>
        <v/>
      </c>
    </row>
    <row r="2627" spans="1:1" x14ac:dyDescent="0.2">
      <c r="A2627" s="12" t="str">
        <f t="shared" si="41"/>
        <v/>
      </c>
    </row>
    <row r="2628" spans="1:1" x14ac:dyDescent="0.2">
      <c r="A2628" s="12" t="str">
        <f t="shared" si="41"/>
        <v/>
      </c>
    </row>
    <row r="2629" spans="1:1" x14ac:dyDescent="0.2">
      <c r="A2629" s="12" t="str">
        <f t="shared" si="41"/>
        <v/>
      </c>
    </row>
    <row r="2630" spans="1:1" x14ac:dyDescent="0.2">
      <c r="A2630" s="12" t="str">
        <f t="shared" si="41"/>
        <v/>
      </c>
    </row>
    <row r="2631" spans="1:1" x14ac:dyDescent="0.2">
      <c r="A2631" s="12" t="str">
        <f t="shared" si="41"/>
        <v/>
      </c>
    </row>
    <row r="2632" spans="1:1" x14ac:dyDescent="0.2">
      <c r="A2632" s="12" t="str">
        <f t="shared" si="41"/>
        <v/>
      </c>
    </row>
    <row r="2633" spans="1:1" x14ac:dyDescent="0.2">
      <c r="A2633" s="12" t="str">
        <f t="shared" si="41"/>
        <v/>
      </c>
    </row>
    <row r="2634" spans="1:1" x14ac:dyDescent="0.2">
      <c r="A2634" s="12" t="str">
        <f t="shared" si="41"/>
        <v/>
      </c>
    </row>
    <row r="2635" spans="1:1" x14ac:dyDescent="0.2">
      <c r="A2635" s="12" t="str">
        <f t="shared" si="41"/>
        <v/>
      </c>
    </row>
    <row r="2636" spans="1:1" x14ac:dyDescent="0.2">
      <c r="A2636" s="12" t="str">
        <f t="shared" si="41"/>
        <v/>
      </c>
    </row>
    <row r="2637" spans="1:1" x14ac:dyDescent="0.2">
      <c r="A2637" s="12" t="str">
        <f t="shared" si="41"/>
        <v/>
      </c>
    </row>
    <row r="2638" spans="1:1" x14ac:dyDescent="0.2">
      <c r="A2638" s="12" t="str">
        <f t="shared" si="41"/>
        <v/>
      </c>
    </row>
    <row r="2639" spans="1:1" x14ac:dyDescent="0.2">
      <c r="A2639" s="12" t="str">
        <f t="shared" si="41"/>
        <v/>
      </c>
    </row>
    <row r="2640" spans="1:1" x14ac:dyDescent="0.2">
      <c r="A2640" s="12" t="str">
        <f t="shared" si="41"/>
        <v/>
      </c>
    </row>
    <row r="2641" spans="1:1" x14ac:dyDescent="0.2">
      <c r="A2641" s="12" t="str">
        <f t="shared" si="41"/>
        <v/>
      </c>
    </row>
    <row r="2642" spans="1:1" x14ac:dyDescent="0.2">
      <c r="A2642" s="12" t="str">
        <f t="shared" si="41"/>
        <v/>
      </c>
    </row>
    <row r="2643" spans="1:1" x14ac:dyDescent="0.2">
      <c r="A2643" s="12" t="str">
        <f t="shared" si="41"/>
        <v/>
      </c>
    </row>
    <row r="2644" spans="1:1" x14ac:dyDescent="0.2">
      <c r="A2644" s="12" t="str">
        <f t="shared" si="41"/>
        <v/>
      </c>
    </row>
    <row r="2645" spans="1:1" x14ac:dyDescent="0.2">
      <c r="A2645" s="12" t="str">
        <f t="shared" si="41"/>
        <v/>
      </c>
    </row>
    <row r="2646" spans="1:1" x14ac:dyDescent="0.2">
      <c r="A2646" s="12" t="str">
        <f t="shared" si="41"/>
        <v/>
      </c>
    </row>
    <row r="2647" spans="1:1" x14ac:dyDescent="0.2">
      <c r="A2647" s="12" t="str">
        <f t="shared" si="41"/>
        <v/>
      </c>
    </row>
    <row r="2648" spans="1:1" x14ac:dyDescent="0.2">
      <c r="A2648" s="12" t="str">
        <f t="shared" si="41"/>
        <v/>
      </c>
    </row>
    <row r="2649" spans="1:1" x14ac:dyDescent="0.2">
      <c r="A2649" s="12" t="str">
        <f t="shared" si="41"/>
        <v/>
      </c>
    </row>
    <row r="2650" spans="1:1" x14ac:dyDescent="0.2">
      <c r="A2650" s="12" t="str">
        <f t="shared" si="41"/>
        <v/>
      </c>
    </row>
    <row r="2651" spans="1:1" x14ac:dyDescent="0.2">
      <c r="A2651" s="12" t="str">
        <f t="shared" si="41"/>
        <v/>
      </c>
    </row>
    <row r="2652" spans="1:1" x14ac:dyDescent="0.2">
      <c r="A2652" s="12" t="str">
        <f t="shared" si="41"/>
        <v/>
      </c>
    </row>
    <row r="2653" spans="1:1" x14ac:dyDescent="0.2">
      <c r="A2653" s="12" t="str">
        <f t="shared" si="41"/>
        <v/>
      </c>
    </row>
    <row r="2654" spans="1:1" x14ac:dyDescent="0.2">
      <c r="A2654" s="12" t="str">
        <f t="shared" si="41"/>
        <v/>
      </c>
    </row>
    <row r="2655" spans="1:1" x14ac:dyDescent="0.2">
      <c r="A2655" s="12" t="str">
        <f t="shared" si="41"/>
        <v/>
      </c>
    </row>
    <row r="2656" spans="1:1" x14ac:dyDescent="0.2">
      <c r="A2656" s="12" t="str">
        <f t="shared" si="41"/>
        <v/>
      </c>
    </row>
    <row r="2657" spans="1:1" x14ac:dyDescent="0.2">
      <c r="A2657" s="12" t="str">
        <f t="shared" si="41"/>
        <v/>
      </c>
    </row>
    <row r="2658" spans="1:1" x14ac:dyDescent="0.2">
      <c r="A2658" s="12" t="str">
        <f t="shared" si="41"/>
        <v/>
      </c>
    </row>
    <row r="2659" spans="1:1" x14ac:dyDescent="0.2">
      <c r="A2659" s="12" t="str">
        <f t="shared" si="41"/>
        <v/>
      </c>
    </row>
    <row r="2660" spans="1:1" x14ac:dyDescent="0.2">
      <c r="A2660" s="12" t="str">
        <f t="shared" si="41"/>
        <v/>
      </c>
    </row>
    <row r="2661" spans="1:1" x14ac:dyDescent="0.2">
      <c r="A2661" s="12" t="str">
        <f t="shared" si="41"/>
        <v/>
      </c>
    </row>
    <row r="2662" spans="1:1" x14ac:dyDescent="0.2">
      <c r="A2662" s="12" t="str">
        <f t="shared" si="41"/>
        <v/>
      </c>
    </row>
    <row r="2663" spans="1:1" x14ac:dyDescent="0.2">
      <c r="A2663" s="12" t="str">
        <f t="shared" si="41"/>
        <v/>
      </c>
    </row>
    <row r="2664" spans="1:1" x14ac:dyDescent="0.2">
      <c r="A2664" s="12" t="str">
        <f t="shared" si="41"/>
        <v/>
      </c>
    </row>
    <row r="2665" spans="1:1" x14ac:dyDescent="0.2">
      <c r="A2665" s="12" t="str">
        <f t="shared" si="41"/>
        <v/>
      </c>
    </row>
    <row r="2666" spans="1:1" x14ac:dyDescent="0.2">
      <c r="A2666" s="12" t="str">
        <f t="shared" si="41"/>
        <v/>
      </c>
    </row>
    <row r="2667" spans="1:1" x14ac:dyDescent="0.2">
      <c r="A2667" s="12" t="str">
        <f t="shared" si="41"/>
        <v/>
      </c>
    </row>
    <row r="2668" spans="1:1" x14ac:dyDescent="0.2">
      <c r="A2668" s="12" t="str">
        <f t="shared" si="41"/>
        <v/>
      </c>
    </row>
    <row r="2669" spans="1:1" x14ac:dyDescent="0.2">
      <c r="A2669" s="12" t="str">
        <f t="shared" si="41"/>
        <v/>
      </c>
    </row>
    <row r="2670" spans="1:1" x14ac:dyDescent="0.2">
      <c r="A2670" s="12" t="str">
        <f t="shared" si="41"/>
        <v/>
      </c>
    </row>
    <row r="2671" spans="1:1" x14ac:dyDescent="0.2">
      <c r="A2671" s="12" t="str">
        <f t="shared" si="41"/>
        <v/>
      </c>
    </row>
    <row r="2672" spans="1:1" x14ac:dyDescent="0.2">
      <c r="A2672" s="12" t="str">
        <f t="shared" si="41"/>
        <v/>
      </c>
    </row>
    <row r="2673" spans="1:1" x14ac:dyDescent="0.2">
      <c r="A2673" s="12" t="str">
        <f t="shared" si="41"/>
        <v/>
      </c>
    </row>
    <row r="2674" spans="1:1" x14ac:dyDescent="0.2">
      <c r="A2674" s="12" t="str">
        <f t="shared" si="41"/>
        <v/>
      </c>
    </row>
    <row r="2675" spans="1:1" x14ac:dyDescent="0.2">
      <c r="A2675" s="12" t="str">
        <f t="shared" si="41"/>
        <v/>
      </c>
    </row>
    <row r="2676" spans="1:1" x14ac:dyDescent="0.2">
      <c r="A2676" s="12" t="str">
        <f t="shared" si="41"/>
        <v/>
      </c>
    </row>
    <row r="2677" spans="1:1" x14ac:dyDescent="0.2">
      <c r="A2677" s="12" t="str">
        <f t="shared" si="41"/>
        <v/>
      </c>
    </row>
    <row r="2678" spans="1:1" x14ac:dyDescent="0.2">
      <c r="A2678" s="12" t="str">
        <f t="shared" si="41"/>
        <v/>
      </c>
    </row>
    <row r="2679" spans="1:1" x14ac:dyDescent="0.2">
      <c r="A2679" s="12" t="str">
        <f t="shared" si="41"/>
        <v/>
      </c>
    </row>
    <row r="2680" spans="1:1" x14ac:dyDescent="0.2">
      <c r="A2680" s="12" t="str">
        <f t="shared" si="41"/>
        <v/>
      </c>
    </row>
    <row r="2681" spans="1:1" x14ac:dyDescent="0.2">
      <c r="A2681" s="12" t="str">
        <f t="shared" si="41"/>
        <v/>
      </c>
    </row>
    <row r="2682" spans="1:1" x14ac:dyDescent="0.2">
      <c r="A2682" s="12" t="str">
        <f t="shared" si="41"/>
        <v/>
      </c>
    </row>
    <row r="2683" spans="1:1" x14ac:dyDescent="0.2">
      <c r="A2683" s="12" t="str">
        <f t="shared" si="41"/>
        <v/>
      </c>
    </row>
    <row r="2684" spans="1:1" x14ac:dyDescent="0.2">
      <c r="A2684" s="12" t="str">
        <f t="shared" si="41"/>
        <v/>
      </c>
    </row>
    <row r="2685" spans="1:1" x14ac:dyDescent="0.2">
      <c r="A2685" s="12" t="str">
        <f t="shared" si="41"/>
        <v/>
      </c>
    </row>
    <row r="2686" spans="1:1" x14ac:dyDescent="0.2">
      <c r="A2686" s="12" t="str">
        <f t="shared" si="41"/>
        <v/>
      </c>
    </row>
    <row r="2687" spans="1:1" x14ac:dyDescent="0.2">
      <c r="A2687" s="12" t="str">
        <f t="shared" si="41"/>
        <v/>
      </c>
    </row>
    <row r="2688" spans="1:1" x14ac:dyDescent="0.2">
      <c r="A2688" s="12" t="str">
        <f t="shared" si="41"/>
        <v/>
      </c>
    </row>
    <row r="2689" spans="1:1" x14ac:dyDescent="0.2">
      <c r="A2689" s="12" t="str">
        <f t="shared" si="41"/>
        <v/>
      </c>
    </row>
    <row r="2690" spans="1:1" x14ac:dyDescent="0.2">
      <c r="A2690" s="12" t="str">
        <f t="shared" ref="A2690:A2753" si="42">IF(INDEX($AJ:$AJ,ROW())="","",HYPERLINK(INDEX($AJ:$AJ,ROW()),"Open"))</f>
        <v/>
      </c>
    </row>
    <row r="2691" spans="1:1" x14ac:dyDescent="0.2">
      <c r="A2691" s="12" t="str">
        <f t="shared" si="42"/>
        <v/>
      </c>
    </row>
    <row r="2692" spans="1:1" x14ac:dyDescent="0.2">
      <c r="A2692" s="12" t="str">
        <f t="shared" si="42"/>
        <v/>
      </c>
    </row>
    <row r="2693" spans="1:1" x14ac:dyDescent="0.2">
      <c r="A2693" s="12" t="str">
        <f t="shared" si="42"/>
        <v/>
      </c>
    </row>
    <row r="2694" spans="1:1" x14ac:dyDescent="0.2">
      <c r="A2694" s="12" t="str">
        <f t="shared" si="42"/>
        <v/>
      </c>
    </row>
    <row r="2695" spans="1:1" x14ac:dyDescent="0.2">
      <c r="A2695" s="12" t="str">
        <f t="shared" si="42"/>
        <v/>
      </c>
    </row>
    <row r="2696" spans="1:1" x14ac:dyDescent="0.2">
      <c r="A2696" s="12" t="str">
        <f t="shared" si="42"/>
        <v/>
      </c>
    </row>
    <row r="2697" spans="1:1" x14ac:dyDescent="0.2">
      <c r="A2697" s="12" t="str">
        <f t="shared" si="42"/>
        <v/>
      </c>
    </row>
    <row r="2698" spans="1:1" x14ac:dyDescent="0.2">
      <c r="A2698" s="12" t="str">
        <f t="shared" si="42"/>
        <v/>
      </c>
    </row>
    <row r="2699" spans="1:1" x14ac:dyDescent="0.2">
      <c r="A2699" s="12" t="str">
        <f t="shared" si="42"/>
        <v/>
      </c>
    </row>
    <row r="2700" spans="1:1" x14ac:dyDescent="0.2">
      <c r="A2700" s="12" t="str">
        <f t="shared" si="42"/>
        <v/>
      </c>
    </row>
    <row r="2701" spans="1:1" x14ac:dyDescent="0.2">
      <c r="A2701" s="12" t="str">
        <f t="shared" si="42"/>
        <v/>
      </c>
    </row>
    <row r="2702" spans="1:1" x14ac:dyDescent="0.2">
      <c r="A2702" s="12" t="str">
        <f t="shared" si="42"/>
        <v/>
      </c>
    </row>
    <row r="2703" spans="1:1" x14ac:dyDescent="0.2">
      <c r="A2703" s="12" t="str">
        <f t="shared" si="42"/>
        <v/>
      </c>
    </row>
    <row r="2704" spans="1:1" x14ac:dyDescent="0.2">
      <c r="A2704" s="12" t="str">
        <f t="shared" si="42"/>
        <v/>
      </c>
    </row>
    <row r="2705" spans="1:1" x14ac:dyDescent="0.2">
      <c r="A2705" s="12" t="str">
        <f t="shared" si="42"/>
        <v/>
      </c>
    </row>
    <row r="2706" spans="1:1" x14ac:dyDescent="0.2">
      <c r="A2706" s="12" t="str">
        <f t="shared" si="42"/>
        <v/>
      </c>
    </row>
    <row r="2707" spans="1:1" x14ac:dyDescent="0.2">
      <c r="A2707" s="12" t="str">
        <f t="shared" si="42"/>
        <v/>
      </c>
    </row>
    <row r="2708" spans="1:1" x14ac:dyDescent="0.2">
      <c r="A2708" s="12" t="str">
        <f t="shared" si="42"/>
        <v/>
      </c>
    </row>
    <row r="2709" spans="1:1" x14ac:dyDescent="0.2">
      <c r="A2709" s="12" t="str">
        <f t="shared" si="42"/>
        <v/>
      </c>
    </row>
    <row r="2710" spans="1:1" x14ac:dyDescent="0.2">
      <c r="A2710" s="12" t="str">
        <f t="shared" si="42"/>
        <v/>
      </c>
    </row>
    <row r="2711" spans="1:1" x14ac:dyDescent="0.2">
      <c r="A2711" s="12" t="str">
        <f t="shared" si="42"/>
        <v/>
      </c>
    </row>
    <row r="2712" spans="1:1" x14ac:dyDescent="0.2">
      <c r="A2712" s="12" t="str">
        <f t="shared" si="42"/>
        <v/>
      </c>
    </row>
    <row r="2713" spans="1:1" x14ac:dyDescent="0.2">
      <c r="A2713" s="12" t="str">
        <f t="shared" si="42"/>
        <v/>
      </c>
    </row>
    <row r="2714" spans="1:1" x14ac:dyDescent="0.2">
      <c r="A2714" s="12" t="str">
        <f t="shared" si="42"/>
        <v/>
      </c>
    </row>
    <row r="2715" spans="1:1" x14ac:dyDescent="0.2">
      <c r="A2715" s="12" t="str">
        <f t="shared" si="42"/>
        <v/>
      </c>
    </row>
    <row r="2716" spans="1:1" x14ac:dyDescent="0.2">
      <c r="A2716" s="12" t="str">
        <f t="shared" si="42"/>
        <v/>
      </c>
    </row>
    <row r="2717" spans="1:1" x14ac:dyDescent="0.2">
      <c r="A2717" s="12" t="str">
        <f t="shared" si="42"/>
        <v/>
      </c>
    </row>
    <row r="2718" spans="1:1" x14ac:dyDescent="0.2">
      <c r="A2718" s="12" t="str">
        <f t="shared" si="42"/>
        <v/>
      </c>
    </row>
    <row r="2719" spans="1:1" x14ac:dyDescent="0.2">
      <c r="A2719" s="12" t="str">
        <f t="shared" si="42"/>
        <v/>
      </c>
    </row>
    <row r="2720" spans="1:1" x14ac:dyDescent="0.2">
      <c r="A2720" s="12" t="str">
        <f t="shared" si="42"/>
        <v/>
      </c>
    </row>
    <row r="2721" spans="1:1" x14ac:dyDescent="0.2">
      <c r="A2721" s="12" t="str">
        <f t="shared" si="42"/>
        <v/>
      </c>
    </row>
    <row r="2722" spans="1:1" x14ac:dyDescent="0.2">
      <c r="A2722" s="12" t="str">
        <f t="shared" si="42"/>
        <v/>
      </c>
    </row>
    <row r="2723" spans="1:1" x14ac:dyDescent="0.2">
      <c r="A2723" s="12" t="str">
        <f t="shared" si="42"/>
        <v/>
      </c>
    </row>
    <row r="2724" spans="1:1" x14ac:dyDescent="0.2">
      <c r="A2724" s="12" t="str">
        <f t="shared" si="42"/>
        <v/>
      </c>
    </row>
    <row r="2725" spans="1:1" x14ac:dyDescent="0.2">
      <c r="A2725" s="12" t="str">
        <f t="shared" si="42"/>
        <v/>
      </c>
    </row>
    <row r="2726" spans="1:1" x14ac:dyDescent="0.2">
      <c r="A2726" s="12" t="str">
        <f t="shared" si="42"/>
        <v/>
      </c>
    </row>
    <row r="2727" spans="1:1" x14ac:dyDescent="0.2">
      <c r="A2727" s="12" t="str">
        <f t="shared" si="42"/>
        <v/>
      </c>
    </row>
    <row r="2728" spans="1:1" x14ac:dyDescent="0.2">
      <c r="A2728" s="12" t="str">
        <f t="shared" si="42"/>
        <v/>
      </c>
    </row>
    <row r="2729" spans="1:1" x14ac:dyDescent="0.2">
      <c r="A2729" s="12" t="str">
        <f t="shared" si="42"/>
        <v/>
      </c>
    </row>
    <row r="2730" spans="1:1" x14ac:dyDescent="0.2">
      <c r="A2730" s="12" t="str">
        <f t="shared" si="42"/>
        <v/>
      </c>
    </row>
    <row r="2731" spans="1:1" x14ac:dyDescent="0.2">
      <c r="A2731" s="12" t="str">
        <f t="shared" si="42"/>
        <v/>
      </c>
    </row>
    <row r="2732" spans="1:1" x14ac:dyDescent="0.2">
      <c r="A2732" s="12" t="str">
        <f t="shared" si="42"/>
        <v/>
      </c>
    </row>
    <row r="2733" spans="1:1" x14ac:dyDescent="0.2">
      <c r="A2733" s="12" t="str">
        <f t="shared" si="42"/>
        <v/>
      </c>
    </row>
    <row r="2734" spans="1:1" x14ac:dyDescent="0.2">
      <c r="A2734" s="12" t="str">
        <f t="shared" si="42"/>
        <v/>
      </c>
    </row>
    <row r="2735" spans="1:1" x14ac:dyDescent="0.2">
      <c r="A2735" s="12" t="str">
        <f t="shared" si="42"/>
        <v/>
      </c>
    </row>
    <row r="2736" spans="1:1" x14ac:dyDescent="0.2">
      <c r="A2736" s="12" t="str">
        <f t="shared" si="42"/>
        <v/>
      </c>
    </row>
    <row r="2737" spans="1:1" x14ac:dyDescent="0.2">
      <c r="A2737" s="12" t="str">
        <f t="shared" si="42"/>
        <v/>
      </c>
    </row>
    <row r="2738" spans="1:1" x14ac:dyDescent="0.2">
      <c r="A2738" s="12" t="str">
        <f t="shared" si="42"/>
        <v/>
      </c>
    </row>
    <row r="2739" spans="1:1" x14ac:dyDescent="0.2">
      <c r="A2739" s="12" t="str">
        <f t="shared" si="42"/>
        <v/>
      </c>
    </row>
    <row r="2740" spans="1:1" x14ac:dyDescent="0.2">
      <c r="A2740" s="12" t="str">
        <f t="shared" si="42"/>
        <v/>
      </c>
    </row>
    <row r="2741" spans="1:1" x14ac:dyDescent="0.2">
      <c r="A2741" s="12" t="str">
        <f t="shared" si="42"/>
        <v/>
      </c>
    </row>
    <row r="2742" spans="1:1" x14ac:dyDescent="0.2">
      <c r="A2742" s="12" t="str">
        <f t="shared" si="42"/>
        <v/>
      </c>
    </row>
    <row r="2743" spans="1:1" x14ac:dyDescent="0.2">
      <c r="A2743" s="12" t="str">
        <f t="shared" si="42"/>
        <v/>
      </c>
    </row>
    <row r="2744" spans="1:1" x14ac:dyDescent="0.2">
      <c r="A2744" s="12" t="str">
        <f t="shared" si="42"/>
        <v/>
      </c>
    </row>
    <row r="2745" spans="1:1" x14ac:dyDescent="0.2">
      <c r="A2745" s="12" t="str">
        <f t="shared" si="42"/>
        <v/>
      </c>
    </row>
    <row r="2746" spans="1:1" x14ac:dyDescent="0.2">
      <c r="A2746" s="12" t="str">
        <f t="shared" si="42"/>
        <v/>
      </c>
    </row>
    <row r="2747" spans="1:1" x14ac:dyDescent="0.2">
      <c r="A2747" s="12" t="str">
        <f t="shared" si="42"/>
        <v/>
      </c>
    </row>
    <row r="2748" spans="1:1" x14ac:dyDescent="0.2">
      <c r="A2748" s="12" t="str">
        <f t="shared" si="42"/>
        <v/>
      </c>
    </row>
    <row r="2749" spans="1:1" x14ac:dyDescent="0.2">
      <c r="A2749" s="12" t="str">
        <f t="shared" si="42"/>
        <v/>
      </c>
    </row>
    <row r="2750" spans="1:1" x14ac:dyDescent="0.2">
      <c r="A2750" s="12" t="str">
        <f t="shared" si="42"/>
        <v/>
      </c>
    </row>
    <row r="2751" spans="1:1" x14ac:dyDescent="0.2">
      <c r="A2751" s="12" t="str">
        <f t="shared" si="42"/>
        <v/>
      </c>
    </row>
    <row r="2752" spans="1:1" x14ac:dyDescent="0.2">
      <c r="A2752" s="12" t="str">
        <f t="shared" si="42"/>
        <v/>
      </c>
    </row>
    <row r="2753" spans="1:1" x14ac:dyDescent="0.2">
      <c r="A2753" s="12" t="str">
        <f t="shared" si="42"/>
        <v/>
      </c>
    </row>
    <row r="2754" spans="1:1" x14ac:dyDescent="0.2">
      <c r="A2754" s="12" t="str">
        <f t="shared" ref="A2754:A2817" si="43">IF(INDEX($AJ:$AJ,ROW())="","",HYPERLINK(INDEX($AJ:$AJ,ROW()),"Open"))</f>
        <v/>
      </c>
    </row>
    <row r="2755" spans="1:1" x14ac:dyDescent="0.2">
      <c r="A2755" s="12" t="str">
        <f t="shared" si="43"/>
        <v/>
      </c>
    </row>
    <row r="2756" spans="1:1" x14ac:dyDescent="0.2">
      <c r="A2756" s="12" t="str">
        <f t="shared" si="43"/>
        <v/>
      </c>
    </row>
    <row r="2757" spans="1:1" x14ac:dyDescent="0.2">
      <c r="A2757" s="12" t="str">
        <f t="shared" si="43"/>
        <v/>
      </c>
    </row>
    <row r="2758" spans="1:1" x14ac:dyDescent="0.2">
      <c r="A2758" s="12" t="str">
        <f t="shared" si="43"/>
        <v/>
      </c>
    </row>
    <row r="2759" spans="1:1" x14ac:dyDescent="0.2">
      <c r="A2759" s="12" t="str">
        <f t="shared" si="43"/>
        <v/>
      </c>
    </row>
    <row r="2760" spans="1:1" x14ac:dyDescent="0.2">
      <c r="A2760" s="12" t="str">
        <f t="shared" si="43"/>
        <v/>
      </c>
    </row>
    <row r="2761" spans="1:1" x14ac:dyDescent="0.2">
      <c r="A2761" s="12" t="str">
        <f t="shared" si="43"/>
        <v/>
      </c>
    </row>
    <row r="2762" spans="1:1" x14ac:dyDescent="0.2">
      <c r="A2762" s="12" t="str">
        <f t="shared" si="43"/>
        <v/>
      </c>
    </row>
    <row r="2763" spans="1:1" x14ac:dyDescent="0.2">
      <c r="A2763" s="12" t="str">
        <f t="shared" si="43"/>
        <v/>
      </c>
    </row>
    <row r="2764" spans="1:1" x14ac:dyDescent="0.2">
      <c r="A2764" s="12" t="str">
        <f t="shared" si="43"/>
        <v/>
      </c>
    </row>
    <row r="2765" spans="1:1" x14ac:dyDescent="0.2">
      <c r="A2765" s="12" t="str">
        <f t="shared" si="43"/>
        <v/>
      </c>
    </row>
    <row r="2766" spans="1:1" x14ac:dyDescent="0.2">
      <c r="A2766" s="12" t="str">
        <f t="shared" si="43"/>
        <v/>
      </c>
    </row>
    <row r="2767" spans="1:1" x14ac:dyDescent="0.2">
      <c r="A2767" s="12" t="str">
        <f t="shared" si="43"/>
        <v/>
      </c>
    </row>
    <row r="2768" spans="1:1" x14ac:dyDescent="0.2">
      <c r="A2768" s="12" t="str">
        <f t="shared" si="43"/>
        <v/>
      </c>
    </row>
    <row r="2769" spans="1:1" x14ac:dyDescent="0.2">
      <c r="A2769" s="12" t="str">
        <f t="shared" si="43"/>
        <v/>
      </c>
    </row>
    <row r="2770" spans="1:1" x14ac:dyDescent="0.2">
      <c r="A2770" s="12" t="str">
        <f t="shared" si="43"/>
        <v/>
      </c>
    </row>
    <row r="2771" spans="1:1" x14ac:dyDescent="0.2">
      <c r="A2771" s="12" t="str">
        <f t="shared" si="43"/>
        <v/>
      </c>
    </row>
    <row r="2772" spans="1:1" x14ac:dyDescent="0.2">
      <c r="A2772" s="12" t="str">
        <f t="shared" si="43"/>
        <v/>
      </c>
    </row>
    <row r="2773" spans="1:1" x14ac:dyDescent="0.2">
      <c r="A2773" s="12" t="str">
        <f t="shared" si="43"/>
        <v/>
      </c>
    </row>
    <row r="2774" spans="1:1" x14ac:dyDescent="0.2">
      <c r="A2774" s="12" t="str">
        <f t="shared" si="43"/>
        <v/>
      </c>
    </row>
    <row r="2775" spans="1:1" x14ac:dyDescent="0.2">
      <c r="A2775" s="12" t="str">
        <f t="shared" si="43"/>
        <v/>
      </c>
    </row>
    <row r="2776" spans="1:1" x14ac:dyDescent="0.2">
      <c r="A2776" s="12" t="str">
        <f t="shared" si="43"/>
        <v/>
      </c>
    </row>
    <row r="2777" spans="1:1" x14ac:dyDescent="0.2">
      <c r="A2777" s="12" t="str">
        <f t="shared" si="43"/>
        <v/>
      </c>
    </row>
    <row r="2778" spans="1:1" x14ac:dyDescent="0.2">
      <c r="A2778" s="12" t="str">
        <f t="shared" si="43"/>
        <v/>
      </c>
    </row>
    <row r="2779" spans="1:1" x14ac:dyDescent="0.2">
      <c r="A2779" s="12" t="str">
        <f t="shared" si="43"/>
        <v/>
      </c>
    </row>
    <row r="2780" spans="1:1" x14ac:dyDescent="0.2">
      <c r="A2780" s="12" t="str">
        <f t="shared" si="43"/>
        <v/>
      </c>
    </row>
    <row r="2781" spans="1:1" x14ac:dyDescent="0.2">
      <c r="A2781" s="12" t="str">
        <f t="shared" si="43"/>
        <v/>
      </c>
    </row>
    <row r="2782" spans="1:1" x14ac:dyDescent="0.2">
      <c r="A2782" s="12" t="str">
        <f t="shared" si="43"/>
        <v/>
      </c>
    </row>
    <row r="2783" spans="1:1" x14ac:dyDescent="0.2">
      <c r="A2783" s="12" t="str">
        <f t="shared" si="43"/>
        <v/>
      </c>
    </row>
    <row r="2784" spans="1:1" x14ac:dyDescent="0.2">
      <c r="A2784" s="12" t="str">
        <f t="shared" si="43"/>
        <v/>
      </c>
    </row>
    <row r="2785" spans="1:1" x14ac:dyDescent="0.2">
      <c r="A2785" s="12" t="str">
        <f t="shared" si="43"/>
        <v/>
      </c>
    </row>
    <row r="2786" spans="1:1" x14ac:dyDescent="0.2">
      <c r="A2786" s="12" t="str">
        <f t="shared" si="43"/>
        <v/>
      </c>
    </row>
    <row r="2787" spans="1:1" x14ac:dyDescent="0.2">
      <c r="A2787" s="12" t="str">
        <f t="shared" si="43"/>
        <v/>
      </c>
    </row>
    <row r="2788" spans="1:1" x14ac:dyDescent="0.2">
      <c r="A2788" s="12" t="str">
        <f t="shared" si="43"/>
        <v/>
      </c>
    </row>
    <row r="2789" spans="1:1" x14ac:dyDescent="0.2">
      <c r="A2789" s="12" t="str">
        <f t="shared" si="43"/>
        <v/>
      </c>
    </row>
    <row r="2790" spans="1:1" x14ac:dyDescent="0.2">
      <c r="A2790" s="12" t="str">
        <f t="shared" si="43"/>
        <v/>
      </c>
    </row>
    <row r="2791" spans="1:1" x14ac:dyDescent="0.2">
      <c r="A2791" s="12" t="str">
        <f t="shared" si="43"/>
        <v/>
      </c>
    </row>
    <row r="2792" spans="1:1" x14ac:dyDescent="0.2">
      <c r="A2792" s="12" t="str">
        <f t="shared" si="43"/>
        <v/>
      </c>
    </row>
    <row r="2793" spans="1:1" x14ac:dyDescent="0.2">
      <c r="A2793" s="12" t="str">
        <f t="shared" si="43"/>
        <v/>
      </c>
    </row>
    <row r="2794" spans="1:1" x14ac:dyDescent="0.2">
      <c r="A2794" s="12" t="str">
        <f t="shared" si="43"/>
        <v/>
      </c>
    </row>
    <row r="2795" spans="1:1" x14ac:dyDescent="0.2">
      <c r="A2795" s="12" t="str">
        <f t="shared" si="43"/>
        <v/>
      </c>
    </row>
    <row r="2796" spans="1:1" x14ac:dyDescent="0.2">
      <c r="A2796" s="12" t="str">
        <f t="shared" si="43"/>
        <v/>
      </c>
    </row>
    <row r="2797" spans="1:1" x14ac:dyDescent="0.2">
      <c r="A2797" s="12" t="str">
        <f t="shared" si="43"/>
        <v/>
      </c>
    </row>
    <row r="2798" spans="1:1" x14ac:dyDescent="0.2">
      <c r="A2798" s="12" t="str">
        <f t="shared" si="43"/>
        <v/>
      </c>
    </row>
    <row r="2799" spans="1:1" x14ac:dyDescent="0.2">
      <c r="A2799" s="12" t="str">
        <f t="shared" si="43"/>
        <v/>
      </c>
    </row>
    <row r="2800" spans="1:1" x14ac:dyDescent="0.2">
      <c r="A2800" s="12" t="str">
        <f t="shared" si="43"/>
        <v/>
      </c>
    </row>
    <row r="2801" spans="1:1" x14ac:dyDescent="0.2">
      <c r="A2801" s="12" t="str">
        <f t="shared" si="43"/>
        <v/>
      </c>
    </row>
    <row r="2802" spans="1:1" x14ac:dyDescent="0.2">
      <c r="A2802" s="12" t="str">
        <f t="shared" si="43"/>
        <v/>
      </c>
    </row>
    <row r="2803" spans="1:1" x14ac:dyDescent="0.2">
      <c r="A2803" s="12" t="str">
        <f t="shared" si="43"/>
        <v/>
      </c>
    </row>
    <row r="2804" spans="1:1" x14ac:dyDescent="0.2">
      <c r="A2804" s="12" t="str">
        <f t="shared" si="43"/>
        <v/>
      </c>
    </row>
    <row r="2805" spans="1:1" x14ac:dyDescent="0.2">
      <c r="A2805" s="12" t="str">
        <f t="shared" si="43"/>
        <v/>
      </c>
    </row>
    <row r="2806" spans="1:1" x14ac:dyDescent="0.2">
      <c r="A2806" s="12" t="str">
        <f t="shared" si="43"/>
        <v/>
      </c>
    </row>
    <row r="2807" spans="1:1" x14ac:dyDescent="0.2">
      <c r="A2807" s="12" t="str">
        <f t="shared" si="43"/>
        <v/>
      </c>
    </row>
    <row r="2808" spans="1:1" x14ac:dyDescent="0.2">
      <c r="A2808" s="12" t="str">
        <f t="shared" si="43"/>
        <v/>
      </c>
    </row>
    <row r="2809" spans="1:1" x14ac:dyDescent="0.2">
      <c r="A2809" s="12" t="str">
        <f t="shared" si="43"/>
        <v/>
      </c>
    </row>
    <row r="2810" spans="1:1" x14ac:dyDescent="0.2">
      <c r="A2810" s="12" t="str">
        <f t="shared" si="43"/>
        <v/>
      </c>
    </row>
    <row r="2811" spans="1:1" x14ac:dyDescent="0.2">
      <c r="A2811" s="12" t="str">
        <f t="shared" si="43"/>
        <v/>
      </c>
    </row>
    <row r="2812" spans="1:1" x14ac:dyDescent="0.2">
      <c r="A2812" s="12" t="str">
        <f t="shared" si="43"/>
        <v/>
      </c>
    </row>
    <row r="2813" spans="1:1" x14ac:dyDescent="0.2">
      <c r="A2813" s="12" t="str">
        <f t="shared" si="43"/>
        <v/>
      </c>
    </row>
    <row r="2814" spans="1:1" x14ac:dyDescent="0.2">
      <c r="A2814" s="12" t="str">
        <f t="shared" si="43"/>
        <v/>
      </c>
    </row>
    <row r="2815" spans="1:1" x14ac:dyDescent="0.2">
      <c r="A2815" s="12" t="str">
        <f t="shared" si="43"/>
        <v/>
      </c>
    </row>
    <row r="2816" spans="1:1" x14ac:dyDescent="0.2">
      <c r="A2816" s="12" t="str">
        <f t="shared" si="43"/>
        <v/>
      </c>
    </row>
    <row r="2817" spans="1:1" x14ac:dyDescent="0.2">
      <c r="A2817" s="12" t="str">
        <f t="shared" si="43"/>
        <v/>
      </c>
    </row>
    <row r="2818" spans="1:1" x14ac:dyDescent="0.2">
      <c r="A2818" s="12" t="str">
        <f t="shared" ref="A2818:A2881" si="44">IF(INDEX($AJ:$AJ,ROW())="","",HYPERLINK(INDEX($AJ:$AJ,ROW()),"Open"))</f>
        <v/>
      </c>
    </row>
    <row r="2819" spans="1:1" x14ac:dyDescent="0.2">
      <c r="A2819" s="12" t="str">
        <f t="shared" si="44"/>
        <v/>
      </c>
    </row>
    <row r="2820" spans="1:1" x14ac:dyDescent="0.2">
      <c r="A2820" s="12" t="str">
        <f t="shared" si="44"/>
        <v/>
      </c>
    </row>
    <row r="2821" spans="1:1" x14ac:dyDescent="0.2">
      <c r="A2821" s="12" t="str">
        <f t="shared" si="44"/>
        <v/>
      </c>
    </row>
    <row r="2822" spans="1:1" x14ac:dyDescent="0.2">
      <c r="A2822" s="12" t="str">
        <f t="shared" si="44"/>
        <v/>
      </c>
    </row>
    <row r="2823" spans="1:1" x14ac:dyDescent="0.2">
      <c r="A2823" s="12" t="str">
        <f t="shared" si="44"/>
        <v/>
      </c>
    </row>
    <row r="2824" spans="1:1" x14ac:dyDescent="0.2">
      <c r="A2824" s="12" t="str">
        <f t="shared" si="44"/>
        <v/>
      </c>
    </row>
    <row r="2825" spans="1:1" x14ac:dyDescent="0.2">
      <c r="A2825" s="12" t="str">
        <f t="shared" si="44"/>
        <v/>
      </c>
    </row>
    <row r="2826" spans="1:1" x14ac:dyDescent="0.2">
      <c r="A2826" s="12" t="str">
        <f t="shared" si="44"/>
        <v/>
      </c>
    </row>
    <row r="2827" spans="1:1" x14ac:dyDescent="0.2">
      <c r="A2827" s="12" t="str">
        <f t="shared" si="44"/>
        <v/>
      </c>
    </row>
    <row r="2828" spans="1:1" x14ac:dyDescent="0.2">
      <c r="A2828" s="12" t="str">
        <f t="shared" si="44"/>
        <v/>
      </c>
    </row>
    <row r="2829" spans="1:1" x14ac:dyDescent="0.2">
      <c r="A2829" s="12" t="str">
        <f t="shared" si="44"/>
        <v/>
      </c>
    </row>
    <row r="2830" spans="1:1" x14ac:dyDescent="0.2">
      <c r="A2830" s="12" t="str">
        <f t="shared" si="44"/>
        <v/>
      </c>
    </row>
    <row r="2831" spans="1:1" x14ac:dyDescent="0.2">
      <c r="A2831" s="12" t="str">
        <f t="shared" si="44"/>
        <v/>
      </c>
    </row>
    <row r="2832" spans="1:1" x14ac:dyDescent="0.2">
      <c r="A2832" s="12" t="str">
        <f t="shared" si="44"/>
        <v/>
      </c>
    </row>
    <row r="2833" spans="1:1" x14ac:dyDescent="0.2">
      <c r="A2833" s="12" t="str">
        <f t="shared" si="44"/>
        <v/>
      </c>
    </row>
    <row r="2834" spans="1:1" x14ac:dyDescent="0.2">
      <c r="A2834" s="12" t="str">
        <f t="shared" si="44"/>
        <v/>
      </c>
    </row>
    <row r="2835" spans="1:1" x14ac:dyDescent="0.2">
      <c r="A2835" s="12" t="str">
        <f t="shared" si="44"/>
        <v/>
      </c>
    </row>
    <row r="2836" spans="1:1" x14ac:dyDescent="0.2">
      <c r="A2836" s="12" t="str">
        <f t="shared" si="44"/>
        <v/>
      </c>
    </row>
    <row r="2837" spans="1:1" x14ac:dyDescent="0.2">
      <c r="A2837" s="12" t="str">
        <f t="shared" si="44"/>
        <v/>
      </c>
    </row>
    <row r="2838" spans="1:1" x14ac:dyDescent="0.2">
      <c r="A2838" s="12" t="str">
        <f t="shared" si="44"/>
        <v/>
      </c>
    </row>
    <row r="2839" spans="1:1" x14ac:dyDescent="0.2">
      <c r="A2839" s="12" t="str">
        <f t="shared" si="44"/>
        <v/>
      </c>
    </row>
    <row r="2840" spans="1:1" x14ac:dyDescent="0.2">
      <c r="A2840" s="12" t="str">
        <f t="shared" si="44"/>
        <v/>
      </c>
    </row>
    <row r="2841" spans="1:1" x14ac:dyDescent="0.2">
      <c r="A2841" s="12" t="str">
        <f t="shared" si="44"/>
        <v/>
      </c>
    </row>
    <row r="2842" spans="1:1" x14ac:dyDescent="0.2">
      <c r="A2842" s="12" t="str">
        <f t="shared" si="44"/>
        <v/>
      </c>
    </row>
    <row r="2843" spans="1:1" x14ac:dyDescent="0.2">
      <c r="A2843" s="12" t="str">
        <f t="shared" si="44"/>
        <v/>
      </c>
    </row>
    <row r="2844" spans="1:1" x14ac:dyDescent="0.2">
      <c r="A2844" s="12" t="str">
        <f t="shared" si="44"/>
        <v/>
      </c>
    </row>
    <row r="2845" spans="1:1" x14ac:dyDescent="0.2">
      <c r="A2845" s="12" t="str">
        <f t="shared" si="44"/>
        <v/>
      </c>
    </row>
    <row r="2846" spans="1:1" x14ac:dyDescent="0.2">
      <c r="A2846" s="12" t="str">
        <f t="shared" si="44"/>
        <v/>
      </c>
    </row>
    <row r="2847" spans="1:1" x14ac:dyDescent="0.2">
      <c r="A2847" s="12" t="str">
        <f t="shared" si="44"/>
        <v/>
      </c>
    </row>
    <row r="2848" spans="1:1" x14ac:dyDescent="0.2">
      <c r="A2848" s="12" t="str">
        <f t="shared" si="44"/>
        <v/>
      </c>
    </row>
    <row r="2849" spans="1:1" x14ac:dyDescent="0.2">
      <c r="A2849" s="12" t="str">
        <f t="shared" si="44"/>
        <v/>
      </c>
    </row>
    <row r="2850" spans="1:1" x14ac:dyDescent="0.2">
      <c r="A2850" s="12" t="str">
        <f t="shared" si="44"/>
        <v/>
      </c>
    </row>
    <row r="2851" spans="1:1" x14ac:dyDescent="0.2">
      <c r="A2851" s="12" t="str">
        <f t="shared" si="44"/>
        <v/>
      </c>
    </row>
    <row r="2852" spans="1:1" x14ac:dyDescent="0.2">
      <c r="A2852" s="12" t="str">
        <f t="shared" si="44"/>
        <v/>
      </c>
    </row>
    <row r="2853" spans="1:1" x14ac:dyDescent="0.2">
      <c r="A2853" s="12" t="str">
        <f t="shared" si="44"/>
        <v/>
      </c>
    </row>
    <row r="2854" spans="1:1" x14ac:dyDescent="0.2">
      <c r="A2854" s="12" t="str">
        <f t="shared" si="44"/>
        <v/>
      </c>
    </row>
    <row r="2855" spans="1:1" x14ac:dyDescent="0.2">
      <c r="A2855" s="12" t="str">
        <f t="shared" si="44"/>
        <v/>
      </c>
    </row>
    <row r="2856" spans="1:1" x14ac:dyDescent="0.2">
      <c r="A2856" s="12" t="str">
        <f t="shared" si="44"/>
        <v/>
      </c>
    </row>
    <row r="2857" spans="1:1" x14ac:dyDescent="0.2">
      <c r="A2857" s="12" t="str">
        <f t="shared" si="44"/>
        <v/>
      </c>
    </row>
    <row r="2858" spans="1:1" x14ac:dyDescent="0.2">
      <c r="A2858" s="12" t="str">
        <f t="shared" si="44"/>
        <v/>
      </c>
    </row>
    <row r="2859" spans="1:1" x14ac:dyDescent="0.2">
      <c r="A2859" s="12" t="str">
        <f t="shared" si="44"/>
        <v/>
      </c>
    </row>
    <row r="2860" spans="1:1" x14ac:dyDescent="0.2">
      <c r="A2860" s="12" t="str">
        <f t="shared" si="44"/>
        <v/>
      </c>
    </row>
    <row r="2861" spans="1:1" x14ac:dyDescent="0.2">
      <c r="A2861" s="12" t="str">
        <f t="shared" si="44"/>
        <v/>
      </c>
    </row>
    <row r="2862" spans="1:1" x14ac:dyDescent="0.2">
      <c r="A2862" s="12" t="str">
        <f t="shared" si="44"/>
        <v/>
      </c>
    </row>
    <row r="2863" spans="1:1" x14ac:dyDescent="0.2">
      <c r="A2863" s="12" t="str">
        <f t="shared" si="44"/>
        <v/>
      </c>
    </row>
    <row r="2864" spans="1:1" x14ac:dyDescent="0.2">
      <c r="A2864" s="12" t="str">
        <f t="shared" si="44"/>
        <v/>
      </c>
    </row>
    <row r="2865" spans="1:1" x14ac:dyDescent="0.2">
      <c r="A2865" s="12" t="str">
        <f t="shared" si="44"/>
        <v/>
      </c>
    </row>
    <row r="2866" spans="1:1" x14ac:dyDescent="0.2">
      <c r="A2866" s="12" t="str">
        <f t="shared" si="44"/>
        <v/>
      </c>
    </row>
    <row r="2867" spans="1:1" x14ac:dyDescent="0.2">
      <c r="A2867" s="12" t="str">
        <f t="shared" si="44"/>
        <v/>
      </c>
    </row>
    <row r="2868" spans="1:1" x14ac:dyDescent="0.2">
      <c r="A2868" s="12" t="str">
        <f t="shared" si="44"/>
        <v/>
      </c>
    </row>
    <row r="2869" spans="1:1" x14ac:dyDescent="0.2">
      <c r="A2869" s="12" t="str">
        <f t="shared" si="44"/>
        <v/>
      </c>
    </row>
    <row r="2870" spans="1:1" x14ac:dyDescent="0.2">
      <c r="A2870" s="12" t="str">
        <f t="shared" si="44"/>
        <v/>
      </c>
    </row>
    <row r="2871" spans="1:1" x14ac:dyDescent="0.2">
      <c r="A2871" s="12" t="str">
        <f t="shared" si="44"/>
        <v/>
      </c>
    </row>
    <row r="2872" spans="1:1" x14ac:dyDescent="0.2">
      <c r="A2872" s="12" t="str">
        <f t="shared" si="44"/>
        <v/>
      </c>
    </row>
    <row r="2873" spans="1:1" x14ac:dyDescent="0.2">
      <c r="A2873" s="12" t="str">
        <f t="shared" si="44"/>
        <v/>
      </c>
    </row>
    <row r="2874" spans="1:1" x14ac:dyDescent="0.2">
      <c r="A2874" s="12" t="str">
        <f t="shared" si="44"/>
        <v/>
      </c>
    </row>
    <row r="2875" spans="1:1" x14ac:dyDescent="0.2">
      <c r="A2875" s="12" t="str">
        <f t="shared" si="44"/>
        <v/>
      </c>
    </row>
    <row r="2876" spans="1:1" x14ac:dyDescent="0.2">
      <c r="A2876" s="12" t="str">
        <f t="shared" si="44"/>
        <v/>
      </c>
    </row>
    <row r="2877" spans="1:1" x14ac:dyDescent="0.2">
      <c r="A2877" s="12" t="str">
        <f t="shared" si="44"/>
        <v/>
      </c>
    </row>
    <row r="2878" spans="1:1" x14ac:dyDescent="0.2">
      <c r="A2878" s="12" t="str">
        <f t="shared" si="44"/>
        <v/>
      </c>
    </row>
    <row r="2879" spans="1:1" x14ac:dyDescent="0.2">
      <c r="A2879" s="12" t="str">
        <f t="shared" si="44"/>
        <v/>
      </c>
    </row>
    <row r="2880" spans="1:1" x14ac:dyDescent="0.2">
      <c r="A2880" s="12" t="str">
        <f t="shared" si="44"/>
        <v/>
      </c>
    </row>
    <row r="2881" spans="1:1" x14ac:dyDescent="0.2">
      <c r="A2881" s="12" t="str">
        <f t="shared" si="44"/>
        <v/>
      </c>
    </row>
    <row r="2882" spans="1:1" x14ac:dyDescent="0.2">
      <c r="A2882" s="12" t="str">
        <f t="shared" ref="A2882:A2945" si="45">IF(INDEX($AJ:$AJ,ROW())="","",HYPERLINK(INDEX($AJ:$AJ,ROW()),"Open"))</f>
        <v/>
      </c>
    </row>
    <row r="2883" spans="1:1" x14ac:dyDescent="0.2">
      <c r="A2883" s="12" t="str">
        <f t="shared" si="45"/>
        <v/>
      </c>
    </row>
    <row r="2884" spans="1:1" x14ac:dyDescent="0.2">
      <c r="A2884" s="12" t="str">
        <f t="shared" si="45"/>
        <v/>
      </c>
    </row>
    <row r="2885" spans="1:1" x14ac:dyDescent="0.2">
      <c r="A2885" s="12" t="str">
        <f t="shared" si="45"/>
        <v/>
      </c>
    </row>
    <row r="2886" spans="1:1" x14ac:dyDescent="0.2">
      <c r="A2886" s="12" t="str">
        <f t="shared" si="45"/>
        <v/>
      </c>
    </row>
    <row r="2887" spans="1:1" x14ac:dyDescent="0.2">
      <c r="A2887" s="12" t="str">
        <f t="shared" si="45"/>
        <v/>
      </c>
    </row>
    <row r="2888" spans="1:1" x14ac:dyDescent="0.2">
      <c r="A2888" s="12" t="str">
        <f t="shared" si="45"/>
        <v/>
      </c>
    </row>
    <row r="2889" spans="1:1" x14ac:dyDescent="0.2">
      <c r="A2889" s="12" t="str">
        <f t="shared" si="45"/>
        <v/>
      </c>
    </row>
    <row r="2890" spans="1:1" x14ac:dyDescent="0.2">
      <c r="A2890" s="12" t="str">
        <f t="shared" si="45"/>
        <v/>
      </c>
    </row>
    <row r="2891" spans="1:1" x14ac:dyDescent="0.2">
      <c r="A2891" s="12" t="str">
        <f t="shared" si="45"/>
        <v/>
      </c>
    </row>
    <row r="2892" spans="1:1" x14ac:dyDescent="0.2">
      <c r="A2892" s="12" t="str">
        <f t="shared" si="45"/>
        <v/>
      </c>
    </row>
    <row r="2893" spans="1:1" x14ac:dyDescent="0.2">
      <c r="A2893" s="12" t="str">
        <f t="shared" si="45"/>
        <v/>
      </c>
    </row>
    <row r="2894" spans="1:1" x14ac:dyDescent="0.2">
      <c r="A2894" s="12" t="str">
        <f t="shared" si="45"/>
        <v/>
      </c>
    </row>
    <row r="2895" spans="1:1" x14ac:dyDescent="0.2">
      <c r="A2895" s="12" t="str">
        <f t="shared" si="45"/>
        <v/>
      </c>
    </row>
    <row r="2896" spans="1:1" x14ac:dyDescent="0.2">
      <c r="A2896" s="12" t="str">
        <f t="shared" si="45"/>
        <v/>
      </c>
    </row>
    <row r="2897" spans="1:1" x14ac:dyDescent="0.2">
      <c r="A2897" s="12" t="str">
        <f t="shared" si="45"/>
        <v/>
      </c>
    </row>
    <row r="2898" spans="1:1" x14ac:dyDescent="0.2">
      <c r="A2898" s="12" t="str">
        <f t="shared" si="45"/>
        <v/>
      </c>
    </row>
    <row r="2899" spans="1:1" x14ac:dyDescent="0.2">
      <c r="A2899" s="12" t="str">
        <f t="shared" si="45"/>
        <v/>
      </c>
    </row>
    <row r="2900" spans="1:1" x14ac:dyDescent="0.2">
      <c r="A2900" s="12" t="str">
        <f t="shared" si="45"/>
        <v/>
      </c>
    </row>
    <row r="2901" spans="1:1" x14ac:dyDescent="0.2">
      <c r="A2901" s="12" t="str">
        <f t="shared" si="45"/>
        <v/>
      </c>
    </row>
    <row r="2902" spans="1:1" x14ac:dyDescent="0.2">
      <c r="A2902" s="12" t="str">
        <f t="shared" si="45"/>
        <v/>
      </c>
    </row>
    <row r="2903" spans="1:1" x14ac:dyDescent="0.2">
      <c r="A2903" s="12" t="str">
        <f t="shared" si="45"/>
        <v/>
      </c>
    </row>
    <row r="2904" spans="1:1" x14ac:dyDescent="0.2">
      <c r="A2904" s="12" t="str">
        <f t="shared" si="45"/>
        <v/>
      </c>
    </row>
    <row r="2905" spans="1:1" x14ac:dyDescent="0.2">
      <c r="A2905" s="12" t="str">
        <f t="shared" si="45"/>
        <v/>
      </c>
    </row>
    <row r="2906" spans="1:1" x14ac:dyDescent="0.2">
      <c r="A2906" s="12" t="str">
        <f t="shared" si="45"/>
        <v/>
      </c>
    </row>
    <row r="2907" spans="1:1" x14ac:dyDescent="0.2">
      <c r="A2907" s="12" t="str">
        <f t="shared" si="45"/>
        <v/>
      </c>
    </row>
    <row r="2908" spans="1:1" x14ac:dyDescent="0.2">
      <c r="A2908" s="12" t="str">
        <f t="shared" si="45"/>
        <v/>
      </c>
    </row>
    <row r="2909" spans="1:1" x14ac:dyDescent="0.2">
      <c r="A2909" s="12" t="str">
        <f t="shared" si="45"/>
        <v/>
      </c>
    </row>
    <row r="2910" spans="1:1" x14ac:dyDescent="0.2">
      <c r="A2910" s="12" t="str">
        <f t="shared" si="45"/>
        <v/>
      </c>
    </row>
    <row r="2911" spans="1:1" x14ac:dyDescent="0.2">
      <c r="A2911" s="12" t="str">
        <f t="shared" si="45"/>
        <v/>
      </c>
    </row>
    <row r="2912" spans="1:1" x14ac:dyDescent="0.2">
      <c r="A2912" s="12" t="str">
        <f t="shared" si="45"/>
        <v/>
      </c>
    </row>
    <row r="2913" spans="1:1" x14ac:dyDescent="0.2">
      <c r="A2913" s="12" t="str">
        <f t="shared" si="45"/>
        <v/>
      </c>
    </row>
    <row r="2914" spans="1:1" x14ac:dyDescent="0.2">
      <c r="A2914" s="12" t="str">
        <f t="shared" si="45"/>
        <v/>
      </c>
    </row>
    <row r="2915" spans="1:1" x14ac:dyDescent="0.2">
      <c r="A2915" s="12" t="str">
        <f t="shared" si="45"/>
        <v/>
      </c>
    </row>
    <row r="2916" spans="1:1" x14ac:dyDescent="0.2">
      <c r="A2916" s="12" t="str">
        <f t="shared" si="45"/>
        <v/>
      </c>
    </row>
    <row r="2917" spans="1:1" x14ac:dyDescent="0.2">
      <c r="A2917" s="12" t="str">
        <f t="shared" si="45"/>
        <v/>
      </c>
    </row>
    <row r="2918" spans="1:1" x14ac:dyDescent="0.2">
      <c r="A2918" s="12" t="str">
        <f t="shared" si="45"/>
        <v/>
      </c>
    </row>
    <row r="2919" spans="1:1" x14ac:dyDescent="0.2">
      <c r="A2919" s="12" t="str">
        <f t="shared" si="45"/>
        <v/>
      </c>
    </row>
    <row r="2920" spans="1:1" x14ac:dyDescent="0.2">
      <c r="A2920" s="12" t="str">
        <f t="shared" si="45"/>
        <v/>
      </c>
    </row>
    <row r="2921" spans="1:1" x14ac:dyDescent="0.2">
      <c r="A2921" s="12" t="str">
        <f t="shared" si="45"/>
        <v/>
      </c>
    </row>
    <row r="2922" spans="1:1" x14ac:dyDescent="0.2">
      <c r="A2922" s="12" t="str">
        <f t="shared" si="45"/>
        <v/>
      </c>
    </row>
    <row r="2923" spans="1:1" x14ac:dyDescent="0.2">
      <c r="A2923" s="12" t="str">
        <f t="shared" si="45"/>
        <v/>
      </c>
    </row>
    <row r="2924" spans="1:1" x14ac:dyDescent="0.2">
      <c r="A2924" s="12" t="str">
        <f t="shared" si="45"/>
        <v/>
      </c>
    </row>
    <row r="2925" spans="1:1" x14ac:dyDescent="0.2">
      <c r="A2925" s="12" t="str">
        <f t="shared" si="45"/>
        <v/>
      </c>
    </row>
    <row r="2926" spans="1:1" x14ac:dyDescent="0.2">
      <c r="A2926" s="12" t="str">
        <f t="shared" si="45"/>
        <v/>
      </c>
    </row>
    <row r="2927" spans="1:1" x14ac:dyDescent="0.2">
      <c r="A2927" s="12" t="str">
        <f t="shared" si="45"/>
        <v/>
      </c>
    </row>
    <row r="2928" spans="1:1" x14ac:dyDescent="0.2">
      <c r="A2928" s="12" t="str">
        <f t="shared" si="45"/>
        <v/>
      </c>
    </row>
    <row r="2929" spans="1:1" x14ac:dyDescent="0.2">
      <c r="A2929" s="12" t="str">
        <f t="shared" si="45"/>
        <v/>
      </c>
    </row>
    <row r="2930" spans="1:1" x14ac:dyDescent="0.2">
      <c r="A2930" s="12" t="str">
        <f t="shared" si="45"/>
        <v/>
      </c>
    </row>
    <row r="2931" spans="1:1" x14ac:dyDescent="0.2">
      <c r="A2931" s="12" t="str">
        <f t="shared" si="45"/>
        <v/>
      </c>
    </row>
    <row r="2932" spans="1:1" x14ac:dyDescent="0.2">
      <c r="A2932" s="12" t="str">
        <f t="shared" si="45"/>
        <v/>
      </c>
    </row>
    <row r="2933" spans="1:1" x14ac:dyDescent="0.2">
      <c r="A2933" s="12" t="str">
        <f t="shared" si="45"/>
        <v/>
      </c>
    </row>
    <row r="2934" spans="1:1" x14ac:dyDescent="0.2">
      <c r="A2934" s="12" t="str">
        <f t="shared" si="45"/>
        <v/>
      </c>
    </row>
    <row r="2935" spans="1:1" x14ac:dyDescent="0.2">
      <c r="A2935" s="12" t="str">
        <f t="shared" si="45"/>
        <v/>
      </c>
    </row>
    <row r="2936" spans="1:1" x14ac:dyDescent="0.2">
      <c r="A2936" s="12" t="str">
        <f t="shared" si="45"/>
        <v/>
      </c>
    </row>
    <row r="2937" spans="1:1" x14ac:dyDescent="0.2">
      <c r="A2937" s="12" t="str">
        <f t="shared" si="45"/>
        <v/>
      </c>
    </row>
    <row r="2938" spans="1:1" x14ac:dyDescent="0.2">
      <c r="A2938" s="12" t="str">
        <f t="shared" si="45"/>
        <v/>
      </c>
    </row>
    <row r="2939" spans="1:1" x14ac:dyDescent="0.2">
      <c r="A2939" s="12" t="str">
        <f t="shared" si="45"/>
        <v/>
      </c>
    </row>
    <row r="2940" spans="1:1" x14ac:dyDescent="0.2">
      <c r="A2940" s="12" t="str">
        <f t="shared" si="45"/>
        <v/>
      </c>
    </row>
    <row r="2941" spans="1:1" x14ac:dyDescent="0.2">
      <c r="A2941" s="12" t="str">
        <f t="shared" si="45"/>
        <v/>
      </c>
    </row>
    <row r="2942" spans="1:1" x14ac:dyDescent="0.2">
      <c r="A2942" s="12" t="str">
        <f t="shared" si="45"/>
        <v/>
      </c>
    </row>
    <row r="2943" spans="1:1" x14ac:dyDescent="0.2">
      <c r="A2943" s="12" t="str">
        <f t="shared" si="45"/>
        <v/>
      </c>
    </row>
    <row r="2944" spans="1:1" x14ac:dyDescent="0.2">
      <c r="A2944" s="12" t="str">
        <f t="shared" si="45"/>
        <v/>
      </c>
    </row>
    <row r="2945" spans="1:1" x14ac:dyDescent="0.2">
      <c r="A2945" s="12" t="str">
        <f t="shared" si="45"/>
        <v/>
      </c>
    </row>
    <row r="2946" spans="1:1" x14ac:dyDescent="0.2">
      <c r="A2946" s="12" t="str">
        <f t="shared" ref="A2946:A3009" si="46">IF(INDEX($AJ:$AJ,ROW())="","",HYPERLINK(INDEX($AJ:$AJ,ROW()),"Open"))</f>
        <v/>
      </c>
    </row>
    <row r="2947" spans="1:1" x14ac:dyDescent="0.2">
      <c r="A2947" s="12" t="str">
        <f t="shared" si="46"/>
        <v/>
      </c>
    </row>
    <row r="2948" spans="1:1" x14ac:dyDescent="0.2">
      <c r="A2948" s="12" t="str">
        <f t="shared" si="46"/>
        <v/>
      </c>
    </row>
    <row r="2949" spans="1:1" x14ac:dyDescent="0.2">
      <c r="A2949" s="12" t="str">
        <f t="shared" si="46"/>
        <v/>
      </c>
    </row>
    <row r="2950" spans="1:1" x14ac:dyDescent="0.2">
      <c r="A2950" s="12" t="str">
        <f t="shared" si="46"/>
        <v/>
      </c>
    </row>
    <row r="2951" spans="1:1" x14ac:dyDescent="0.2">
      <c r="A2951" s="12" t="str">
        <f t="shared" si="46"/>
        <v/>
      </c>
    </row>
    <row r="2952" spans="1:1" x14ac:dyDescent="0.2">
      <c r="A2952" s="12" t="str">
        <f t="shared" si="46"/>
        <v/>
      </c>
    </row>
    <row r="2953" spans="1:1" x14ac:dyDescent="0.2">
      <c r="A2953" s="12" t="str">
        <f t="shared" si="46"/>
        <v/>
      </c>
    </row>
    <row r="2954" spans="1:1" x14ac:dyDescent="0.2">
      <c r="A2954" s="12" t="str">
        <f t="shared" si="46"/>
        <v/>
      </c>
    </row>
    <row r="2955" spans="1:1" x14ac:dyDescent="0.2">
      <c r="A2955" s="12" t="str">
        <f t="shared" si="46"/>
        <v/>
      </c>
    </row>
    <row r="2956" spans="1:1" x14ac:dyDescent="0.2">
      <c r="A2956" s="12" t="str">
        <f t="shared" si="46"/>
        <v/>
      </c>
    </row>
    <row r="2957" spans="1:1" x14ac:dyDescent="0.2">
      <c r="A2957" s="12" t="str">
        <f t="shared" si="46"/>
        <v/>
      </c>
    </row>
    <row r="2958" spans="1:1" x14ac:dyDescent="0.2">
      <c r="A2958" s="12" t="str">
        <f t="shared" si="46"/>
        <v/>
      </c>
    </row>
    <row r="2959" spans="1:1" x14ac:dyDescent="0.2">
      <c r="A2959" s="12" t="str">
        <f t="shared" si="46"/>
        <v/>
      </c>
    </row>
    <row r="2960" spans="1:1" x14ac:dyDescent="0.2">
      <c r="A2960" s="12" t="str">
        <f t="shared" si="46"/>
        <v/>
      </c>
    </row>
    <row r="2961" spans="1:1" x14ac:dyDescent="0.2">
      <c r="A2961" s="12" t="str">
        <f t="shared" si="46"/>
        <v/>
      </c>
    </row>
    <row r="2962" spans="1:1" x14ac:dyDescent="0.2">
      <c r="A2962" s="12" t="str">
        <f t="shared" si="46"/>
        <v/>
      </c>
    </row>
    <row r="2963" spans="1:1" x14ac:dyDescent="0.2">
      <c r="A2963" s="12" t="str">
        <f t="shared" si="46"/>
        <v/>
      </c>
    </row>
    <row r="2964" spans="1:1" x14ac:dyDescent="0.2">
      <c r="A2964" s="12" t="str">
        <f t="shared" si="46"/>
        <v/>
      </c>
    </row>
    <row r="2965" spans="1:1" x14ac:dyDescent="0.2">
      <c r="A2965" s="12" t="str">
        <f t="shared" si="46"/>
        <v/>
      </c>
    </row>
    <row r="2966" spans="1:1" x14ac:dyDescent="0.2">
      <c r="A2966" s="12" t="str">
        <f t="shared" si="46"/>
        <v/>
      </c>
    </row>
    <row r="2967" spans="1:1" x14ac:dyDescent="0.2">
      <c r="A2967" s="12" t="str">
        <f t="shared" si="46"/>
        <v/>
      </c>
    </row>
    <row r="2968" spans="1:1" x14ac:dyDescent="0.2">
      <c r="A2968" s="12" t="str">
        <f t="shared" si="46"/>
        <v/>
      </c>
    </row>
    <row r="2969" spans="1:1" x14ac:dyDescent="0.2">
      <c r="A2969" s="12" t="str">
        <f t="shared" si="46"/>
        <v/>
      </c>
    </row>
    <row r="2970" spans="1:1" x14ac:dyDescent="0.2">
      <c r="A2970" s="12" t="str">
        <f t="shared" si="46"/>
        <v/>
      </c>
    </row>
    <row r="2971" spans="1:1" x14ac:dyDescent="0.2">
      <c r="A2971" s="12" t="str">
        <f t="shared" si="46"/>
        <v/>
      </c>
    </row>
    <row r="2972" spans="1:1" x14ac:dyDescent="0.2">
      <c r="A2972" s="12" t="str">
        <f t="shared" si="46"/>
        <v/>
      </c>
    </row>
    <row r="2973" spans="1:1" x14ac:dyDescent="0.2">
      <c r="A2973" s="12" t="str">
        <f t="shared" si="46"/>
        <v/>
      </c>
    </row>
    <row r="2974" spans="1:1" x14ac:dyDescent="0.2">
      <c r="A2974" s="12" t="str">
        <f t="shared" si="46"/>
        <v/>
      </c>
    </row>
    <row r="2975" spans="1:1" x14ac:dyDescent="0.2">
      <c r="A2975" s="12" t="str">
        <f t="shared" si="46"/>
        <v/>
      </c>
    </row>
    <row r="2976" spans="1:1" x14ac:dyDescent="0.2">
      <c r="A2976" s="12" t="str">
        <f t="shared" si="46"/>
        <v/>
      </c>
    </row>
    <row r="2977" spans="1:1" x14ac:dyDescent="0.2">
      <c r="A2977" s="12" t="str">
        <f t="shared" si="46"/>
        <v/>
      </c>
    </row>
    <row r="2978" spans="1:1" x14ac:dyDescent="0.2">
      <c r="A2978" s="12" t="str">
        <f t="shared" si="46"/>
        <v/>
      </c>
    </row>
    <row r="2979" spans="1:1" x14ac:dyDescent="0.2">
      <c r="A2979" s="12" t="str">
        <f t="shared" si="46"/>
        <v/>
      </c>
    </row>
    <row r="2980" spans="1:1" x14ac:dyDescent="0.2">
      <c r="A2980" s="12" t="str">
        <f t="shared" si="46"/>
        <v/>
      </c>
    </row>
    <row r="2981" spans="1:1" x14ac:dyDescent="0.2">
      <c r="A2981" s="12" t="str">
        <f t="shared" si="46"/>
        <v/>
      </c>
    </row>
    <row r="2982" spans="1:1" x14ac:dyDescent="0.2">
      <c r="A2982" s="12" t="str">
        <f t="shared" si="46"/>
        <v/>
      </c>
    </row>
    <row r="2983" spans="1:1" x14ac:dyDescent="0.2">
      <c r="A2983" s="12" t="str">
        <f t="shared" si="46"/>
        <v/>
      </c>
    </row>
    <row r="2984" spans="1:1" x14ac:dyDescent="0.2">
      <c r="A2984" s="12" t="str">
        <f t="shared" si="46"/>
        <v/>
      </c>
    </row>
    <row r="2985" spans="1:1" x14ac:dyDescent="0.2">
      <c r="A2985" s="12" t="str">
        <f t="shared" si="46"/>
        <v/>
      </c>
    </row>
    <row r="2986" spans="1:1" x14ac:dyDescent="0.2">
      <c r="A2986" s="12" t="str">
        <f t="shared" si="46"/>
        <v/>
      </c>
    </row>
    <row r="2987" spans="1:1" x14ac:dyDescent="0.2">
      <c r="A2987" s="12" t="str">
        <f t="shared" si="46"/>
        <v/>
      </c>
    </row>
    <row r="2988" spans="1:1" x14ac:dyDescent="0.2">
      <c r="A2988" s="12" t="str">
        <f t="shared" si="46"/>
        <v/>
      </c>
    </row>
    <row r="2989" spans="1:1" x14ac:dyDescent="0.2">
      <c r="A2989" s="12" t="str">
        <f t="shared" si="46"/>
        <v/>
      </c>
    </row>
    <row r="2990" spans="1:1" x14ac:dyDescent="0.2">
      <c r="A2990" s="12" t="str">
        <f t="shared" si="46"/>
        <v/>
      </c>
    </row>
    <row r="2991" spans="1:1" x14ac:dyDescent="0.2">
      <c r="A2991" s="12" t="str">
        <f t="shared" si="46"/>
        <v/>
      </c>
    </row>
    <row r="2992" spans="1:1" x14ac:dyDescent="0.2">
      <c r="A2992" s="12" t="str">
        <f t="shared" si="46"/>
        <v/>
      </c>
    </row>
    <row r="2993" spans="1:1" x14ac:dyDescent="0.2">
      <c r="A2993" s="12" t="str">
        <f t="shared" si="46"/>
        <v/>
      </c>
    </row>
    <row r="2994" spans="1:1" x14ac:dyDescent="0.2">
      <c r="A2994" s="12" t="str">
        <f t="shared" si="46"/>
        <v/>
      </c>
    </row>
    <row r="2995" spans="1:1" x14ac:dyDescent="0.2">
      <c r="A2995" s="12" t="str">
        <f t="shared" si="46"/>
        <v/>
      </c>
    </row>
    <row r="2996" spans="1:1" x14ac:dyDescent="0.2">
      <c r="A2996" s="12" t="str">
        <f t="shared" si="46"/>
        <v/>
      </c>
    </row>
    <row r="2997" spans="1:1" x14ac:dyDescent="0.2">
      <c r="A2997" s="12" t="str">
        <f t="shared" si="46"/>
        <v/>
      </c>
    </row>
    <row r="2998" spans="1:1" x14ac:dyDescent="0.2">
      <c r="A2998" s="12" t="str">
        <f t="shared" si="46"/>
        <v/>
      </c>
    </row>
    <row r="2999" spans="1:1" x14ac:dyDescent="0.2">
      <c r="A2999" s="12" t="str">
        <f t="shared" si="46"/>
        <v/>
      </c>
    </row>
    <row r="3000" spans="1:1" x14ac:dyDescent="0.2">
      <c r="A3000" s="12" t="str">
        <f t="shared" si="46"/>
        <v/>
      </c>
    </row>
    <row r="3001" spans="1:1" x14ac:dyDescent="0.2">
      <c r="A3001" s="12" t="str">
        <f t="shared" si="46"/>
        <v/>
      </c>
    </row>
    <row r="3002" spans="1:1" x14ac:dyDescent="0.2">
      <c r="A3002" s="12" t="str">
        <f t="shared" si="46"/>
        <v/>
      </c>
    </row>
    <row r="3003" spans="1:1" x14ac:dyDescent="0.2">
      <c r="A3003" s="12" t="str">
        <f t="shared" si="46"/>
        <v/>
      </c>
    </row>
    <row r="3004" spans="1:1" x14ac:dyDescent="0.2">
      <c r="A3004" s="12" t="str">
        <f t="shared" si="46"/>
        <v/>
      </c>
    </row>
    <row r="3005" spans="1:1" x14ac:dyDescent="0.2">
      <c r="A3005" s="12" t="str">
        <f t="shared" si="46"/>
        <v/>
      </c>
    </row>
    <row r="3006" spans="1:1" x14ac:dyDescent="0.2">
      <c r="A3006" s="12" t="str">
        <f t="shared" si="46"/>
        <v/>
      </c>
    </row>
    <row r="3007" spans="1:1" x14ac:dyDescent="0.2">
      <c r="A3007" s="12" t="str">
        <f t="shared" si="46"/>
        <v/>
      </c>
    </row>
    <row r="3008" spans="1:1" x14ac:dyDescent="0.2">
      <c r="A3008" s="12" t="str">
        <f t="shared" si="46"/>
        <v/>
      </c>
    </row>
    <row r="3009" spans="1:1" x14ac:dyDescent="0.2">
      <c r="A3009" s="12" t="str">
        <f t="shared" si="46"/>
        <v/>
      </c>
    </row>
    <row r="3010" spans="1:1" x14ac:dyDescent="0.2">
      <c r="A3010" s="12" t="str">
        <f t="shared" ref="A3010:A3073" si="47">IF(INDEX($AJ:$AJ,ROW())="","",HYPERLINK(INDEX($AJ:$AJ,ROW()),"Open"))</f>
        <v/>
      </c>
    </row>
    <row r="3011" spans="1:1" x14ac:dyDescent="0.2">
      <c r="A3011" s="12" t="str">
        <f t="shared" si="47"/>
        <v/>
      </c>
    </row>
    <row r="3012" spans="1:1" x14ac:dyDescent="0.2">
      <c r="A3012" s="12" t="str">
        <f t="shared" si="47"/>
        <v/>
      </c>
    </row>
    <row r="3013" spans="1:1" x14ac:dyDescent="0.2">
      <c r="A3013" s="12" t="str">
        <f t="shared" si="47"/>
        <v/>
      </c>
    </row>
    <row r="3014" spans="1:1" x14ac:dyDescent="0.2">
      <c r="A3014" s="12" t="str">
        <f t="shared" si="47"/>
        <v/>
      </c>
    </row>
    <row r="3015" spans="1:1" x14ac:dyDescent="0.2">
      <c r="A3015" s="12" t="str">
        <f t="shared" si="47"/>
        <v/>
      </c>
    </row>
    <row r="3016" spans="1:1" x14ac:dyDescent="0.2">
      <c r="A3016" s="12" t="str">
        <f t="shared" si="47"/>
        <v/>
      </c>
    </row>
    <row r="3017" spans="1:1" x14ac:dyDescent="0.2">
      <c r="A3017" s="12" t="str">
        <f t="shared" si="47"/>
        <v/>
      </c>
    </row>
    <row r="3018" spans="1:1" x14ac:dyDescent="0.2">
      <c r="A3018" s="12" t="str">
        <f t="shared" si="47"/>
        <v/>
      </c>
    </row>
    <row r="3019" spans="1:1" x14ac:dyDescent="0.2">
      <c r="A3019" s="12" t="str">
        <f t="shared" si="47"/>
        <v/>
      </c>
    </row>
    <row r="3020" spans="1:1" x14ac:dyDescent="0.2">
      <c r="A3020" s="12" t="str">
        <f t="shared" si="47"/>
        <v/>
      </c>
    </row>
    <row r="3021" spans="1:1" x14ac:dyDescent="0.2">
      <c r="A3021" s="12" t="str">
        <f t="shared" si="47"/>
        <v/>
      </c>
    </row>
    <row r="3022" spans="1:1" x14ac:dyDescent="0.2">
      <c r="A3022" s="12" t="str">
        <f t="shared" si="47"/>
        <v/>
      </c>
    </row>
    <row r="3023" spans="1:1" x14ac:dyDescent="0.2">
      <c r="A3023" s="12" t="str">
        <f t="shared" si="47"/>
        <v/>
      </c>
    </row>
    <row r="3024" spans="1:1" x14ac:dyDescent="0.2">
      <c r="A3024" s="12" t="str">
        <f t="shared" si="47"/>
        <v/>
      </c>
    </row>
    <row r="3025" spans="1:1" x14ac:dyDescent="0.2">
      <c r="A3025" s="12" t="str">
        <f t="shared" si="47"/>
        <v/>
      </c>
    </row>
    <row r="3026" spans="1:1" x14ac:dyDescent="0.2">
      <c r="A3026" s="12" t="str">
        <f t="shared" si="47"/>
        <v/>
      </c>
    </row>
    <row r="3027" spans="1:1" x14ac:dyDescent="0.2">
      <c r="A3027" s="12" t="str">
        <f t="shared" si="47"/>
        <v/>
      </c>
    </row>
    <row r="3028" spans="1:1" x14ac:dyDescent="0.2">
      <c r="A3028" s="12" t="str">
        <f t="shared" si="47"/>
        <v/>
      </c>
    </row>
    <row r="3029" spans="1:1" x14ac:dyDescent="0.2">
      <c r="A3029" s="12" t="str">
        <f t="shared" si="47"/>
        <v/>
      </c>
    </row>
    <row r="3030" spans="1:1" x14ac:dyDescent="0.2">
      <c r="A3030" s="12" t="str">
        <f t="shared" si="47"/>
        <v/>
      </c>
    </row>
    <row r="3031" spans="1:1" x14ac:dyDescent="0.2">
      <c r="A3031" s="12" t="str">
        <f t="shared" si="47"/>
        <v/>
      </c>
    </row>
    <row r="3032" spans="1:1" x14ac:dyDescent="0.2">
      <c r="A3032" s="12" t="str">
        <f t="shared" si="47"/>
        <v/>
      </c>
    </row>
    <row r="3033" spans="1:1" x14ac:dyDescent="0.2">
      <c r="A3033" s="12" t="str">
        <f t="shared" si="47"/>
        <v/>
      </c>
    </row>
    <row r="3034" spans="1:1" x14ac:dyDescent="0.2">
      <c r="A3034" s="12" t="str">
        <f t="shared" si="47"/>
        <v/>
      </c>
    </row>
    <row r="3035" spans="1:1" x14ac:dyDescent="0.2">
      <c r="A3035" s="12" t="str">
        <f t="shared" si="47"/>
        <v/>
      </c>
    </row>
    <row r="3036" spans="1:1" x14ac:dyDescent="0.2">
      <c r="A3036" s="12" t="str">
        <f t="shared" si="47"/>
        <v/>
      </c>
    </row>
    <row r="3037" spans="1:1" x14ac:dyDescent="0.2">
      <c r="A3037" s="12" t="str">
        <f t="shared" si="47"/>
        <v/>
      </c>
    </row>
    <row r="3038" spans="1:1" x14ac:dyDescent="0.2">
      <c r="A3038" s="12" t="str">
        <f t="shared" si="47"/>
        <v/>
      </c>
    </row>
    <row r="3039" spans="1:1" x14ac:dyDescent="0.2">
      <c r="A3039" s="12" t="str">
        <f t="shared" si="47"/>
        <v/>
      </c>
    </row>
    <row r="3040" spans="1:1" x14ac:dyDescent="0.2">
      <c r="A3040" s="12" t="str">
        <f t="shared" si="47"/>
        <v/>
      </c>
    </row>
    <row r="3041" spans="1:1" x14ac:dyDescent="0.2">
      <c r="A3041" s="12" t="str">
        <f t="shared" si="47"/>
        <v/>
      </c>
    </row>
    <row r="3042" spans="1:1" x14ac:dyDescent="0.2">
      <c r="A3042" s="12" t="str">
        <f t="shared" si="47"/>
        <v/>
      </c>
    </row>
    <row r="3043" spans="1:1" x14ac:dyDescent="0.2">
      <c r="A3043" s="12" t="str">
        <f t="shared" si="47"/>
        <v/>
      </c>
    </row>
    <row r="3044" spans="1:1" x14ac:dyDescent="0.2">
      <c r="A3044" s="12" t="str">
        <f t="shared" si="47"/>
        <v/>
      </c>
    </row>
    <row r="3045" spans="1:1" x14ac:dyDescent="0.2">
      <c r="A3045" s="12" t="str">
        <f t="shared" si="47"/>
        <v/>
      </c>
    </row>
    <row r="3046" spans="1:1" x14ac:dyDescent="0.2">
      <c r="A3046" s="12" t="str">
        <f t="shared" si="47"/>
        <v/>
      </c>
    </row>
    <row r="3047" spans="1:1" x14ac:dyDescent="0.2">
      <c r="A3047" s="12" t="str">
        <f t="shared" si="47"/>
        <v/>
      </c>
    </row>
    <row r="3048" spans="1:1" x14ac:dyDescent="0.2">
      <c r="A3048" s="12" t="str">
        <f t="shared" si="47"/>
        <v/>
      </c>
    </row>
    <row r="3049" spans="1:1" x14ac:dyDescent="0.2">
      <c r="A3049" s="12" t="str">
        <f t="shared" si="47"/>
        <v/>
      </c>
    </row>
    <row r="3050" spans="1:1" x14ac:dyDescent="0.2">
      <c r="A3050" s="12" t="str">
        <f t="shared" si="47"/>
        <v/>
      </c>
    </row>
    <row r="3051" spans="1:1" x14ac:dyDescent="0.2">
      <c r="A3051" s="12" t="str">
        <f t="shared" si="47"/>
        <v/>
      </c>
    </row>
    <row r="3052" spans="1:1" x14ac:dyDescent="0.2">
      <c r="A3052" s="12" t="str">
        <f t="shared" si="47"/>
        <v/>
      </c>
    </row>
    <row r="3053" spans="1:1" x14ac:dyDescent="0.2">
      <c r="A3053" s="12" t="str">
        <f t="shared" si="47"/>
        <v/>
      </c>
    </row>
    <row r="3054" spans="1:1" x14ac:dyDescent="0.2">
      <c r="A3054" s="12" t="str">
        <f t="shared" si="47"/>
        <v/>
      </c>
    </row>
    <row r="3055" spans="1:1" x14ac:dyDescent="0.2">
      <c r="A3055" s="12" t="str">
        <f t="shared" si="47"/>
        <v/>
      </c>
    </row>
    <row r="3056" spans="1:1" x14ac:dyDescent="0.2">
      <c r="A3056" s="12" t="str">
        <f t="shared" si="47"/>
        <v/>
      </c>
    </row>
    <row r="3057" spans="1:1" x14ac:dyDescent="0.2">
      <c r="A3057" s="12" t="str">
        <f t="shared" si="47"/>
        <v/>
      </c>
    </row>
    <row r="3058" spans="1:1" x14ac:dyDescent="0.2">
      <c r="A3058" s="12" t="str">
        <f t="shared" si="47"/>
        <v/>
      </c>
    </row>
    <row r="3059" spans="1:1" x14ac:dyDescent="0.2">
      <c r="A3059" s="12" t="str">
        <f t="shared" si="47"/>
        <v/>
      </c>
    </row>
    <row r="3060" spans="1:1" x14ac:dyDescent="0.2">
      <c r="A3060" s="12" t="str">
        <f t="shared" si="47"/>
        <v/>
      </c>
    </row>
    <row r="3061" spans="1:1" x14ac:dyDescent="0.2">
      <c r="A3061" s="12" t="str">
        <f t="shared" si="47"/>
        <v/>
      </c>
    </row>
    <row r="3062" spans="1:1" x14ac:dyDescent="0.2">
      <c r="A3062" s="12" t="str">
        <f t="shared" si="47"/>
        <v/>
      </c>
    </row>
    <row r="3063" spans="1:1" x14ac:dyDescent="0.2">
      <c r="A3063" s="12" t="str">
        <f t="shared" si="47"/>
        <v/>
      </c>
    </row>
    <row r="3064" spans="1:1" x14ac:dyDescent="0.2">
      <c r="A3064" s="12" t="str">
        <f t="shared" si="47"/>
        <v/>
      </c>
    </row>
    <row r="3065" spans="1:1" x14ac:dyDescent="0.2">
      <c r="A3065" s="12" t="str">
        <f t="shared" si="47"/>
        <v/>
      </c>
    </row>
    <row r="3066" spans="1:1" x14ac:dyDescent="0.2">
      <c r="A3066" s="12" t="str">
        <f t="shared" si="47"/>
        <v/>
      </c>
    </row>
    <row r="3067" spans="1:1" x14ac:dyDescent="0.2">
      <c r="A3067" s="12" t="str">
        <f t="shared" si="47"/>
        <v/>
      </c>
    </row>
    <row r="3068" spans="1:1" x14ac:dyDescent="0.2">
      <c r="A3068" s="12" t="str">
        <f t="shared" si="47"/>
        <v/>
      </c>
    </row>
    <row r="3069" spans="1:1" x14ac:dyDescent="0.2">
      <c r="A3069" s="12" t="str">
        <f t="shared" si="47"/>
        <v/>
      </c>
    </row>
    <row r="3070" spans="1:1" x14ac:dyDescent="0.2">
      <c r="A3070" s="12" t="str">
        <f t="shared" si="47"/>
        <v/>
      </c>
    </row>
    <row r="3071" spans="1:1" x14ac:dyDescent="0.2">
      <c r="A3071" s="12" t="str">
        <f t="shared" si="47"/>
        <v/>
      </c>
    </row>
    <row r="3072" spans="1:1" x14ac:dyDescent="0.2">
      <c r="A3072" s="12" t="str">
        <f t="shared" si="47"/>
        <v/>
      </c>
    </row>
    <row r="3073" spans="1:1" x14ac:dyDescent="0.2">
      <c r="A3073" s="12" t="str">
        <f t="shared" si="47"/>
        <v/>
      </c>
    </row>
    <row r="3074" spans="1:1" x14ac:dyDescent="0.2">
      <c r="A3074" s="12" t="str">
        <f t="shared" ref="A3074:A3137" si="48">IF(INDEX($AJ:$AJ,ROW())="","",HYPERLINK(INDEX($AJ:$AJ,ROW()),"Open"))</f>
        <v/>
      </c>
    </row>
    <row r="3075" spans="1:1" x14ac:dyDescent="0.2">
      <c r="A3075" s="12" t="str">
        <f t="shared" si="48"/>
        <v/>
      </c>
    </row>
    <row r="3076" spans="1:1" x14ac:dyDescent="0.2">
      <c r="A3076" s="12" t="str">
        <f t="shared" si="48"/>
        <v/>
      </c>
    </row>
    <row r="3077" spans="1:1" x14ac:dyDescent="0.2">
      <c r="A3077" s="12" t="str">
        <f t="shared" si="48"/>
        <v/>
      </c>
    </row>
    <row r="3078" spans="1:1" x14ac:dyDescent="0.2">
      <c r="A3078" s="12" t="str">
        <f t="shared" si="48"/>
        <v/>
      </c>
    </row>
    <row r="3079" spans="1:1" x14ac:dyDescent="0.2">
      <c r="A3079" s="12" t="str">
        <f t="shared" si="48"/>
        <v/>
      </c>
    </row>
    <row r="3080" spans="1:1" x14ac:dyDescent="0.2">
      <c r="A3080" s="12" t="str">
        <f t="shared" si="48"/>
        <v/>
      </c>
    </row>
    <row r="3081" spans="1:1" x14ac:dyDescent="0.2">
      <c r="A3081" s="12" t="str">
        <f t="shared" si="48"/>
        <v/>
      </c>
    </row>
    <row r="3082" spans="1:1" x14ac:dyDescent="0.2">
      <c r="A3082" s="12" t="str">
        <f t="shared" si="48"/>
        <v/>
      </c>
    </row>
    <row r="3083" spans="1:1" x14ac:dyDescent="0.2">
      <c r="A3083" s="12" t="str">
        <f t="shared" si="48"/>
        <v/>
      </c>
    </row>
    <row r="3084" spans="1:1" x14ac:dyDescent="0.2">
      <c r="A3084" s="12" t="str">
        <f t="shared" si="48"/>
        <v/>
      </c>
    </row>
    <row r="3085" spans="1:1" x14ac:dyDescent="0.2">
      <c r="A3085" s="12" t="str">
        <f t="shared" si="48"/>
        <v/>
      </c>
    </row>
    <row r="3086" spans="1:1" x14ac:dyDescent="0.2">
      <c r="A3086" s="12" t="str">
        <f t="shared" si="48"/>
        <v/>
      </c>
    </row>
    <row r="3087" spans="1:1" x14ac:dyDescent="0.2">
      <c r="A3087" s="12" t="str">
        <f t="shared" si="48"/>
        <v/>
      </c>
    </row>
    <row r="3088" spans="1:1" x14ac:dyDescent="0.2">
      <c r="A3088" s="12" t="str">
        <f t="shared" si="48"/>
        <v/>
      </c>
    </row>
    <row r="3089" spans="1:1" x14ac:dyDescent="0.2">
      <c r="A3089" s="12" t="str">
        <f t="shared" si="48"/>
        <v/>
      </c>
    </row>
    <row r="3090" spans="1:1" x14ac:dyDescent="0.2">
      <c r="A3090" s="12" t="str">
        <f t="shared" si="48"/>
        <v/>
      </c>
    </row>
    <row r="3091" spans="1:1" x14ac:dyDescent="0.2">
      <c r="A3091" s="12" t="str">
        <f t="shared" si="48"/>
        <v/>
      </c>
    </row>
    <row r="3092" spans="1:1" x14ac:dyDescent="0.2">
      <c r="A3092" s="12" t="str">
        <f t="shared" si="48"/>
        <v/>
      </c>
    </row>
    <row r="3093" spans="1:1" x14ac:dyDescent="0.2">
      <c r="A3093" s="12" t="str">
        <f t="shared" si="48"/>
        <v/>
      </c>
    </row>
    <row r="3094" spans="1:1" x14ac:dyDescent="0.2">
      <c r="A3094" s="12" t="str">
        <f t="shared" si="48"/>
        <v/>
      </c>
    </row>
    <row r="3095" spans="1:1" x14ac:dyDescent="0.2">
      <c r="A3095" s="12" t="str">
        <f t="shared" si="48"/>
        <v/>
      </c>
    </row>
    <row r="3096" spans="1:1" x14ac:dyDescent="0.2">
      <c r="A3096" s="12" t="str">
        <f t="shared" si="48"/>
        <v/>
      </c>
    </row>
    <row r="3097" spans="1:1" x14ac:dyDescent="0.2">
      <c r="A3097" s="12" t="str">
        <f t="shared" si="48"/>
        <v/>
      </c>
    </row>
    <row r="3098" spans="1:1" x14ac:dyDescent="0.2">
      <c r="A3098" s="12" t="str">
        <f t="shared" si="48"/>
        <v/>
      </c>
    </row>
    <row r="3099" spans="1:1" x14ac:dyDescent="0.2">
      <c r="A3099" s="12" t="str">
        <f t="shared" si="48"/>
        <v/>
      </c>
    </row>
    <row r="3100" spans="1:1" x14ac:dyDescent="0.2">
      <c r="A3100" s="12" t="str">
        <f t="shared" si="48"/>
        <v/>
      </c>
    </row>
    <row r="3101" spans="1:1" x14ac:dyDescent="0.2">
      <c r="A3101" s="12" t="str">
        <f t="shared" si="48"/>
        <v/>
      </c>
    </row>
    <row r="3102" spans="1:1" x14ac:dyDescent="0.2">
      <c r="A3102" s="12" t="str">
        <f t="shared" si="48"/>
        <v/>
      </c>
    </row>
    <row r="3103" spans="1:1" x14ac:dyDescent="0.2">
      <c r="A3103" s="12" t="str">
        <f t="shared" si="48"/>
        <v/>
      </c>
    </row>
    <row r="3104" spans="1:1" x14ac:dyDescent="0.2">
      <c r="A3104" s="12" t="str">
        <f t="shared" si="48"/>
        <v/>
      </c>
    </row>
    <row r="3105" spans="1:1" x14ac:dyDescent="0.2">
      <c r="A3105" s="12" t="str">
        <f t="shared" si="48"/>
        <v/>
      </c>
    </row>
    <row r="3106" spans="1:1" x14ac:dyDescent="0.2">
      <c r="A3106" s="12" t="str">
        <f t="shared" si="48"/>
        <v/>
      </c>
    </row>
    <row r="3107" spans="1:1" x14ac:dyDescent="0.2">
      <c r="A3107" s="12" t="str">
        <f t="shared" si="48"/>
        <v/>
      </c>
    </row>
    <row r="3108" spans="1:1" x14ac:dyDescent="0.2">
      <c r="A3108" s="12" t="str">
        <f t="shared" si="48"/>
        <v/>
      </c>
    </row>
    <row r="3109" spans="1:1" x14ac:dyDescent="0.2">
      <c r="A3109" s="12" t="str">
        <f t="shared" si="48"/>
        <v/>
      </c>
    </row>
    <row r="3110" spans="1:1" x14ac:dyDescent="0.2">
      <c r="A3110" s="12" t="str">
        <f t="shared" si="48"/>
        <v/>
      </c>
    </row>
    <row r="3111" spans="1:1" x14ac:dyDescent="0.2">
      <c r="A3111" s="12" t="str">
        <f t="shared" si="48"/>
        <v/>
      </c>
    </row>
    <row r="3112" spans="1:1" x14ac:dyDescent="0.2">
      <c r="A3112" s="12" t="str">
        <f t="shared" si="48"/>
        <v/>
      </c>
    </row>
    <row r="3113" spans="1:1" x14ac:dyDescent="0.2">
      <c r="A3113" s="12" t="str">
        <f t="shared" si="48"/>
        <v/>
      </c>
    </row>
    <row r="3114" spans="1:1" x14ac:dyDescent="0.2">
      <c r="A3114" s="12" t="str">
        <f t="shared" si="48"/>
        <v/>
      </c>
    </row>
    <row r="3115" spans="1:1" x14ac:dyDescent="0.2">
      <c r="A3115" s="12" t="str">
        <f t="shared" si="48"/>
        <v/>
      </c>
    </row>
    <row r="3116" spans="1:1" x14ac:dyDescent="0.2">
      <c r="A3116" s="12" t="str">
        <f t="shared" si="48"/>
        <v/>
      </c>
    </row>
    <row r="3117" spans="1:1" x14ac:dyDescent="0.2">
      <c r="A3117" s="12" t="str">
        <f t="shared" si="48"/>
        <v/>
      </c>
    </row>
    <row r="3118" spans="1:1" x14ac:dyDescent="0.2">
      <c r="A3118" s="12" t="str">
        <f t="shared" si="48"/>
        <v/>
      </c>
    </row>
    <row r="3119" spans="1:1" x14ac:dyDescent="0.2">
      <c r="A3119" s="12" t="str">
        <f t="shared" si="48"/>
        <v/>
      </c>
    </row>
    <row r="3120" spans="1:1" x14ac:dyDescent="0.2">
      <c r="A3120" s="12" t="str">
        <f t="shared" si="48"/>
        <v/>
      </c>
    </row>
    <row r="3121" spans="1:1" x14ac:dyDescent="0.2">
      <c r="A3121" s="12" t="str">
        <f t="shared" si="48"/>
        <v/>
      </c>
    </row>
    <row r="3122" spans="1:1" x14ac:dyDescent="0.2">
      <c r="A3122" s="12" t="str">
        <f t="shared" si="48"/>
        <v/>
      </c>
    </row>
    <row r="3123" spans="1:1" x14ac:dyDescent="0.2">
      <c r="A3123" s="12" t="str">
        <f t="shared" si="48"/>
        <v/>
      </c>
    </row>
    <row r="3124" spans="1:1" x14ac:dyDescent="0.2">
      <c r="A3124" s="12" t="str">
        <f t="shared" si="48"/>
        <v/>
      </c>
    </row>
    <row r="3125" spans="1:1" x14ac:dyDescent="0.2">
      <c r="A3125" s="12" t="str">
        <f t="shared" si="48"/>
        <v/>
      </c>
    </row>
    <row r="3126" spans="1:1" x14ac:dyDescent="0.2">
      <c r="A3126" s="12" t="str">
        <f t="shared" si="48"/>
        <v/>
      </c>
    </row>
    <row r="3127" spans="1:1" x14ac:dyDescent="0.2">
      <c r="A3127" s="12" t="str">
        <f t="shared" si="48"/>
        <v/>
      </c>
    </row>
    <row r="3128" spans="1:1" x14ac:dyDescent="0.2">
      <c r="A3128" s="12" t="str">
        <f t="shared" si="48"/>
        <v/>
      </c>
    </row>
    <row r="3129" spans="1:1" x14ac:dyDescent="0.2">
      <c r="A3129" s="12" t="str">
        <f t="shared" si="48"/>
        <v/>
      </c>
    </row>
    <row r="3130" spans="1:1" x14ac:dyDescent="0.2">
      <c r="A3130" s="12" t="str">
        <f t="shared" si="48"/>
        <v/>
      </c>
    </row>
    <row r="3131" spans="1:1" x14ac:dyDescent="0.2">
      <c r="A3131" s="12" t="str">
        <f t="shared" si="48"/>
        <v/>
      </c>
    </row>
    <row r="3132" spans="1:1" x14ac:dyDescent="0.2">
      <c r="A3132" s="12" t="str">
        <f t="shared" si="48"/>
        <v/>
      </c>
    </row>
    <row r="3133" spans="1:1" x14ac:dyDescent="0.2">
      <c r="A3133" s="12" t="str">
        <f t="shared" si="48"/>
        <v/>
      </c>
    </row>
    <row r="3134" spans="1:1" x14ac:dyDescent="0.2">
      <c r="A3134" s="12" t="str">
        <f t="shared" si="48"/>
        <v/>
      </c>
    </row>
    <row r="3135" spans="1:1" x14ac:dyDescent="0.2">
      <c r="A3135" s="12" t="str">
        <f t="shared" si="48"/>
        <v/>
      </c>
    </row>
    <row r="3136" spans="1:1" x14ac:dyDescent="0.2">
      <c r="A3136" s="12" t="str">
        <f t="shared" si="48"/>
        <v/>
      </c>
    </row>
    <row r="3137" spans="1:1" x14ac:dyDescent="0.2">
      <c r="A3137" s="12" t="str">
        <f t="shared" si="48"/>
        <v/>
      </c>
    </row>
    <row r="3138" spans="1:1" x14ac:dyDescent="0.2">
      <c r="A3138" s="12" t="str">
        <f t="shared" ref="A3138:A3201" si="49">IF(INDEX($AJ:$AJ,ROW())="","",HYPERLINK(INDEX($AJ:$AJ,ROW()),"Open"))</f>
        <v/>
      </c>
    </row>
    <row r="3139" spans="1:1" x14ac:dyDescent="0.2">
      <c r="A3139" s="12" t="str">
        <f t="shared" si="49"/>
        <v/>
      </c>
    </row>
    <row r="3140" spans="1:1" x14ac:dyDescent="0.2">
      <c r="A3140" s="12" t="str">
        <f t="shared" si="49"/>
        <v/>
      </c>
    </row>
    <row r="3141" spans="1:1" x14ac:dyDescent="0.2">
      <c r="A3141" s="12" t="str">
        <f t="shared" si="49"/>
        <v/>
      </c>
    </row>
    <row r="3142" spans="1:1" x14ac:dyDescent="0.2">
      <c r="A3142" s="12" t="str">
        <f t="shared" si="49"/>
        <v/>
      </c>
    </row>
    <row r="3143" spans="1:1" x14ac:dyDescent="0.2">
      <c r="A3143" s="12" t="str">
        <f t="shared" si="49"/>
        <v/>
      </c>
    </row>
    <row r="3144" spans="1:1" x14ac:dyDescent="0.2">
      <c r="A3144" s="12" t="str">
        <f t="shared" si="49"/>
        <v/>
      </c>
    </row>
    <row r="3145" spans="1:1" x14ac:dyDescent="0.2">
      <c r="A3145" s="12" t="str">
        <f t="shared" si="49"/>
        <v/>
      </c>
    </row>
    <row r="3146" spans="1:1" x14ac:dyDescent="0.2">
      <c r="A3146" s="12" t="str">
        <f t="shared" si="49"/>
        <v/>
      </c>
    </row>
    <row r="3147" spans="1:1" x14ac:dyDescent="0.2">
      <c r="A3147" s="12" t="str">
        <f t="shared" si="49"/>
        <v/>
      </c>
    </row>
    <row r="3148" spans="1:1" x14ac:dyDescent="0.2">
      <c r="A3148" s="12" t="str">
        <f t="shared" si="49"/>
        <v/>
      </c>
    </row>
    <row r="3149" spans="1:1" x14ac:dyDescent="0.2">
      <c r="A3149" s="12" t="str">
        <f t="shared" si="49"/>
        <v/>
      </c>
    </row>
    <row r="3150" spans="1:1" x14ac:dyDescent="0.2">
      <c r="A3150" s="12" t="str">
        <f t="shared" si="49"/>
        <v/>
      </c>
    </row>
    <row r="3151" spans="1:1" x14ac:dyDescent="0.2">
      <c r="A3151" s="12" t="str">
        <f t="shared" si="49"/>
        <v/>
      </c>
    </row>
    <row r="3152" spans="1:1" x14ac:dyDescent="0.2">
      <c r="A3152" s="12" t="str">
        <f t="shared" si="49"/>
        <v/>
      </c>
    </row>
    <row r="3153" spans="1:1" x14ac:dyDescent="0.2">
      <c r="A3153" s="12" t="str">
        <f t="shared" si="49"/>
        <v/>
      </c>
    </row>
    <row r="3154" spans="1:1" x14ac:dyDescent="0.2">
      <c r="A3154" s="12" t="str">
        <f t="shared" si="49"/>
        <v/>
      </c>
    </row>
    <row r="3155" spans="1:1" x14ac:dyDescent="0.2">
      <c r="A3155" s="12" t="str">
        <f t="shared" si="49"/>
        <v/>
      </c>
    </row>
    <row r="3156" spans="1:1" x14ac:dyDescent="0.2">
      <c r="A3156" s="12" t="str">
        <f t="shared" si="49"/>
        <v/>
      </c>
    </row>
    <row r="3157" spans="1:1" x14ac:dyDescent="0.2">
      <c r="A3157" s="12" t="str">
        <f t="shared" si="49"/>
        <v/>
      </c>
    </row>
    <row r="3158" spans="1:1" x14ac:dyDescent="0.2">
      <c r="A3158" s="12" t="str">
        <f t="shared" si="49"/>
        <v/>
      </c>
    </row>
    <row r="3159" spans="1:1" x14ac:dyDescent="0.2">
      <c r="A3159" s="12" t="str">
        <f t="shared" si="49"/>
        <v/>
      </c>
    </row>
    <row r="3160" spans="1:1" x14ac:dyDescent="0.2">
      <c r="A3160" s="12" t="str">
        <f t="shared" si="49"/>
        <v/>
      </c>
    </row>
    <row r="3161" spans="1:1" x14ac:dyDescent="0.2">
      <c r="A3161" s="12" t="str">
        <f t="shared" si="49"/>
        <v/>
      </c>
    </row>
    <row r="3162" spans="1:1" x14ac:dyDescent="0.2">
      <c r="A3162" s="12" t="str">
        <f t="shared" si="49"/>
        <v/>
      </c>
    </row>
    <row r="3163" spans="1:1" x14ac:dyDescent="0.2">
      <c r="A3163" s="12" t="str">
        <f t="shared" si="49"/>
        <v/>
      </c>
    </row>
    <row r="3164" spans="1:1" x14ac:dyDescent="0.2">
      <c r="A3164" s="12" t="str">
        <f t="shared" si="49"/>
        <v/>
      </c>
    </row>
    <row r="3165" spans="1:1" x14ac:dyDescent="0.2">
      <c r="A3165" s="12" t="str">
        <f t="shared" si="49"/>
        <v/>
      </c>
    </row>
    <row r="3166" spans="1:1" x14ac:dyDescent="0.2">
      <c r="A3166" s="12" t="str">
        <f t="shared" si="49"/>
        <v/>
      </c>
    </row>
    <row r="3167" spans="1:1" x14ac:dyDescent="0.2">
      <c r="A3167" s="12" t="str">
        <f t="shared" si="49"/>
        <v/>
      </c>
    </row>
    <row r="3168" spans="1:1" x14ac:dyDescent="0.2">
      <c r="A3168" s="12" t="str">
        <f t="shared" si="49"/>
        <v/>
      </c>
    </row>
    <row r="3169" spans="1:1" x14ac:dyDescent="0.2">
      <c r="A3169" s="12" t="str">
        <f t="shared" si="49"/>
        <v/>
      </c>
    </row>
    <row r="3170" spans="1:1" x14ac:dyDescent="0.2">
      <c r="A3170" s="12" t="str">
        <f t="shared" si="49"/>
        <v/>
      </c>
    </row>
    <row r="3171" spans="1:1" x14ac:dyDescent="0.2">
      <c r="A3171" s="12" t="str">
        <f t="shared" si="49"/>
        <v/>
      </c>
    </row>
    <row r="3172" spans="1:1" x14ac:dyDescent="0.2">
      <c r="A3172" s="12" t="str">
        <f t="shared" si="49"/>
        <v/>
      </c>
    </row>
    <row r="3173" spans="1:1" x14ac:dyDescent="0.2">
      <c r="A3173" s="12" t="str">
        <f t="shared" si="49"/>
        <v/>
      </c>
    </row>
    <row r="3174" spans="1:1" x14ac:dyDescent="0.2">
      <c r="A3174" s="12" t="str">
        <f t="shared" si="49"/>
        <v/>
      </c>
    </row>
    <row r="3175" spans="1:1" x14ac:dyDescent="0.2">
      <c r="A3175" s="12" t="str">
        <f t="shared" si="49"/>
        <v/>
      </c>
    </row>
    <row r="3176" spans="1:1" x14ac:dyDescent="0.2">
      <c r="A3176" s="12" t="str">
        <f t="shared" si="49"/>
        <v/>
      </c>
    </row>
    <row r="3177" spans="1:1" x14ac:dyDescent="0.2">
      <c r="A3177" s="12" t="str">
        <f t="shared" si="49"/>
        <v/>
      </c>
    </row>
    <row r="3178" spans="1:1" x14ac:dyDescent="0.2">
      <c r="A3178" s="12" t="str">
        <f t="shared" si="49"/>
        <v/>
      </c>
    </row>
    <row r="3179" spans="1:1" x14ac:dyDescent="0.2">
      <c r="A3179" s="12" t="str">
        <f t="shared" si="49"/>
        <v/>
      </c>
    </row>
    <row r="3180" spans="1:1" x14ac:dyDescent="0.2">
      <c r="A3180" s="12" t="str">
        <f t="shared" si="49"/>
        <v/>
      </c>
    </row>
    <row r="3181" spans="1:1" x14ac:dyDescent="0.2">
      <c r="A3181" s="12" t="str">
        <f t="shared" si="49"/>
        <v/>
      </c>
    </row>
    <row r="3182" spans="1:1" x14ac:dyDescent="0.2">
      <c r="A3182" s="12" t="str">
        <f t="shared" si="49"/>
        <v/>
      </c>
    </row>
    <row r="3183" spans="1:1" x14ac:dyDescent="0.2">
      <c r="A3183" s="12" t="str">
        <f t="shared" si="49"/>
        <v/>
      </c>
    </row>
    <row r="3184" spans="1:1" x14ac:dyDescent="0.2">
      <c r="A3184" s="12" t="str">
        <f t="shared" si="49"/>
        <v/>
      </c>
    </row>
    <row r="3185" spans="1:1" x14ac:dyDescent="0.2">
      <c r="A3185" s="12" t="str">
        <f t="shared" si="49"/>
        <v/>
      </c>
    </row>
    <row r="3186" spans="1:1" x14ac:dyDescent="0.2">
      <c r="A3186" s="12" t="str">
        <f t="shared" si="49"/>
        <v/>
      </c>
    </row>
    <row r="3187" spans="1:1" x14ac:dyDescent="0.2">
      <c r="A3187" s="12" t="str">
        <f t="shared" si="49"/>
        <v/>
      </c>
    </row>
    <row r="3188" spans="1:1" x14ac:dyDescent="0.2">
      <c r="A3188" s="12" t="str">
        <f t="shared" si="49"/>
        <v/>
      </c>
    </row>
    <row r="3189" spans="1:1" x14ac:dyDescent="0.2">
      <c r="A3189" s="12" t="str">
        <f t="shared" si="49"/>
        <v/>
      </c>
    </row>
    <row r="3190" spans="1:1" x14ac:dyDescent="0.2">
      <c r="A3190" s="12" t="str">
        <f t="shared" si="49"/>
        <v/>
      </c>
    </row>
    <row r="3191" spans="1:1" x14ac:dyDescent="0.2">
      <c r="A3191" s="12" t="str">
        <f t="shared" si="49"/>
        <v/>
      </c>
    </row>
    <row r="3192" spans="1:1" x14ac:dyDescent="0.2">
      <c r="A3192" s="12" t="str">
        <f t="shared" si="49"/>
        <v/>
      </c>
    </row>
    <row r="3193" spans="1:1" x14ac:dyDescent="0.2">
      <c r="A3193" s="12" t="str">
        <f t="shared" si="49"/>
        <v/>
      </c>
    </row>
    <row r="3194" spans="1:1" x14ac:dyDescent="0.2">
      <c r="A3194" s="12" t="str">
        <f t="shared" si="49"/>
        <v/>
      </c>
    </row>
    <row r="3195" spans="1:1" x14ac:dyDescent="0.2">
      <c r="A3195" s="12" t="str">
        <f t="shared" si="49"/>
        <v/>
      </c>
    </row>
    <row r="3196" spans="1:1" x14ac:dyDescent="0.2">
      <c r="A3196" s="12" t="str">
        <f t="shared" si="49"/>
        <v/>
      </c>
    </row>
    <row r="3197" spans="1:1" x14ac:dyDescent="0.2">
      <c r="A3197" s="12" t="str">
        <f t="shared" si="49"/>
        <v/>
      </c>
    </row>
    <row r="3198" spans="1:1" x14ac:dyDescent="0.2">
      <c r="A3198" s="12" t="str">
        <f t="shared" si="49"/>
        <v/>
      </c>
    </row>
    <row r="3199" spans="1:1" x14ac:dyDescent="0.2">
      <c r="A3199" s="12" t="str">
        <f t="shared" si="49"/>
        <v/>
      </c>
    </row>
    <row r="3200" spans="1:1" x14ac:dyDescent="0.2">
      <c r="A3200" s="12" t="str">
        <f t="shared" si="49"/>
        <v/>
      </c>
    </row>
    <row r="3201" spans="1:1" x14ac:dyDescent="0.2">
      <c r="A3201" s="12" t="str">
        <f t="shared" si="49"/>
        <v/>
      </c>
    </row>
    <row r="3202" spans="1:1" x14ac:dyDescent="0.2">
      <c r="A3202" s="12" t="str">
        <f t="shared" ref="A3202:A3265" si="50">IF(INDEX($AJ:$AJ,ROW())="","",HYPERLINK(INDEX($AJ:$AJ,ROW()),"Open"))</f>
        <v/>
      </c>
    </row>
    <row r="3203" spans="1:1" x14ac:dyDescent="0.2">
      <c r="A3203" s="12" t="str">
        <f t="shared" si="50"/>
        <v/>
      </c>
    </row>
    <row r="3204" spans="1:1" x14ac:dyDescent="0.2">
      <c r="A3204" s="12" t="str">
        <f t="shared" si="50"/>
        <v/>
      </c>
    </row>
    <row r="3205" spans="1:1" x14ac:dyDescent="0.2">
      <c r="A3205" s="12" t="str">
        <f t="shared" si="50"/>
        <v/>
      </c>
    </row>
    <row r="3206" spans="1:1" x14ac:dyDescent="0.2">
      <c r="A3206" s="12" t="str">
        <f t="shared" si="50"/>
        <v/>
      </c>
    </row>
    <row r="3207" spans="1:1" x14ac:dyDescent="0.2">
      <c r="A3207" s="12" t="str">
        <f t="shared" si="50"/>
        <v/>
      </c>
    </row>
    <row r="3208" spans="1:1" x14ac:dyDescent="0.2">
      <c r="A3208" s="12" t="str">
        <f t="shared" si="50"/>
        <v/>
      </c>
    </row>
    <row r="3209" spans="1:1" x14ac:dyDescent="0.2">
      <c r="A3209" s="12" t="str">
        <f t="shared" si="50"/>
        <v/>
      </c>
    </row>
    <row r="3210" spans="1:1" x14ac:dyDescent="0.2">
      <c r="A3210" s="12" t="str">
        <f t="shared" si="50"/>
        <v/>
      </c>
    </row>
    <row r="3211" spans="1:1" x14ac:dyDescent="0.2">
      <c r="A3211" s="12" t="str">
        <f t="shared" si="50"/>
        <v/>
      </c>
    </row>
    <row r="3212" spans="1:1" x14ac:dyDescent="0.2">
      <c r="A3212" s="12" t="str">
        <f t="shared" si="50"/>
        <v/>
      </c>
    </row>
    <row r="3213" spans="1:1" x14ac:dyDescent="0.2">
      <c r="A3213" s="12" t="str">
        <f t="shared" si="50"/>
        <v/>
      </c>
    </row>
    <row r="3214" spans="1:1" x14ac:dyDescent="0.2">
      <c r="A3214" s="12" t="str">
        <f t="shared" si="50"/>
        <v/>
      </c>
    </row>
    <row r="3215" spans="1:1" x14ac:dyDescent="0.2">
      <c r="A3215" s="12" t="str">
        <f t="shared" si="50"/>
        <v/>
      </c>
    </row>
    <row r="3216" spans="1:1" x14ac:dyDescent="0.2">
      <c r="A3216" s="12" t="str">
        <f t="shared" si="50"/>
        <v/>
      </c>
    </row>
    <row r="3217" spans="1:1" x14ac:dyDescent="0.2">
      <c r="A3217" s="12" t="str">
        <f t="shared" si="50"/>
        <v/>
      </c>
    </row>
    <row r="3218" spans="1:1" x14ac:dyDescent="0.2">
      <c r="A3218" s="12" t="str">
        <f t="shared" si="50"/>
        <v/>
      </c>
    </row>
    <row r="3219" spans="1:1" x14ac:dyDescent="0.2">
      <c r="A3219" s="12" t="str">
        <f t="shared" si="50"/>
        <v/>
      </c>
    </row>
    <row r="3220" spans="1:1" x14ac:dyDescent="0.2">
      <c r="A3220" s="12" t="str">
        <f t="shared" si="50"/>
        <v/>
      </c>
    </row>
    <row r="3221" spans="1:1" x14ac:dyDescent="0.2">
      <c r="A3221" s="12" t="str">
        <f t="shared" si="50"/>
        <v/>
      </c>
    </row>
    <row r="3222" spans="1:1" x14ac:dyDescent="0.2">
      <c r="A3222" s="12" t="str">
        <f t="shared" si="50"/>
        <v/>
      </c>
    </row>
    <row r="3223" spans="1:1" x14ac:dyDescent="0.2">
      <c r="A3223" s="12" t="str">
        <f t="shared" si="50"/>
        <v/>
      </c>
    </row>
    <row r="3224" spans="1:1" x14ac:dyDescent="0.2">
      <c r="A3224" s="12" t="str">
        <f t="shared" si="50"/>
        <v/>
      </c>
    </row>
    <row r="3225" spans="1:1" x14ac:dyDescent="0.2">
      <c r="A3225" s="12" t="str">
        <f t="shared" si="50"/>
        <v/>
      </c>
    </row>
    <row r="3226" spans="1:1" x14ac:dyDescent="0.2">
      <c r="A3226" s="12" t="str">
        <f t="shared" si="50"/>
        <v/>
      </c>
    </row>
    <row r="3227" spans="1:1" x14ac:dyDescent="0.2">
      <c r="A3227" s="12" t="str">
        <f t="shared" si="50"/>
        <v/>
      </c>
    </row>
    <row r="3228" spans="1:1" x14ac:dyDescent="0.2">
      <c r="A3228" s="12" t="str">
        <f t="shared" si="50"/>
        <v/>
      </c>
    </row>
    <row r="3229" spans="1:1" x14ac:dyDescent="0.2">
      <c r="A3229" s="12" t="str">
        <f t="shared" si="50"/>
        <v/>
      </c>
    </row>
    <row r="3230" spans="1:1" x14ac:dyDescent="0.2">
      <c r="A3230" s="12" t="str">
        <f t="shared" si="50"/>
        <v/>
      </c>
    </row>
    <row r="3231" spans="1:1" x14ac:dyDescent="0.2">
      <c r="A3231" s="12" t="str">
        <f t="shared" si="50"/>
        <v/>
      </c>
    </row>
    <row r="3232" spans="1:1" x14ac:dyDescent="0.2">
      <c r="A3232" s="12" t="str">
        <f t="shared" si="50"/>
        <v/>
      </c>
    </row>
    <row r="3233" spans="1:1" x14ac:dyDescent="0.2">
      <c r="A3233" s="12" t="str">
        <f t="shared" si="50"/>
        <v/>
      </c>
    </row>
    <row r="3234" spans="1:1" x14ac:dyDescent="0.2">
      <c r="A3234" s="12" t="str">
        <f t="shared" si="50"/>
        <v/>
      </c>
    </row>
    <row r="3235" spans="1:1" x14ac:dyDescent="0.2">
      <c r="A3235" s="12" t="str">
        <f t="shared" si="50"/>
        <v/>
      </c>
    </row>
    <row r="3236" spans="1:1" x14ac:dyDescent="0.2">
      <c r="A3236" s="12" t="str">
        <f t="shared" si="50"/>
        <v/>
      </c>
    </row>
    <row r="3237" spans="1:1" x14ac:dyDescent="0.2">
      <c r="A3237" s="12" t="str">
        <f t="shared" si="50"/>
        <v/>
      </c>
    </row>
    <row r="3238" spans="1:1" x14ac:dyDescent="0.2">
      <c r="A3238" s="12" t="str">
        <f t="shared" si="50"/>
        <v/>
      </c>
    </row>
    <row r="3239" spans="1:1" x14ac:dyDescent="0.2">
      <c r="A3239" s="12" t="str">
        <f t="shared" si="50"/>
        <v/>
      </c>
    </row>
    <row r="3240" spans="1:1" x14ac:dyDescent="0.2">
      <c r="A3240" s="12" t="str">
        <f t="shared" si="50"/>
        <v/>
      </c>
    </row>
    <row r="3241" spans="1:1" x14ac:dyDescent="0.2">
      <c r="A3241" s="12" t="str">
        <f t="shared" si="50"/>
        <v/>
      </c>
    </row>
    <row r="3242" spans="1:1" x14ac:dyDescent="0.2">
      <c r="A3242" s="12" t="str">
        <f t="shared" si="50"/>
        <v/>
      </c>
    </row>
    <row r="3243" spans="1:1" x14ac:dyDescent="0.2">
      <c r="A3243" s="12" t="str">
        <f t="shared" si="50"/>
        <v/>
      </c>
    </row>
    <row r="3244" spans="1:1" x14ac:dyDescent="0.2">
      <c r="A3244" s="12" t="str">
        <f t="shared" si="50"/>
        <v/>
      </c>
    </row>
    <row r="3245" spans="1:1" x14ac:dyDescent="0.2">
      <c r="A3245" s="12" t="str">
        <f t="shared" si="50"/>
        <v/>
      </c>
    </row>
    <row r="3246" spans="1:1" x14ac:dyDescent="0.2">
      <c r="A3246" s="12" t="str">
        <f t="shared" si="50"/>
        <v/>
      </c>
    </row>
    <row r="3247" spans="1:1" x14ac:dyDescent="0.2">
      <c r="A3247" s="12" t="str">
        <f t="shared" si="50"/>
        <v/>
      </c>
    </row>
    <row r="3248" spans="1:1" x14ac:dyDescent="0.2">
      <c r="A3248" s="12" t="str">
        <f t="shared" si="50"/>
        <v/>
      </c>
    </row>
    <row r="3249" spans="1:1" x14ac:dyDescent="0.2">
      <c r="A3249" s="12" t="str">
        <f t="shared" si="50"/>
        <v/>
      </c>
    </row>
    <row r="3250" spans="1:1" x14ac:dyDescent="0.2">
      <c r="A3250" s="12" t="str">
        <f t="shared" si="50"/>
        <v/>
      </c>
    </row>
    <row r="3251" spans="1:1" x14ac:dyDescent="0.2">
      <c r="A3251" s="12" t="str">
        <f t="shared" si="50"/>
        <v/>
      </c>
    </row>
    <row r="3252" spans="1:1" x14ac:dyDescent="0.2">
      <c r="A3252" s="12" t="str">
        <f t="shared" si="50"/>
        <v/>
      </c>
    </row>
    <row r="3253" spans="1:1" x14ac:dyDescent="0.2">
      <c r="A3253" s="12" t="str">
        <f t="shared" si="50"/>
        <v/>
      </c>
    </row>
    <row r="3254" spans="1:1" x14ac:dyDescent="0.2">
      <c r="A3254" s="12" t="str">
        <f t="shared" si="50"/>
        <v/>
      </c>
    </row>
    <row r="3255" spans="1:1" x14ac:dyDescent="0.2">
      <c r="A3255" s="12" t="str">
        <f t="shared" si="50"/>
        <v/>
      </c>
    </row>
    <row r="3256" spans="1:1" x14ac:dyDescent="0.2">
      <c r="A3256" s="12" t="str">
        <f t="shared" si="50"/>
        <v/>
      </c>
    </row>
    <row r="3257" spans="1:1" x14ac:dyDescent="0.2">
      <c r="A3257" s="12" t="str">
        <f t="shared" si="50"/>
        <v/>
      </c>
    </row>
    <row r="3258" spans="1:1" x14ac:dyDescent="0.2">
      <c r="A3258" s="12" t="str">
        <f t="shared" si="50"/>
        <v/>
      </c>
    </row>
    <row r="3259" spans="1:1" x14ac:dyDescent="0.2">
      <c r="A3259" s="12" t="str">
        <f t="shared" si="50"/>
        <v/>
      </c>
    </row>
    <row r="3260" spans="1:1" x14ac:dyDescent="0.2">
      <c r="A3260" s="12" t="str">
        <f t="shared" si="50"/>
        <v/>
      </c>
    </row>
    <row r="3261" spans="1:1" x14ac:dyDescent="0.2">
      <c r="A3261" s="12" t="str">
        <f t="shared" si="50"/>
        <v/>
      </c>
    </row>
    <row r="3262" spans="1:1" x14ac:dyDescent="0.2">
      <c r="A3262" s="12" t="str">
        <f t="shared" si="50"/>
        <v/>
      </c>
    </row>
    <row r="3263" spans="1:1" x14ac:dyDescent="0.2">
      <c r="A3263" s="12" t="str">
        <f t="shared" si="50"/>
        <v/>
      </c>
    </row>
    <row r="3264" spans="1:1" x14ac:dyDescent="0.2">
      <c r="A3264" s="12" t="str">
        <f t="shared" si="50"/>
        <v/>
      </c>
    </row>
    <row r="3265" spans="1:1" x14ac:dyDescent="0.2">
      <c r="A3265" s="12" t="str">
        <f t="shared" si="50"/>
        <v/>
      </c>
    </row>
    <row r="3266" spans="1:1" x14ac:dyDescent="0.2">
      <c r="A3266" s="12" t="str">
        <f t="shared" ref="A3266:A3329" si="51">IF(INDEX($AJ:$AJ,ROW())="","",HYPERLINK(INDEX($AJ:$AJ,ROW()),"Open"))</f>
        <v/>
      </c>
    </row>
    <row r="3267" spans="1:1" x14ac:dyDescent="0.2">
      <c r="A3267" s="12" t="str">
        <f t="shared" si="51"/>
        <v/>
      </c>
    </row>
    <row r="3268" spans="1:1" x14ac:dyDescent="0.2">
      <c r="A3268" s="12" t="str">
        <f t="shared" si="51"/>
        <v/>
      </c>
    </row>
    <row r="3269" spans="1:1" x14ac:dyDescent="0.2">
      <c r="A3269" s="12" t="str">
        <f t="shared" si="51"/>
        <v/>
      </c>
    </row>
    <row r="3270" spans="1:1" x14ac:dyDescent="0.2">
      <c r="A3270" s="12" t="str">
        <f t="shared" si="51"/>
        <v/>
      </c>
    </row>
    <row r="3271" spans="1:1" x14ac:dyDescent="0.2">
      <c r="A3271" s="12" t="str">
        <f t="shared" si="51"/>
        <v/>
      </c>
    </row>
    <row r="3272" spans="1:1" x14ac:dyDescent="0.2">
      <c r="A3272" s="12" t="str">
        <f t="shared" si="51"/>
        <v/>
      </c>
    </row>
    <row r="3273" spans="1:1" x14ac:dyDescent="0.2">
      <c r="A3273" s="12" t="str">
        <f t="shared" si="51"/>
        <v/>
      </c>
    </row>
    <row r="3274" spans="1:1" x14ac:dyDescent="0.2">
      <c r="A3274" s="12" t="str">
        <f t="shared" si="51"/>
        <v/>
      </c>
    </row>
    <row r="3275" spans="1:1" x14ac:dyDescent="0.2">
      <c r="A3275" s="12" t="str">
        <f t="shared" si="51"/>
        <v/>
      </c>
    </row>
    <row r="3276" spans="1:1" x14ac:dyDescent="0.2">
      <c r="A3276" s="12" t="str">
        <f t="shared" si="51"/>
        <v/>
      </c>
    </row>
    <row r="3277" spans="1:1" x14ac:dyDescent="0.2">
      <c r="A3277" s="12" t="str">
        <f t="shared" si="51"/>
        <v/>
      </c>
    </row>
    <row r="3278" spans="1:1" x14ac:dyDescent="0.2">
      <c r="A3278" s="12" t="str">
        <f t="shared" si="51"/>
        <v/>
      </c>
    </row>
    <row r="3279" spans="1:1" x14ac:dyDescent="0.2">
      <c r="A3279" s="12" t="str">
        <f t="shared" si="51"/>
        <v/>
      </c>
    </row>
    <row r="3280" spans="1:1" x14ac:dyDescent="0.2">
      <c r="A3280" s="12" t="str">
        <f t="shared" si="51"/>
        <v/>
      </c>
    </row>
    <row r="3281" spans="1:1" x14ac:dyDescent="0.2">
      <c r="A3281" s="12" t="str">
        <f t="shared" si="51"/>
        <v/>
      </c>
    </row>
    <row r="3282" spans="1:1" x14ac:dyDescent="0.2">
      <c r="A3282" s="12" t="str">
        <f t="shared" si="51"/>
        <v/>
      </c>
    </row>
    <row r="3283" spans="1:1" x14ac:dyDescent="0.2">
      <c r="A3283" s="12" t="str">
        <f t="shared" si="51"/>
        <v/>
      </c>
    </row>
    <row r="3284" spans="1:1" x14ac:dyDescent="0.2">
      <c r="A3284" s="12" t="str">
        <f t="shared" si="51"/>
        <v/>
      </c>
    </row>
    <row r="3285" spans="1:1" x14ac:dyDescent="0.2">
      <c r="A3285" s="12" t="str">
        <f t="shared" si="51"/>
        <v/>
      </c>
    </row>
    <row r="3286" spans="1:1" x14ac:dyDescent="0.2">
      <c r="A3286" s="12" t="str">
        <f t="shared" si="51"/>
        <v/>
      </c>
    </row>
    <row r="3287" spans="1:1" x14ac:dyDescent="0.2">
      <c r="A3287" s="12" t="str">
        <f t="shared" si="51"/>
        <v/>
      </c>
    </row>
    <row r="3288" spans="1:1" x14ac:dyDescent="0.2">
      <c r="A3288" s="12" t="str">
        <f t="shared" si="51"/>
        <v/>
      </c>
    </row>
    <row r="3289" spans="1:1" x14ac:dyDescent="0.2">
      <c r="A3289" s="12" t="str">
        <f t="shared" si="51"/>
        <v/>
      </c>
    </row>
    <row r="3290" spans="1:1" x14ac:dyDescent="0.2">
      <c r="A3290" s="12" t="str">
        <f t="shared" si="51"/>
        <v/>
      </c>
    </row>
    <row r="3291" spans="1:1" x14ac:dyDescent="0.2">
      <c r="A3291" s="12" t="str">
        <f t="shared" si="51"/>
        <v/>
      </c>
    </row>
    <row r="3292" spans="1:1" x14ac:dyDescent="0.2">
      <c r="A3292" s="12" t="str">
        <f t="shared" si="51"/>
        <v/>
      </c>
    </row>
    <row r="3293" spans="1:1" x14ac:dyDescent="0.2">
      <c r="A3293" s="12" t="str">
        <f t="shared" si="51"/>
        <v/>
      </c>
    </row>
    <row r="3294" spans="1:1" x14ac:dyDescent="0.2">
      <c r="A3294" s="12" t="str">
        <f t="shared" si="51"/>
        <v/>
      </c>
    </row>
    <row r="3295" spans="1:1" x14ac:dyDescent="0.2">
      <c r="A3295" s="12" t="str">
        <f t="shared" si="51"/>
        <v/>
      </c>
    </row>
    <row r="3296" spans="1:1" x14ac:dyDescent="0.2">
      <c r="A3296" s="12" t="str">
        <f t="shared" si="51"/>
        <v/>
      </c>
    </row>
    <row r="3297" spans="1:1" x14ac:dyDescent="0.2">
      <c r="A3297" s="12" t="str">
        <f t="shared" si="51"/>
        <v/>
      </c>
    </row>
    <row r="3298" spans="1:1" x14ac:dyDescent="0.2">
      <c r="A3298" s="12" t="str">
        <f t="shared" si="51"/>
        <v/>
      </c>
    </row>
    <row r="3299" spans="1:1" x14ac:dyDescent="0.2">
      <c r="A3299" s="12" t="str">
        <f t="shared" si="51"/>
        <v/>
      </c>
    </row>
    <row r="3300" spans="1:1" x14ac:dyDescent="0.2">
      <c r="A3300" s="12" t="str">
        <f t="shared" si="51"/>
        <v/>
      </c>
    </row>
    <row r="3301" spans="1:1" x14ac:dyDescent="0.2">
      <c r="A3301" s="12" t="str">
        <f t="shared" si="51"/>
        <v/>
      </c>
    </row>
    <row r="3302" spans="1:1" x14ac:dyDescent="0.2">
      <c r="A3302" s="12" t="str">
        <f t="shared" si="51"/>
        <v/>
      </c>
    </row>
    <row r="3303" spans="1:1" x14ac:dyDescent="0.2">
      <c r="A3303" s="12" t="str">
        <f t="shared" si="51"/>
        <v/>
      </c>
    </row>
    <row r="3304" spans="1:1" x14ac:dyDescent="0.2">
      <c r="A3304" s="12" t="str">
        <f t="shared" si="51"/>
        <v/>
      </c>
    </row>
    <row r="3305" spans="1:1" x14ac:dyDescent="0.2">
      <c r="A3305" s="12" t="str">
        <f t="shared" si="51"/>
        <v/>
      </c>
    </row>
    <row r="3306" spans="1:1" x14ac:dyDescent="0.2">
      <c r="A3306" s="12" t="str">
        <f t="shared" si="51"/>
        <v/>
      </c>
    </row>
    <row r="3307" spans="1:1" x14ac:dyDescent="0.2">
      <c r="A3307" s="12" t="str">
        <f t="shared" si="51"/>
        <v/>
      </c>
    </row>
    <row r="3308" spans="1:1" x14ac:dyDescent="0.2">
      <c r="A3308" s="12" t="str">
        <f t="shared" si="51"/>
        <v/>
      </c>
    </row>
    <row r="3309" spans="1:1" x14ac:dyDescent="0.2">
      <c r="A3309" s="12" t="str">
        <f t="shared" si="51"/>
        <v/>
      </c>
    </row>
    <row r="3310" spans="1:1" x14ac:dyDescent="0.2">
      <c r="A3310" s="12" t="str">
        <f t="shared" si="51"/>
        <v/>
      </c>
    </row>
    <row r="3311" spans="1:1" x14ac:dyDescent="0.2">
      <c r="A3311" s="12" t="str">
        <f t="shared" si="51"/>
        <v/>
      </c>
    </row>
    <row r="3312" spans="1:1" x14ac:dyDescent="0.2">
      <c r="A3312" s="12" t="str">
        <f t="shared" si="51"/>
        <v/>
      </c>
    </row>
    <row r="3313" spans="1:1" x14ac:dyDescent="0.2">
      <c r="A3313" s="12" t="str">
        <f t="shared" si="51"/>
        <v/>
      </c>
    </row>
    <row r="3314" spans="1:1" x14ac:dyDescent="0.2">
      <c r="A3314" s="12" t="str">
        <f t="shared" si="51"/>
        <v/>
      </c>
    </row>
    <row r="3315" spans="1:1" x14ac:dyDescent="0.2">
      <c r="A3315" s="12" t="str">
        <f t="shared" si="51"/>
        <v/>
      </c>
    </row>
    <row r="3316" spans="1:1" x14ac:dyDescent="0.2">
      <c r="A3316" s="12" t="str">
        <f t="shared" si="51"/>
        <v/>
      </c>
    </row>
    <row r="3317" spans="1:1" x14ac:dyDescent="0.2">
      <c r="A3317" s="12" t="str">
        <f t="shared" si="51"/>
        <v/>
      </c>
    </row>
    <row r="3318" spans="1:1" x14ac:dyDescent="0.2">
      <c r="A3318" s="12" t="str">
        <f t="shared" si="51"/>
        <v/>
      </c>
    </row>
    <row r="3319" spans="1:1" x14ac:dyDescent="0.2">
      <c r="A3319" s="12" t="str">
        <f t="shared" si="51"/>
        <v/>
      </c>
    </row>
    <row r="3320" spans="1:1" x14ac:dyDescent="0.2">
      <c r="A3320" s="12" t="str">
        <f t="shared" si="51"/>
        <v/>
      </c>
    </row>
    <row r="3321" spans="1:1" x14ac:dyDescent="0.2">
      <c r="A3321" s="12" t="str">
        <f t="shared" si="51"/>
        <v/>
      </c>
    </row>
    <row r="3322" spans="1:1" x14ac:dyDescent="0.2">
      <c r="A3322" s="12" t="str">
        <f t="shared" si="51"/>
        <v/>
      </c>
    </row>
    <row r="3323" spans="1:1" x14ac:dyDescent="0.2">
      <c r="A3323" s="12" t="str">
        <f t="shared" si="51"/>
        <v/>
      </c>
    </row>
    <row r="3324" spans="1:1" x14ac:dyDescent="0.2">
      <c r="A3324" s="12" t="str">
        <f t="shared" si="51"/>
        <v/>
      </c>
    </row>
    <row r="3325" spans="1:1" x14ac:dyDescent="0.2">
      <c r="A3325" s="12" t="str">
        <f t="shared" si="51"/>
        <v/>
      </c>
    </row>
    <row r="3326" spans="1:1" x14ac:dyDescent="0.2">
      <c r="A3326" s="12" t="str">
        <f t="shared" si="51"/>
        <v/>
      </c>
    </row>
    <row r="3327" spans="1:1" x14ac:dyDescent="0.2">
      <c r="A3327" s="12" t="str">
        <f t="shared" si="51"/>
        <v/>
      </c>
    </row>
    <row r="3328" spans="1:1" x14ac:dyDescent="0.2">
      <c r="A3328" s="12" t="str">
        <f t="shared" si="51"/>
        <v/>
      </c>
    </row>
    <row r="3329" spans="1:1" x14ac:dyDescent="0.2">
      <c r="A3329" s="12" t="str">
        <f t="shared" si="51"/>
        <v/>
      </c>
    </row>
    <row r="3330" spans="1:1" x14ac:dyDescent="0.2">
      <c r="A3330" s="12" t="str">
        <f t="shared" ref="A3330:A3393" si="52">IF(INDEX($AJ:$AJ,ROW())="","",HYPERLINK(INDEX($AJ:$AJ,ROW()),"Open"))</f>
        <v/>
      </c>
    </row>
    <row r="3331" spans="1:1" x14ac:dyDescent="0.2">
      <c r="A3331" s="12" t="str">
        <f t="shared" si="52"/>
        <v/>
      </c>
    </row>
    <row r="3332" spans="1:1" x14ac:dyDescent="0.2">
      <c r="A3332" s="12" t="str">
        <f t="shared" si="52"/>
        <v/>
      </c>
    </row>
    <row r="3333" spans="1:1" x14ac:dyDescent="0.2">
      <c r="A3333" s="12" t="str">
        <f t="shared" si="52"/>
        <v/>
      </c>
    </row>
    <row r="3334" spans="1:1" x14ac:dyDescent="0.2">
      <c r="A3334" s="12" t="str">
        <f t="shared" si="52"/>
        <v/>
      </c>
    </row>
    <row r="3335" spans="1:1" x14ac:dyDescent="0.2">
      <c r="A3335" s="12" t="str">
        <f t="shared" si="52"/>
        <v/>
      </c>
    </row>
    <row r="3336" spans="1:1" x14ac:dyDescent="0.2">
      <c r="A3336" s="12" t="str">
        <f t="shared" si="52"/>
        <v/>
      </c>
    </row>
    <row r="3337" spans="1:1" x14ac:dyDescent="0.2">
      <c r="A3337" s="12" t="str">
        <f t="shared" si="52"/>
        <v/>
      </c>
    </row>
    <row r="3338" spans="1:1" x14ac:dyDescent="0.2">
      <c r="A3338" s="12" t="str">
        <f t="shared" si="52"/>
        <v/>
      </c>
    </row>
    <row r="3339" spans="1:1" x14ac:dyDescent="0.2">
      <c r="A3339" s="12" t="str">
        <f t="shared" si="52"/>
        <v/>
      </c>
    </row>
    <row r="3340" spans="1:1" x14ac:dyDescent="0.2">
      <c r="A3340" s="12" t="str">
        <f t="shared" si="52"/>
        <v/>
      </c>
    </row>
    <row r="3341" spans="1:1" x14ac:dyDescent="0.2">
      <c r="A3341" s="12" t="str">
        <f t="shared" si="52"/>
        <v/>
      </c>
    </row>
    <row r="3342" spans="1:1" x14ac:dyDescent="0.2">
      <c r="A3342" s="12" t="str">
        <f t="shared" si="52"/>
        <v/>
      </c>
    </row>
    <row r="3343" spans="1:1" x14ac:dyDescent="0.2">
      <c r="A3343" s="12" t="str">
        <f t="shared" si="52"/>
        <v/>
      </c>
    </row>
    <row r="3344" spans="1:1" x14ac:dyDescent="0.2">
      <c r="A3344" s="12" t="str">
        <f t="shared" si="52"/>
        <v/>
      </c>
    </row>
    <row r="3345" spans="1:1" x14ac:dyDescent="0.2">
      <c r="A3345" s="12" t="str">
        <f t="shared" si="52"/>
        <v/>
      </c>
    </row>
    <row r="3346" spans="1:1" x14ac:dyDescent="0.2">
      <c r="A3346" s="12" t="str">
        <f t="shared" si="52"/>
        <v/>
      </c>
    </row>
    <row r="3347" spans="1:1" x14ac:dyDescent="0.2">
      <c r="A3347" s="12" t="str">
        <f t="shared" si="52"/>
        <v/>
      </c>
    </row>
    <row r="3348" spans="1:1" x14ac:dyDescent="0.2">
      <c r="A3348" s="12" t="str">
        <f t="shared" si="52"/>
        <v/>
      </c>
    </row>
    <row r="3349" spans="1:1" x14ac:dyDescent="0.2">
      <c r="A3349" s="12" t="str">
        <f t="shared" si="52"/>
        <v/>
      </c>
    </row>
    <row r="3350" spans="1:1" x14ac:dyDescent="0.2">
      <c r="A3350" s="12" t="str">
        <f t="shared" si="52"/>
        <v/>
      </c>
    </row>
    <row r="3351" spans="1:1" x14ac:dyDescent="0.2">
      <c r="A3351" s="12" t="str">
        <f t="shared" si="52"/>
        <v/>
      </c>
    </row>
    <row r="3352" spans="1:1" x14ac:dyDescent="0.2">
      <c r="A3352" s="12" t="str">
        <f t="shared" si="52"/>
        <v/>
      </c>
    </row>
    <row r="3353" spans="1:1" x14ac:dyDescent="0.2">
      <c r="A3353" s="12" t="str">
        <f t="shared" si="52"/>
        <v/>
      </c>
    </row>
    <row r="3354" spans="1:1" x14ac:dyDescent="0.2">
      <c r="A3354" s="12" t="str">
        <f t="shared" si="52"/>
        <v/>
      </c>
    </row>
    <row r="3355" spans="1:1" x14ac:dyDescent="0.2">
      <c r="A3355" s="12" t="str">
        <f t="shared" si="52"/>
        <v/>
      </c>
    </row>
    <row r="3356" spans="1:1" x14ac:dyDescent="0.2">
      <c r="A3356" s="12" t="str">
        <f t="shared" si="52"/>
        <v/>
      </c>
    </row>
    <row r="3357" spans="1:1" x14ac:dyDescent="0.2">
      <c r="A3357" s="12" t="str">
        <f t="shared" si="52"/>
        <v/>
      </c>
    </row>
    <row r="3358" spans="1:1" x14ac:dyDescent="0.2">
      <c r="A3358" s="12" t="str">
        <f t="shared" si="52"/>
        <v/>
      </c>
    </row>
    <row r="3359" spans="1:1" x14ac:dyDescent="0.2">
      <c r="A3359" s="12" t="str">
        <f t="shared" si="52"/>
        <v/>
      </c>
    </row>
    <row r="3360" spans="1:1" x14ac:dyDescent="0.2">
      <c r="A3360" s="12" t="str">
        <f t="shared" si="52"/>
        <v/>
      </c>
    </row>
    <row r="3361" spans="1:1" x14ac:dyDescent="0.2">
      <c r="A3361" s="12" t="str">
        <f t="shared" si="52"/>
        <v/>
      </c>
    </row>
    <row r="3362" spans="1:1" x14ac:dyDescent="0.2">
      <c r="A3362" s="12" t="str">
        <f t="shared" si="52"/>
        <v/>
      </c>
    </row>
    <row r="3363" spans="1:1" x14ac:dyDescent="0.2">
      <c r="A3363" s="12" t="str">
        <f t="shared" si="52"/>
        <v/>
      </c>
    </row>
    <row r="3364" spans="1:1" x14ac:dyDescent="0.2">
      <c r="A3364" s="12" t="str">
        <f t="shared" si="52"/>
        <v/>
      </c>
    </row>
    <row r="3365" spans="1:1" x14ac:dyDescent="0.2">
      <c r="A3365" s="12" t="str">
        <f t="shared" si="52"/>
        <v/>
      </c>
    </row>
    <row r="3366" spans="1:1" x14ac:dyDescent="0.2">
      <c r="A3366" s="12" t="str">
        <f t="shared" si="52"/>
        <v/>
      </c>
    </row>
    <row r="3367" spans="1:1" x14ac:dyDescent="0.2">
      <c r="A3367" s="12" t="str">
        <f t="shared" si="52"/>
        <v/>
      </c>
    </row>
    <row r="3368" spans="1:1" x14ac:dyDescent="0.2">
      <c r="A3368" s="12" t="str">
        <f t="shared" si="52"/>
        <v/>
      </c>
    </row>
    <row r="3369" spans="1:1" x14ac:dyDescent="0.2">
      <c r="A3369" s="12" t="str">
        <f t="shared" si="52"/>
        <v/>
      </c>
    </row>
    <row r="3370" spans="1:1" x14ac:dyDescent="0.2">
      <c r="A3370" s="12" t="str">
        <f t="shared" si="52"/>
        <v/>
      </c>
    </row>
    <row r="3371" spans="1:1" x14ac:dyDescent="0.2">
      <c r="A3371" s="12" t="str">
        <f t="shared" si="52"/>
        <v/>
      </c>
    </row>
    <row r="3372" spans="1:1" x14ac:dyDescent="0.2">
      <c r="A3372" s="12" t="str">
        <f t="shared" si="52"/>
        <v/>
      </c>
    </row>
    <row r="3373" spans="1:1" x14ac:dyDescent="0.2">
      <c r="A3373" s="12" t="str">
        <f t="shared" si="52"/>
        <v/>
      </c>
    </row>
    <row r="3374" spans="1:1" x14ac:dyDescent="0.2">
      <c r="A3374" s="12" t="str">
        <f t="shared" si="52"/>
        <v/>
      </c>
    </row>
    <row r="3375" spans="1:1" x14ac:dyDescent="0.2">
      <c r="A3375" s="12" t="str">
        <f t="shared" si="52"/>
        <v/>
      </c>
    </row>
    <row r="3376" spans="1:1" x14ac:dyDescent="0.2">
      <c r="A3376" s="12" t="str">
        <f t="shared" si="52"/>
        <v/>
      </c>
    </row>
    <row r="3377" spans="1:1" x14ac:dyDescent="0.2">
      <c r="A3377" s="12" t="str">
        <f t="shared" si="52"/>
        <v/>
      </c>
    </row>
    <row r="3378" spans="1:1" x14ac:dyDescent="0.2">
      <c r="A3378" s="12" t="str">
        <f t="shared" si="52"/>
        <v/>
      </c>
    </row>
    <row r="3379" spans="1:1" x14ac:dyDescent="0.2">
      <c r="A3379" s="12" t="str">
        <f t="shared" si="52"/>
        <v/>
      </c>
    </row>
    <row r="3380" spans="1:1" x14ac:dyDescent="0.2">
      <c r="A3380" s="12" t="str">
        <f t="shared" si="52"/>
        <v/>
      </c>
    </row>
    <row r="3381" spans="1:1" x14ac:dyDescent="0.2">
      <c r="A3381" s="12" t="str">
        <f t="shared" si="52"/>
        <v/>
      </c>
    </row>
    <row r="3382" spans="1:1" x14ac:dyDescent="0.2">
      <c r="A3382" s="12" t="str">
        <f t="shared" si="52"/>
        <v/>
      </c>
    </row>
    <row r="3383" spans="1:1" x14ac:dyDescent="0.2">
      <c r="A3383" s="12" t="str">
        <f t="shared" si="52"/>
        <v/>
      </c>
    </row>
    <row r="3384" spans="1:1" x14ac:dyDescent="0.2">
      <c r="A3384" s="12" t="str">
        <f t="shared" si="52"/>
        <v/>
      </c>
    </row>
    <row r="3385" spans="1:1" x14ac:dyDescent="0.2">
      <c r="A3385" s="12" t="str">
        <f t="shared" si="52"/>
        <v/>
      </c>
    </row>
    <row r="3386" spans="1:1" x14ac:dyDescent="0.2">
      <c r="A3386" s="12" t="str">
        <f t="shared" si="52"/>
        <v/>
      </c>
    </row>
    <row r="3387" spans="1:1" x14ac:dyDescent="0.2">
      <c r="A3387" s="12" t="str">
        <f t="shared" si="52"/>
        <v/>
      </c>
    </row>
    <row r="3388" spans="1:1" x14ac:dyDescent="0.2">
      <c r="A3388" s="12" t="str">
        <f t="shared" si="52"/>
        <v/>
      </c>
    </row>
    <row r="3389" spans="1:1" x14ac:dyDescent="0.2">
      <c r="A3389" s="12" t="str">
        <f t="shared" si="52"/>
        <v/>
      </c>
    </row>
    <row r="3390" spans="1:1" x14ac:dyDescent="0.2">
      <c r="A3390" s="12" t="str">
        <f t="shared" si="52"/>
        <v/>
      </c>
    </row>
    <row r="3391" spans="1:1" x14ac:dyDescent="0.2">
      <c r="A3391" s="12" t="str">
        <f t="shared" si="52"/>
        <v/>
      </c>
    </row>
    <row r="3392" spans="1:1" x14ac:dyDescent="0.2">
      <c r="A3392" s="12" t="str">
        <f t="shared" si="52"/>
        <v/>
      </c>
    </row>
    <row r="3393" spans="1:1" x14ac:dyDescent="0.2">
      <c r="A3393" s="12" t="str">
        <f t="shared" si="52"/>
        <v/>
      </c>
    </row>
    <row r="3394" spans="1:1" x14ac:dyDescent="0.2">
      <c r="A3394" s="12" t="str">
        <f t="shared" ref="A3394:A3457" si="53">IF(INDEX($AJ:$AJ,ROW())="","",HYPERLINK(INDEX($AJ:$AJ,ROW()),"Open"))</f>
        <v/>
      </c>
    </row>
    <row r="3395" spans="1:1" x14ac:dyDescent="0.2">
      <c r="A3395" s="12" t="str">
        <f t="shared" si="53"/>
        <v/>
      </c>
    </row>
    <row r="3396" spans="1:1" x14ac:dyDescent="0.2">
      <c r="A3396" s="12" t="str">
        <f t="shared" si="53"/>
        <v/>
      </c>
    </row>
    <row r="3397" spans="1:1" x14ac:dyDescent="0.2">
      <c r="A3397" s="12" t="str">
        <f t="shared" si="53"/>
        <v/>
      </c>
    </row>
    <row r="3398" spans="1:1" x14ac:dyDescent="0.2">
      <c r="A3398" s="12" t="str">
        <f t="shared" si="53"/>
        <v/>
      </c>
    </row>
    <row r="3399" spans="1:1" x14ac:dyDescent="0.2">
      <c r="A3399" s="12" t="str">
        <f t="shared" si="53"/>
        <v/>
      </c>
    </row>
    <row r="3400" spans="1:1" x14ac:dyDescent="0.2">
      <c r="A3400" s="12" t="str">
        <f t="shared" si="53"/>
        <v/>
      </c>
    </row>
    <row r="3401" spans="1:1" x14ac:dyDescent="0.2">
      <c r="A3401" s="12" t="str">
        <f t="shared" si="53"/>
        <v/>
      </c>
    </row>
    <row r="3402" spans="1:1" x14ac:dyDescent="0.2">
      <c r="A3402" s="12" t="str">
        <f t="shared" si="53"/>
        <v/>
      </c>
    </row>
    <row r="3403" spans="1:1" x14ac:dyDescent="0.2">
      <c r="A3403" s="12" t="str">
        <f t="shared" si="53"/>
        <v/>
      </c>
    </row>
    <row r="3404" spans="1:1" x14ac:dyDescent="0.2">
      <c r="A3404" s="12" t="str">
        <f t="shared" si="53"/>
        <v/>
      </c>
    </row>
    <row r="3405" spans="1:1" x14ac:dyDescent="0.2">
      <c r="A3405" s="12" t="str">
        <f t="shared" si="53"/>
        <v/>
      </c>
    </row>
    <row r="3406" spans="1:1" x14ac:dyDescent="0.2">
      <c r="A3406" s="12" t="str">
        <f t="shared" si="53"/>
        <v/>
      </c>
    </row>
    <row r="3407" spans="1:1" x14ac:dyDescent="0.2">
      <c r="A3407" s="12" t="str">
        <f t="shared" si="53"/>
        <v/>
      </c>
    </row>
    <row r="3408" spans="1:1" x14ac:dyDescent="0.2">
      <c r="A3408" s="12" t="str">
        <f t="shared" si="53"/>
        <v/>
      </c>
    </row>
    <row r="3409" spans="1:1" x14ac:dyDescent="0.2">
      <c r="A3409" s="12" t="str">
        <f t="shared" si="53"/>
        <v/>
      </c>
    </row>
    <row r="3410" spans="1:1" x14ac:dyDescent="0.2">
      <c r="A3410" s="12" t="str">
        <f t="shared" si="53"/>
        <v/>
      </c>
    </row>
    <row r="3411" spans="1:1" x14ac:dyDescent="0.2">
      <c r="A3411" s="12" t="str">
        <f t="shared" si="53"/>
        <v/>
      </c>
    </row>
    <row r="3412" spans="1:1" x14ac:dyDescent="0.2">
      <c r="A3412" s="12" t="str">
        <f t="shared" si="53"/>
        <v/>
      </c>
    </row>
    <row r="3413" spans="1:1" x14ac:dyDescent="0.2">
      <c r="A3413" s="12" t="str">
        <f t="shared" si="53"/>
        <v/>
      </c>
    </row>
    <row r="3414" spans="1:1" x14ac:dyDescent="0.2">
      <c r="A3414" s="12" t="str">
        <f t="shared" si="53"/>
        <v/>
      </c>
    </row>
    <row r="3415" spans="1:1" x14ac:dyDescent="0.2">
      <c r="A3415" s="12" t="str">
        <f t="shared" si="53"/>
        <v/>
      </c>
    </row>
    <row r="3416" spans="1:1" x14ac:dyDescent="0.2">
      <c r="A3416" s="12" t="str">
        <f t="shared" si="53"/>
        <v/>
      </c>
    </row>
    <row r="3417" spans="1:1" x14ac:dyDescent="0.2">
      <c r="A3417" s="12" t="str">
        <f t="shared" si="53"/>
        <v/>
      </c>
    </row>
    <row r="3418" spans="1:1" x14ac:dyDescent="0.2">
      <c r="A3418" s="12" t="str">
        <f t="shared" si="53"/>
        <v/>
      </c>
    </row>
    <row r="3419" spans="1:1" x14ac:dyDescent="0.2">
      <c r="A3419" s="12" t="str">
        <f t="shared" si="53"/>
        <v/>
      </c>
    </row>
    <row r="3420" spans="1:1" x14ac:dyDescent="0.2">
      <c r="A3420" s="12" t="str">
        <f t="shared" si="53"/>
        <v/>
      </c>
    </row>
    <row r="3421" spans="1:1" x14ac:dyDescent="0.2">
      <c r="A3421" s="12" t="str">
        <f t="shared" si="53"/>
        <v/>
      </c>
    </row>
    <row r="3422" spans="1:1" x14ac:dyDescent="0.2">
      <c r="A3422" s="12" t="str">
        <f t="shared" si="53"/>
        <v/>
      </c>
    </row>
    <row r="3423" spans="1:1" x14ac:dyDescent="0.2">
      <c r="A3423" s="12" t="str">
        <f t="shared" si="53"/>
        <v/>
      </c>
    </row>
    <row r="3424" spans="1:1" x14ac:dyDescent="0.2">
      <c r="A3424" s="12" t="str">
        <f t="shared" si="53"/>
        <v/>
      </c>
    </row>
    <row r="3425" spans="1:1" x14ac:dyDescent="0.2">
      <c r="A3425" s="12" t="str">
        <f t="shared" si="53"/>
        <v/>
      </c>
    </row>
    <row r="3426" spans="1:1" x14ac:dyDescent="0.2">
      <c r="A3426" s="12" t="str">
        <f t="shared" si="53"/>
        <v/>
      </c>
    </row>
    <row r="3427" spans="1:1" x14ac:dyDescent="0.2">
      <c r="A3427" s="12" t="str">
        <f t="shared" si="53"/>
        <v/>
      </c>
    </row>
    <row r="3428" spans="1:1" x14ac:dyDescent="0.2">
      <c r="A3428" s="12" t="str">
        <f t="shared" si="53"/>
        <v/>
      </c>
    </row>
    <row r="3429" spans="1:1" x14ac:dyDescent="0.2">
      <c r="A3429" s="12" t="str">
        <f t="shared" si="53"/>
        <v/>
      </c>
    </row>
    <row r="3430" spans="1:1" x14ac:dyDescent="0.2">
      <c r="A3430" s="12" t="str">
        <f t="shared" si="53"/>
        <v/>
      </c>
    </row>
    <row r="3431" spans="1:1" x14ac:dyDescent="0.2">
      <c r="A3431" s="12" t="str">
        <f t="shared" si="53"/>
        <v/>
      </c>
    </row>
    <row r="3432" spans="1:1" x14ac:dyDescent="0.2">
      <c r="A3432" s="12" t="str">
        <f t="shared" si="53"/>
        <v/>
      </c>
    </row>
    <row r="3433" spans="1:1" x14ac:dyDescent="0.2">
      <c r="A3433" s="12" t="str">
        <f t="shared" si="53"/>
        <v/>
      </c>
    </row>
    <row r="3434" spans="1:1" x14ac:dyDescent="0.2">
      <c r="A3434" s="12" t="str">
        <f t="shared" si="53"/>
        <v/>
      </c>
    </row>
    <row r="3435" spans="1:1" x14ac:dyDescent="0.2">
      <c r="A3435" s="12" t="str">
        <f t="shared" si="53"/>
        <v/>
      </c>
    </row>
    <row r="3436" spans="1:1" x14ac:dyDescent="0.2">
      <c r="A3436" s="12" t="str">
        <f t="shared" si="53"/>
        <v/>
      </c>
    </row>
    <row r="3437" spans="1:1" x14ac:dyDescent="0.2">
      <c r="A3437" s="12" t="str">
        <f t="shared" si="53"/>
        <v/>
      </c>
    </row>
    <row r="3438" spans="1:1" x14ac:dyDescent="0.2">
      <c r="A3438" s="12" t="str">
        <f t="shared" si="53"/>
        <v/>
      </c>
    </row>
    <row r="3439" spans="1:1" x14ac:dyDescent="0.2">
      <c r="A3439" s="12" t="str">
        <f t="shared" si="53"/>
        <v/>
      </c>
    </row>
    <row r="3440" spans="1:1" x14ac:dyDescent="0.2">
      <c r="A3440" s="12" t="str">
        <f t="shared" si="53"/>
        <v/>
      </c>
    </row>
    <row r="3441" spans="1:1" x14ac:dyDescent="0.2">
      <c r="A3441" s="12" t="str">
        <f t="shared" si="53"/>
        <v/>
      </c>
    </row>
    <row r="3442" spans="1:1" x14ac:dyDescent="0.2">
      <c r="A3442" s="12" t="str">
        <f t="shared" si="53"/>
        <v/>
      </c>
    </row>
    <row r="3443" spans="1:1" x14ac:dyDescent="0.2">
      <c r="A3443" s="12" t="str">
        <f t="shared" si="53"/>
        <v/>
      </c>
    </row>
    <row r="3444" spans="1:1" x14ac:dyDescent="0.2">
      <c r="A3444" s="12" t="str">
        <f t="shared" si="53"/>
        <v/>
      </c>
    </row>
    <row r="3445" spans="1:1" x14ac:dyDescent="0.2">
      <c r="A3445" s="12" t="str">
        <f t="shared" si="53"/>
        <v/>
      </c>
    </row>
    <row r="3446" spans="1:1" x14ac:dyDescent="0.2">
      <c r="A3446" s="12" t="str">
        <f t="shared" si="53"/>
        <v/>
      </c>
    </row>
    <row r="3447" spans="1:1" x14ac:dyDescent="0.2">
      <c r="A3447" s="12" t="str">
        <f t="shared" si="53"/>
        <v/>
      </c>
    </row>
    <row r="3448" spans="1:1" x14ac:dyDescent="0.2">
      <c r="A3448" s="12" t="str">
        <f t="shared" si="53"/>
        <v/>
      </c>
    </row>
    <row r="3449" spans="1:1" x14ac:dyDescent="0.2">
      <c r="A3449" s="12" t="str">
        <f t="shared" si="53"/>
        <v/>
      </c>
    </row>
    <row r="3450" spans="1:1" x14ac:dyDescent="0.2">
      <c r="A3450" s="12" t="str">
        <f t="shared" si="53"/>
        <v/>
      </c>
    </row>
    <row r="3451" spans="1:1" x14ac:dyDescent="0.2">
      <c r="A3451" s="12" t="str">
        <f t="shared" si="53"/>
        <v/>
      </c>
    </row>
    <row r="3452" spans="1:1" x14ac:dyDescent="0.2">
      <c r="A3452" s="12" t="str">
        <f t="shared" si="53"/>
        <v/>
      </c>
    </row>
    <row r="3453" spans="1:1" x14ac:dyDescent="0.2">
      <c r="A3453" s="12" t="str">
        <f t="shared" si="53"/>
        <v/>
      </c>
    </row>
    <row r="3454" spans="1:1" x14ac:dyDescent="0.2">
      <c r="A3454" s="12" t="str">
        <f t="shared" si="53"/>
        <v/>
      </c>
    </row>
    <row r="3455" spans="1:1" x14ac:dyDescent="0.2">
      <c r="A3455" s="12" t="str">
        <f t="shared" si="53"/>
        <v/>
      </c>
    </row>
    <row r="3456" spans="1:1" x14ac:dyDescent="0.2">
      <c r="A3456" s="12" t="str">
        <f t="shared" si="53"/>
        <v/>
      </c>
    </row>
    <row r="3457" spans="1:1" x14ac:dyDescent="0.2">
      <c r="A3457" s="12" t="str">
        <f t="shared" si="53"/>
        <v/>
      </c>
    </row>
    <row r="3458" spans="1:1" x14ac:dyDescent="0.2">
      <c r="A3458" s="12" t="str">
        <f t="shared" ref="A3458:A3521" si="54">IF(INDEX($AJ:$AJ,ROW())="","",HYPERLINK(INDEX($AJ:$AJ,ROW()),"Open"))</f>
        <v/>
      </c>
    </row>
    <row r="3459" spans="1:1" x14ac:dyDescent="0.2">
      <c r="A3459" s="12" t="str">
        <f t="shared" si="54"/>
        <v/>
      </c>
    </row>
    <row r="3460" spans="1:1" x14ac:dyDescent="0.2">
      <c r="A3460" s="12" t="str">
        <f t="shared" si="54"/>
        <v/>
      </c>
    </row>
    <row r="3461" spans="1:1" x14ac:dyDescent="0.2">
      <c r="A3461" s="12" t="str">
        <f t="shared" si="54"/>
        <v/>
      </c>
    </row>
    <row r="3462" spans="1:1" x14ac:dyDescent="0.2">
      <c r="A3462" s="12" t="str">
        <f t="shared" si="54"/>
        <v/>
      </c>
    </row>
    <row r="3463" spans="1:1" x14ac:dyDescent="0.2">
      <c r="A3463" s="12" t="str">
        <f t="shared" si="54"/>
        <v/>
      </c>
    </row>
    <row r="3464" spans="1:1" x14ac:dyDescent="0.2">
      <c r="A3464" s="12" t="str">
        <f t="shared" si="54"/>
        <v/>
      </c>
    </row>
    <row r="3465" spans="1:1" x14ac:dyDescent="0.2">
      <c r="A3465" s="12" t="str">
        <f t="shared" si="54"/>
        <v/>
      </c>
    </row>
    <row r="3466" spans="1:1" x14ac:dyDescent="0.2">
      <c r="A3466" s="12" t="str">
        <f t="shared" si="54"/>
        <v/>
      </c>
    </row>
    <row r="3467" spans="1:1" x14ac:dyDescent="0.2">
      <c r="A3467" s="12" t="str">
        <f t="shared" si="54"/>
        <v/>
      </c>
    </row>
    <row r="3468" spans="1:1" x14ac:dyDescent="0.2">
      <c r="A3468" s="12" t="str">
        <f t="shared" si="54"/>
        <v/>
      </c>
    </row>
    <row r="3469" spans="1:1" x14ac:dyDescent="0.2">
      <c r="A3469" s="12" t="str">
        <f t="shared" si="54"/>
        <v/>
      </c>
    </row>
    <row r="3470" spans="1:1" x14ac:dyDescent="0.2">
      <c r="A3470" s="12" t="str">
        <f t="shared" si="54"/>
        <v/>
      </c>
    </row>
    <row r="3471" spans="1:1" x14ac:dyDescent="0.2">
      <c r="A3471" s="12" t="str">
        <f t="shared" si="54"/>
        <v/>
      </c>
    </row>
    <row r="3472" spans="1:1" x14ac:dyDescent="0.2">
      <c r="A3472" s="12" t="str">
        <f t="shared" si="54"/>
        <v/>
      </c>
    </row>
    <row r="3473" spans="1:1" x14ac:dyDescent="0.2">
      <c r="A3473" s="12" t="str">
        <f t="shared" si="54"/>
        <v/>
      </c>
    </row>
    <row r="3474" spans="1:1" x14ac:dyDescent="0.2">
      <c r="A3474" s="12" t="str">
        <f t="shared" si="54"/>
        <v/>
      </c>
    </row>
    <row r="3475" spans="1:1" x14ac:dyDescent="0.2">
      <c r="A3475" s="12" t="str">
        <f t="shared" si="54"/>
        <v/>
      </c>
    </row>
    <row r="3476" spans="1:1" x14ac:dyDescent="0.2">
      <c r="A3476" s="12" t="str">
        <f t="shared" si="54"/>
        <v/>
      </c>
    </row>
    <row r="3477" spans="1:1" x14ac:dyDescent="0.2">
      <c r="A3477" s="12" t="str">
        <f t="shared" si="54"/>
        <v/>
      </c>
    </row>
    <row r="3478" spans="1:1" x14ac:dyDescent="0.2">
      <c r="A3478" s="12" t="str">
        <f t="shared" si="54"/>
        <v/>
      </c>
    </row>
    <row r="3479" spans="1:1" x14ac:dyDescent="0.2">
      <c r="A3479" s="12" t="str">
        <f t="shared" si="54"/>
        <v/>
      </c>
    </row>
    <row r="3480" spans="1:1" x14ac:dyDescent="0.2">
      <c r="A3480" s="12" t="str">
        <f t="shared" si="54"/>
        <v/>
      </c>
    </row>
    <row r="3481" spans="1:1" x14ac:dyDescent="0.2">
      <c r="A3481" s="12" t="str">
        <f t="shared" si="54"/>
        <v/>
      </c>
    </row>
    <row r="3482" spans="1:1" x14ac:dyDescent="0.2">
      <c r="A3482" s="12" t="str">
        <f t="shared" si="54"/>
        <v/>
      </c>
    </row>
    <row r="3483" spans="1:1" x14ac:dyDescent="0.2">
      <c r="A3483" s="12" t="str">
        <f t="shared" si="54"/>
        <v/>
      </c>
    </row>
    <row r="3484" spans="1:1" x14ac:dyDescent="0.2">
      <c r="A3484" s="12" t="str">
        <f t="shared" si="54"/>
        <v/>
      </c>
    </row>
    <row r="3485" spans="1:1" x14ac:dyDescent="0.2">
      <c r="A3485" s="12" t="str">
        <f t="shared" si="54"/>
        <v/>
      </c>
    </row>
    <row r="3486" spans="1:1" x14ac:dyDescent="0.2">
      <c r="A3486" s="12" t="str">
        <f t="shared" si="54"/>
        <v/>
      </c>
    </row>
    <row r="3487" spans="1:1" x14ac:dyDescent="0.2">
      <c r="A3487" s="12" t="str">
        <f t="shared" si="54"/>
        <v/>
      </c>
    </row>
    <row r="3488" spans="1:1" x14ac:dyDescent="0.2">
      <c r="A3488" s="12" t="str">
        <f t="shared" si="54"/>
        <v/>
      </c>
    </row>
    <row r="3489" spans="1:1" x14ac:dyDescent="0.2">
      <c r="A3489" s="12" t="str">
        <f t="shared" si="54"/>
        <v/>
      </c>
    </row>
    <row r="3490" spans="1:1" x14ac:dyDescent="0.2">
      <c r="A3490" s="12" t="str">
        <f t="shared" si="54"/>
        <v/>
      </c>
    </row>
    <row r="3491" spans="1:1" x14ac:dyDescent="0.2">
      <c r="A3491" s="12" t="str">
        <f t="shared" si="54"/>
        <v/>
      </c>
    </row>
    <row r="3492" spans="1:1" x14ac:dyDescent="0.2">
      <c r="A3492" s="12" t="str">
        <f t="shared" si="54"/>
        <v/>
      </c>
    </row>
    <row r="3493" spans="1:1" x14ac:dyDescent="0.2">
      <c r="A3493" s="12" t="str">
        <f t="shared" si="54"/>
        <v/>
      </c>
    </row>
    <row r="3494" spans="1:1" x14ac:dyDescent="0.2">
      <c r="A3494" s="12" t="str">
        <f t="shared" si="54"/>
        <v/>
      </c>
    </row>
    <row r="3495" spans="1:1" x14ac:dyDescent="0.2">
      <c r="A3495" s="12" t="str">
        <f t="shared" si="54"/>
        <v/>
      </c>
    </row>
    <row r="3496" spans="1:1" x14ac:dyDescent="0.2">
      <c r="A3496" s="12" t="str">
        <f t="shared" si="54"/>
        <v/>
      </c>
    </row>
    <row r="3497" spans="1:1" x14ac:dyDescent="0.2">
      <c r="A3497" s="12" t="str">
        <f t="shared" si="54"/>
        <v/>
      </c>
    </row>
    <row r="3498" spans="1:1" x14ac:dyDescent="0.2">
      <c r="A3498" s="12" t="str">
        <f t="shared" si="54"/>
        <v/>
      </c>
    </row>
    <row r="3499" spans="1:1" x14ac:dyDescent="0.2">
      <c r="A3499" s="12" t="str">
        <f t="shared" si="54"/>
        <v/>
      </c>
    </row>
    <row r="3500" spans="1:1" x14ac:dyDescent="0.2">
      <c r="A3500" s="12" t="str">
        <f t="shared" si="54"/>
        <v/>
      </c>
    </row>
    <row r="3501" spans="1:1" x14ac:dyDescent="0.2">
      <c r="A3501" s="12" t="str">
        <f t="shared" si="54"/>
        <v/>
      </c>
    </row>
    <row r="3502" spans="1:1" x14ac:dyDescent="0.2">
      <c r="A3502" s="12" t="str">
        <f t="shared" si="54"/>
        <v/>
      </c>
    </row>
    <row r="3503" spans="1:1" x14ac:dyDescent="0.2">
      <c r="A3503" s="12" t="str">
        <f t="shared" si="54"/>
        <v/>
      </c>
    </row>
    <row r="3504" spans="1:1" x14ac:dyDescent="0.2">
      <c r="A3504" s="12" t="str">
        <f t="shared" si="54"/>
        <v/>
      </c>
    </row>
    <row r="3505" spans="1:1" x14ac:dyDescent="0.2">
      <c r="A3505" s="12" t="str">
        <f t="shared" si="54"/>
        <v/>
      </c>
    </row>
    <row r="3506" spans="1:1" x14ac:dyDescent="0.2">
      <c r="A3506" s="12" t="str">
        <f t="shared" si="54"/>
        <v/>
      </c>
    </row>
    <row r="3507" spans="1:1" x14ac:dyDescent="0.2">
      <c r="A3507" s="12" t="str">
        <f t="shared" si="54"/>
        <v/>
      </c>
    </row>
    <row r="3508" spans="1:1" x14ac:dyDescent="0.2">
      <c r="A3508" s="12" t="str">
        <f t="shared" si="54"/>
        <v/>
      </c>
    </row>
    <row r="3509" spans="1:1" x14ac:dyDescent="0.2">
      <c r="A3509" s="12" t="str">
        <f t="shared" si="54"/>
        <v/>
      </c>
    </row>
    <row r="3510" spans="1:1" x14ac:dyDescent="0.2">
      <c r="A3510" s="12" t="str">
        <f t="shared" si="54"/>
        <v/>
      </c>
    </row>
    <row r="3511" spans="1:1" x14ac:dyDescent="0.2">
      <c r="A3511" s="12" t="str">
        <f t="shared" si="54"/>
        <v/>
      </c>
    </row>
    <row r="3512" spans="1:1" x14ac:dyDescent="0.2">
      <c r="A3512" s="12" t="str">
        <f t="shared" si="54"/>
        <v/>
      </c>
    </row>
    <row r="3513" spans="1:1" x14ac:dyDescent="0.2">
      <c r="A3513" s="12" t="str">
        <f t="shared" si="54"/>
        <v/>
      </c>
    </row>
    <row r="3514" spans="1:1" x14ac:dyDescent="0.2">
      <c r="A3514" s="12" t="str">
        <f t="shared" si="54"/>
        <v/>
      </c>
    </row>
    <row r="3515" spans="1:1" x14ac:dyDescent="0.2">
      <c r="A3515" s="12" t="str">
        <f t="shared" si="54"/>
        <v/>
      </c>
    </row>
    <row r="3516" spans="1:1" x14ac:dyDescent="0.2">
      <c r="A3516" s="12" t="str">
        <f t="shared" si="54"/>
        <v/>
      </c>
    </row>
    <row r="3517" spans="1:1" x14ac:dyDescent="0.2">
      <c r="A3517" s="12" t="str">
        <f t="shared" si="54"/>
        <v/>
      </c>
    </row>
    <row r="3518" spans="1:1" x14ac:dyDescent="0.2">
      <c r="A3518" s="12" t="str">
        <f t="shared" si="54"/>
        <v/>
      </c>
    </row>
    <row r="3519" spans="1:1" x14ac:dyDescent="0.2">
      <c r="A3519" s="12" t="str">
        <f t="shared" si="54"/>
        <v/>
      </c>
    </row>
    <row r="3520" spans="1:1" x14ac:dyDescent="0.2">
      <c r="A3520" s="12" t="str">
        <f t="shared" si="54"/>
        <v/>
      </c>
    </row>
    <row r="3521" spans="1:1" x14ac:dyDescent="0.2">
      <c r="A3521" s="12" t="str">
        <f t="shared" si="54"/>
        <v/>
      </c>
    </row>
    <row r="3522" spans="1:1" x14ac:dyDescent="0.2">
      <c r="A3522" s="12" t="str">
        <f t="shared" ref="A3522:A3585" si="55">IF(INDEX($AJ:$AJ,ROW())="","",HYPERLINK(INDEX($AJ:$AJ,ROW()),"Open"))</f>
        <v/>
      </c>
    </row>
    <row r="3523" spans="1:1" x14ac:dyDescent="0.2">
      <c r="A3523" s="12" t="str">
        <f t="shared" si="55"/>
        <v/>
      </c>
    </row>
    <row r="3524" spans="1:1" x14ac:dyDescent="0.2">
      <c r="A3524" s="12" t="str">
        <f t="shared" si="55"/>
        <v/>
      </c>
    </row>
    <row r="3525" spans="1:1" x14ac:dyDescent="0.2">
      <c r="A3525" s="12" t="str">
        <f t="shared" si="55"/>
        <v/>
      </c>
    </row>
    <row r="3526" spans="1:1" x14ac:dyDescent="0.2">
      <c r="A3526" s="12" t="str">
        <f t="shared" si="55"/>
        <v/>
      </c>
    </row>
    <row r="3527" spans="1:1" x14ac:dyDescent="0.2">
      <c r="A3527" s="12" t="str">
        <f t="shared" si="55"/>
        <v/>
      </c>
    </row>
    <row r="3528" spans="1:1" x14ac:dyDescent="0.2">
      <c r="A3528" s="12" t="str">
        <f t="shared" si="55"/>
        <v/>
      </c>
    </row>
    <row r="3529" spans="1:1" x14ac:dyDescent="0.2">
      <c r="A3529" s="12" t="str">
        <f t="shared" si="55"/>
        <v/>
      </c>
    </row>
    <row r="3530" spans="1:1" x14ac:dyDescent="0.2">
      <c r="A3530" s="12" t="str">
        <f t="shared" si="55"/>
        <v/>
      </c>
    </row>
    <row r="3531" spans="1:1" x14ac:dyDescent="0.2">
      <c r="A3531" s="12" t="str">
        <f t="shared" si="55"/>
        <v/>
      </c>
    </row>
    <row r="3532" spans="1:1" x14ac:dyDescent="0.2">
      <c r="A3532" s="12" t="str">
        <f t="shared" si="55"/>
        <v/>
      </c>
    </row>
    <row r="3533" spans="1:1" x14ac:dyDescent="0.2">
      <c r="A3533" s="12" t="str">
        <f t="shared" si="55"/>
        <v/>
      </c>
    </row>
    <row r="3534" spans="1:1" x14ac:dyDescent="0.2">
      <c r="A3534" s="12" t="str">
        <f t="shared" si="55"/>
        <v/>
      </c>
    </row>
    <row r="3535" spans="1:1" x14ac:dyDescent="0.2">
      <c r="A3535" s="12" t="str">
        <f t="shared" si="55"/>
        <v/>
      </c>
    </row>
    <row r="3536" spans="1:1" x14ac:dyDescent="0.2">
      <c r="A3536" s="12" t="str">
        <f t="shared" si="55"/>
        <v/>
      </c>
    </row>
    <row r="3537" spans="1:1" x14ac:dyDescent="0.2">
      <c r="A3537" s="12" t="str">
        <f t="shared" si="55"/>
        <v/>
      </c>
    </row>
    <row r="3538" spans="1:1" x14ac:dyDescent="0.2">
      <c r="A3538" s="12" t="str">
        <f t="shared" si="55"/>
        <v/>
      </c>
    </row>
    <row r="3539" spans="1:1" x14ac:dyDescent="0.2">
      <c r="A3539" s="12" t="str">
        <f t="shared" si="55"/>
        <v/>
      </c>
    </row>
    <row r="3540" spans="1:1" x14ac:dyDescent="0.2">
      <c r="A3540" s="12" t="str">
        <f t="shared" si="55"/>
        <v/>
      </c>
    </row>
    <row r="3541" spans="1:1" x14ac:dyDescent="0.2">
      <c r="A3541" s="12" t="str">
        <f t="shared" si="55"/>
        <v/>
      </c>
    </row>
    <row r="3542" spans="1:1" x14ac:dyDescent="0.2">
      <c r="A3542" s="12" t="str">
        <f t="shared" si="55"/>
        <v/>
      </c>
    </row>
    <row r="3543" spans="1:1" x14ac:dyDescent="0.2">
      <c r="A3543" s="12" t="str">
        <f t="shared" si="55"/>
        <v/>
      </c>
    </row>
    <row r="3544" spans="1:1" x14ac:dyDescent="0.2">
      <c r="A3544" s="12" t="str">
        <f t="shared" si="55"/>
        <v/>
      </c>
    </row>
    <row r="3545" spans="1:1" x14ac:dyDescent="0.2">
      <c r="A3545" s="12" t="str">
        <f t="shared" si="55"/>
        <v/>
      </c>
    </row>
    <row r="3546" spans="1:1" x14ac:dyDescent="0.2">
      <c r="A3546" s="12" t="str">
        <f t="shared" si="55"/>
        <v/>
      </c>
    </row>
    <row r="3547" spans="1:1" x14ac:dyDescent="0.2">
      <c r="A3547" s="12" t="str">
        <f t="shared" si="55"/>
        <v/>
      </c>
    </row>
    <row r="3548" spans="1:1" x14ac:dyDescent="0.2">
      <c r="A3548" s="12" t="str">
        <f t="shared" si="55"/>
        <v/>
      </c>
    </row>
    <row r="3549" spans="1:1" x14ac:dyDescent="0.2">
      <c r="A3549" s="12" t="str">
        <f t="shared" si="55"/>
        <v/>
      </c>
    </row>
    <row r="3550" spans="1:1" x14ac:dyDescent="0.2">
      <c r="A3550" s="12" t="str">
        <f t="shared" si="55"/>
        <v/>
      </c>
    </row>
    <row r="3551" spans="1:1" x14ac:dyDescent="0.2">
      <c r="A3551" s="12" t="str">
        <f t="shared" si="55"/>
        <v/>
      </c>
    </row>
    <row r="3552" spans="1:1" x14ac:dyDescent="0.2">
      <c r="A3552" s="12" t="str">
        <f t="shared" si="55"/>
        <v/>
      </c>
    </row>
    <row r="3553" spans="1:1" x14ac:dyDescent="0.2">
      <c r="A3553" s="12" t="str">
        <f t="shared" si="55"/>
        <v/>
      </c>
    </row>
    <row r="3554" spans="1:1" x14ac:dyDescent="0.2">
      <c r="A3554" s="12" t="str">
        <f t="shared" si="55"/>
        <v/>
      </c>
    </row>
    <row r="3555" spans="1:1" x14ac:dyDescent="0.2">
      <c r="A3555" s="12" t="str">
        <f t="shared" si="55"/>
        <v/>
      </c>
    </row>
    <row r="3556" spans="1:1" x14ac:dyDescent="0.2">
      <c r="A3556" s="12" t="str">
        <f t="shared" si="55"/>
        <v/>
      </c>
    </row>
    <row r="3557" spans="1:1" x14ac:dyDescent="0.2">
      <c r="A3557" s="12" t="str">
        <f t="shared" si="55"/>
        <v/>
      </c>
    </row>
    <row r="3558" spans="1:1" x14ac:dyDescent="0.2">
      <c r="A3558" s="12" t="str">
        <f t="shared" si="55"/>
        <v/>
      </c>
    </row>
    <row r="3559" spans="1:1" x14ac:dyDescent="0.2">
      <c r="A3559" s="12" t="str">
        <f t="shared" si="55"/>
        <v/>
      </c>
    </row>
    <row r="3560" spans="1:1" x14ac:dyDescent="0.2">
      <c r="A3560" s="12" t="str">
        <f t="shared" si="55"/>
        <v/>
      </c>
    </row>
    <row r="3561" spans="1:1" x14ac:dyDescent="0.2">
      <c r="A3561" s="12" t="str">
        <f t="shared" si="55"/>
        <v/>
      </c>
    </row>
    <row r="3562" spans="1:1" x14ac:dyDescent="0.2">
      <c r="A3562" s="12" t="str">
        <f t="shared" si="55"/>
        <v/>
      </c>
    </row>
    <row r="3563" spans="1:1" x14ac:dyDescent="0.2">
      <c r="A3563" s="12" t="str">
        <f t="shared" si="55"/>
        <v/>
      </c>
    </row>
    <row r="3564" spans="1:1" x14ac:dyDescent="0.2">
      <c r="A3564" s="12" t="str">
        <f t="shared" si="55"/>
        <v/>
      </c>
    </row>
    <row r="3565" spans="1:1" x14ac:dyDescent="0.2">
      <c r="A3565" s="12" t="str">
        <f t="shared" si="55"/>
        <v/>
      </c>
    </row>
    <row r="3566" spans="1:1" x14ac:dyDescent="0.2">
      <c r="A3566" s="12" t="str">
        <f t="shared" si="55"/>
        <v/>
      </c>
    </row>
    <row r="3567" spans="1:1" x14ac:dyDescent="0.2">
      <c r="A3567" s="12" t="str">
        <f t="shared" si="55"/>
        <v/>
      </c>
    </row>
    <row r="3568" spans="1:1" x14ac:dyDescent="0.2">
      <c r="A3568" s="12" t="str">
        <f t="shared" si="55"/>
        <v/>
      </c>
    </row>
    <row r="3569" spans="1:1" x14ac:dyDescent="0.2">
      <c r="A3569" s="12" t="str">
        <f t="shared" si="55"/>
        <v/>
      </c>
    </row>
    <row r="3570" spans="1:1" x14ac:dyDescent="0.2">
      <c r="A3570" s="12" t="str">
        <f t="shared" si="55"/>
        <v/>
      </c>
    </row>
    <row r="3571" spans="1:1" x14ac:dyDescent="0.2">
      <c r="A3571" s="12" t="str">
        <f t="shared" si="55"/>
        <v/>
      </c>
    </row>
    <row r="3572" spans="1:1" x14ac:dyDescent="0.2">
      <c r="A3572" s="12" t="str">
        <f t="shared" si="55"/>
        <v/>
      </c>
    </row>
    <row r="3573" spans="1:1" x14ac:dyDescent="0.2">
      <c r="A3573" s="12" t="str">
        <f t="shared" si="55"/>
        <v/>
      </c>
    </row>
    <row r="3574" spans="1:1" x14ac:dyDescent="0.2">
      <c r="A3574" s="12" t="str">
        <f t="shared" si="55"/>
        <v/>
      </c>
    </row>
    <row r="3575" spans="1:1" x14ac:dyDescent="0.2">
      <c r="A3575" s="12" t="str">
        <f t="shared" si="55"/>
        <v/>
      </c>
    </row>
    <row r="3576" spans="1:1" x14ac:dyDescent="0.2">
      <c r="A3576" s="12" t="str">
        <f t="shared" si="55"/>
        <v/>
      </c>
    </row>
    <row r="3577" spans="1:1" x14ac:dyDescent="0.2">
      <c r="A3577" s="12" t="str">
        <f t="shared" si="55"/>
        <v/>
      </c>
    </row>
    <row r="3578" spans="1:1" x14ac:dyDescent="0.2">
      <c r="A3578" s="12" t="str">
        <f t="shared" si="55"/>
        <v/>
      </c>
    </row>
    <row r="3579" spans="1:1" x14ac:dyDescent="0.2">
      <c r="A3579" s="12" t="str">
        <f t="shared" si="55"/>
        <v/>
      </c>
    </row>
    <row r="3580" spans="1:1" x14ac:dyDescent="0.2">
      <c r="A3580" s="12" t="str">
        <f t="shared" si="55"/>
        <v/>
      </c>
    </row>
    <row r="3581" spans="1:1" x14ac:dyDescent="0.2">
      <c r="A3581" s="12" t="str">
        <f t="shared" si="55"/>
        <v/>
      </c>
    </row>
    <row r="3582" spans="1:1" x14ac:dyDescent="0.2">
      <c r="A3582" s="12" t="str">
        <f t="shared" si="55"/>
        <v/>
      </c>
    </row>
    <row r="3583" spans="1:1" x14ac:dyDescent="0.2">
      <c r="A3583" s="12" t="str">
        <f t="shared" si="55"/>
        <v/>
      </c>
    </row>
    <row r="3584" spans="1:1" x14ac:dyDescent="0.2">
      <c r="A3584" s="12" t="str">
        <f t="shared" si="55"/>
        <v/>
      </c>
    </row>
    <row r="3585" spans="1:1" x14ac:dyDescent="0.2">
      <c r="A3585" s="12" t="str">
        <f t="shared" si="55"/>
        <v/>
      </c>
    </row>
    <row r="3586" spans="1:1" x14ac:dyDescent="0.2">
      <c r="A3586" s="12" t="str">
        <f t="shared" ref="A3586:A3649" si="56">IF(INDEX($AJ:$AJ,ROW())="","",HYPERLINK(INDEX($AJ:$AJ,ROW()),"Open"))</f>
        <v/>
      </c>
    </row>
    <row r="3587" spans="1:1" x14ac:dyDescent="0.2">
      <c r="A3587" s="12" t="str">
        <f t="shared" si="56"/>
        <v/>
      </c>
    </row>
    <row r="3588" spans="1:1" x14ac:dyDescent="0.2">
      <c r="A3588" s="12" t="str">
        <f t="shared" si="56"/>
        <v/>
      </c>
    </row>
    <row r="3589" spans="1:1" x14ac:dyDescent="0.2">
      <c r="A3589" s="12" t="str">
        <f t="shared" si="56"/>
        <v/>
      </c>
    </row>
    <row r="3590" spans="1:1" x14ac:dyDescent="0.2">
      <c r="A3590" s="12" t="str">
        <f t="shared" si="56"/>
        <v/>
      </c>
    </row>
    <row r="3591" spans="1:1" x14ac:dyDescent="0.2">
      <c r="A3591" s="12" t="str">
        <f t="shared" si="56"/>
        <v/>
      </c>
    </row>
    <row r="3592" spans="1:1" x14ac:dyDescent="0.2">
      <c r="A3592" s="12" t="str">
        <f t="shared" si="56"/>
        <v/>
      </c>
    </row>
    <row r="3593" spans="1:1" x14ac:dyDescent="0.2">
      <c r="A3593" s="12" t="str">
        <f t="shared" si="56"/>
        <v/>
      </c>
    </row>
    <row r="3594" spans="1:1" x14ac:dyDescent="0.2">
      <c r="A3594" s="12" t="str">
        <f t="shared" si="56"/>
        <v/>
      </c>
    </row>
    <row r="3595" spans="1:1" x14ac:dyDescent="0.2">
      <c r="A3595" s="12" t="str">
        <f t="shared" si="56"/>
        <v/>
      </c>
    </row>
    <row r="3596" spans="1:1" x14ac:dyDescent="0.2">
      <c r="A3596" s="12" t="str">
        <f t="shared" si="56"/>
        <v/>
      </c>
    </row>
    <row r="3597" spans="1:1" x14ac:dyDescent="0.2">
      <c r="A3597" s="12" t="str">
        <f t="shared" si="56"/>
        <v/>
      </c>
    </row>
    <row r="3598" spans="1:1" x14ac:dyDescent="0.2">
      <c r="A3598" s="12" t="str">
        <f t="shared" si="56"/>
        <v/>
      </c>
    </row>
    <row r="3599" spans="1:1" x14ac:dyDescent="0.2">
      <c r="A3599" s="12" t="str">
        <f t="shared" si="56"/>
        <v/>
      </c>
    </row>
    <row r="3600" spans="1:1" x14ac:dyDescent="0.2">
      <c r="A3600" s="12" t="str">
        <f t="shared" si="56"/>
        <v/>
      </c>
    </row>
    <row r="3601" spans="1:1" x14ac:dyDescent="0.2">
      <c r="A3601" s="12" t="str">
        <f t="shared" si="56"/>
        <v/>
      </c>
    </row>
    <row r="3602" spans="1:1" x14ac:dyDescent="0.2">
      <c r="A3602" s="12" t="str">
        <f t="shared" si="56"/>
        <v/>
      </c>
    </row>
    <row r="3603" spans="1:1" x14ac:dyDescent="0.2">
      <c r="A3603" s="12" t="str">
        <f t="shared" si="56"/>
        <v/>
      </c>
    </row>
    <row r="3604" spans="1:1" x14ac:dyDescent="0.2">
      <c r="A3604" s="12" t="str">
        <f t="shared" si="56"/>
        <v/>
      </c>
    </row>
    <row r="3605" spans="1:1" x14ac:dyDescent="0.2">
      <c r="A3605" s="12" t="str">
        <f t="shared" si="56"/>
        <v/>
      </c>
    </row>
    <row r="3606" spans="1:1" x14ac:dyDescent="0.2">
      <c r="A3606" s="12" t="str">
        <f t="shared" si="56"/>
        <v/>
      </c>
    </row>
    <row r="3607" spans="1:1" x14ac:dyDescent="0.2">
      <c r="A3607" s="12" t="str">
        <f t="shared" si="56"/>
        <v/>
      </c>
    </row>
    <row r="3608" spans="1:1" x14ac:dyDescent="0.2">
      <c r="A3608" s="12" t="str">
        <f t="shared" si="56"/>
        <v/>
      </c>
    </row>
    <row r="3609" spans="1:1" x14ac:dyDescent="0.2">
      <c r="A3609" s="12" t="str">
        <f t="shared" si="56"/>
        <v/>
      </c>
    </row>
    <row r="3610" spans="1:1" x14ac:dyDescent="0.2">
      <c r="A3610" s="12" t="str">
        <f t="shared" si="56"/>
        <v/>
      </c>
    </row>
    <row r="3611" spans="1:1" x14ac:dyDescent="0.2">
      <c r="A3611" s="12" t="str">
        <f t="shared" si="56"/>
        <v/>
      </c>
    </row>
    <row r="3612" spans="1:1" x14ac:dyDescent="0.2">
      <c r="A3612" s="12" t="str">
        <f t="shared" si="56"/>
        <v/>
      </c>
    </row>
    <row r="3613" spans="1:1" x14ac:dyDescent="0.2">
      <c r="A3613" s="12" t="str">
        <f t="shared" si="56"/>
        <v/>
      </c>
    </row>
    <row r="3614" spans="1:1" x14ac:dyDescent="0.2">
      <c r="A3614" s="12" t="str">
        <f t="shared" si="56"/>
        <v/>
      </c>
    </row>
    <row r="3615" spans="1:1" x14ac:dyDescent="0.2">
      <c r="A3615" s="12" t="str">
        <f t="shared" si="56"/>
        <v/>
      </c>
    </row>
    <row r="3616" spans="1:1" x14ac:dyDescent="0.2">
      <c r="A3616" s="12" t="str">
        <f t="shared" si="56"/>
        <v/>
      </c>
    </row>
    <row r="3617" spans="1:1" x14ac:dyDescent="0.2">
      <c r="A3617" s="12" t="str">
        <f t="shared" si="56"/>
        <v/>
      </c>
    </row>
    <row r="3618" spans="1:1" x14ac:dyDescent="0.2">
      <c r="A3618" s="12" t="str">
        <f t="shared" si="56"/>
        <v/>
      </c>
    </row>
    <row r="3619" spans="1:1" x14ac:dyDescent="0.2">
      <c r="A3619" s="12" t="str">
        <f t="shared" si="56"/>
        <v/>
      </c>
    </row>
    <row r="3620" spans="1:1" x14ac:dyDescent="0.2">
      <c r="A3620" s="12" t="str">
        <f t="shared" si="56"/>
        <v/>
      </c>
    </row>
    <row r="3621" spans="1:1" x14ac:dyDescent="0.2">
      <c r="A3621" s="12" t="str">
        <f t="shared" si="56"/>
        <v/>
      </c>
    </row>
    <row r="3622" spans="1:1" x14ac:dyDescent="0.2">
      <c r="A3622" s="12" t="str">
        <f t="shared" si="56"/>
        <v/>
      </c>
    </row>
    <row r="3623" spans="1:1" x14ac:dyDescent="0.2">
      <c r="A3623" s="12" t="str">
        <f t="shared" si="56"/>
        <v/>
      </c>
    </row>
    <row r="3624" spans="1:1" x14ac:dyDescent="0.2">
      <c r="A3624" s="12" t="str">
        <f t="shared" si="56"/>
        <v/>
      </c>
    </row>
    <row r="3625" spans="1:1" x14ac:dyDescent="0.2">
      <c r="A3625" s="12" t="str">
        <f t="shared" si="56"/>
        <v/>
      </c>
    </row>
    <row r="3626" spans="1:1" x14ac:dyDescent="0.2">
      <c r="A3626" s="12" t="str">
        <f t="shared" si="56"/>
        <v/>
      </c>
    </row>
    <row r="3627" spans="1:1" x14ac:dyDescent="0.2">
      <c r="A3627" s="12" t="str">
        <f t="shared" si="56"/>
        <v/>
      </c>
    </row>
    <row r="3628" spans="1:1" x14ac:dyDescent="0.2">
      <c r="A3628" s="12" t="str">
        <f t="shared" si="56"/>
        <v/>
      </c>
    </row>
    <row r="3629" spans="1:1" x14ac:dyDescent="0.2">
      <c r="A3629" s="12" t="str">
        <f t="shared" si="56"/>
        <v/>
      </c>
    </row>
    <row r="3630" spans="1:1" x14ac:dyDescent="0.2">
      <c r="A3630" s="12" t="str">
        <f t="shared" si="56"/>
        <v/>
      </c>
    </row>
    <row r="3631" spans="1:1" x14ac:dyDescent="0.2">
      <c r="A3631" s="12" t="str">
        <f t="shared" si="56"/>
        <v/>
      </c>
    </row>
    <row r="3632" spans="1:1" x14ac:dyDescent="0.2">
      <c r="A3632" s="12" t="str">
        <f t="shared" si="56"/>
        <v/>
      </c>
    </row>
    <row r="3633" spans="1:1" x14ac:dyDescent="0.2">
      <c r="A3633" s="12" t="str">
        <f t="shared" si="56"/>
        <v/>
      </c>
    </row>
    <row r="3634" spans="1:1" x14ac:dyDescent="0.2">
      <c r="A3634" s="12" t="str">
        <f t="shared" si="56"/>
        <v/>
      </c>
    </row>
    <row r="3635" spans="1:1" x14ac:dyDescent="0.2">
      <c r="A3635" s="12" t="str">
        <f t="shared" si="56"/>
        <v/>
      </c>
    </row>
    <row r="3636" spans="1:1" x14ac:dyDescent="0.2">
      <c r="A3636" s="12" t="str">
        <f t="shared" si="56"/>
        <v/>
      </c>
    </row>
    <row r="3637" spans="1:1" x14ac:dyDescent="0.2">
      <c r="A3637" s="12" t="str">
        <f t="shared" si="56"/>
        <v/>
      </c>
    </row>
    <row r="3638" spans="1:1" x14ac:dyDescent="0.2">
      <c r="A3638" s="12" t="str">
        <f t="shared" si="56"/>
        <v/>
      </c>
    </row>
    <row r="3639" spans="1:1" x14ac:dyDescent="0.2">
      <c r="A3639" s="12" t="str">
        <f t="shared" si="56"/>
        <v/>
      </c>
    </row>
    <row r="3640" spans="1:1" x14ac:dyDescent="0.2">
      <c r="A3640" s="12" t="str">
        <f t="shared" si="56"/>
        <v/>
      </c>
    </row>
    <row r="3641" spans="1:1" x14ac:dyDescent="0.2">
      <c r="A3641" s="12" t="str">
        <f t="shared" si="56"/>
        <v/>
      </c>
    </row>
    <row r="3642" spans="1:1" x14ac:dyDescent="0.2">
      <c r="A3642" s="12" t="str">
        <f t="shared" si="56"/>
        <v/>
      </c>
    </row>
    <row r="3643" spans="1:1" x14ac:dyDescent="0.2">
      <c r="A3643" s="12" t="str">
        <f t="shared" si="56"/>
        <v/>
      </c>
    </row>
    <row r="3644" spans="1:1" x14ac:dyDescent="0.2">
      <c r="A3644" s="12" t="str">
        <f t="shared" si="56"/>
        <v/>
      </c>
    </row>
    <row r="3645" spans="1:1" x14ac:dyDescent="0.2">
      <c r="A3645" s="12" t="str">
        <f t="shared" si="56"/>
        <v/>
      </c>
    </row>
    <row r="3646" spans="1:1" x14ac:dyDescent="0.2">
      <c r="A3646" s="12" t="str">
        <f t="shared" si="56"/>
        <v/>
      </c>
    </row>
    <row r="3647" spans="1:1" x14ac:dyDescent="0.2">
      <c r="A3647" s="12" t="str">
        <f t="shared" si="56"/>
        <v/>
      </c>
    </row>
    <row r="3648" spans="1:1" x14ac:dyDescent="0.2">
      <c r="A3648" s="12" t="str">
        <f t="shared" si="56"/>
        <v/>
      </c>
    </row>
    <row r="3649" spans="1:1" x14ac:dyDescent="0.2">
      <c r="A3649" s="12" t="str">
        <f t="shared" si="56"/>
        <v/>
      </c>
    </row>
    <row r="3650" spans="1:1" x14ac:dyDescent="0.2">
      <c r="A3650" s="12" t="str">
        <f t="shared" ref="A3650:A3713" si="57">IF(INDEX($AJ:$AJ,ROW())="","",HYPERLINK(INDEX($AJ:$AJ,ROW()),"Open"))</f>
        <v/>
      </c>
    </row>
    <row r="3651" spans="1:1" x14ac:dyDescent="0.2">
      <c r="A3651" s="12" t="str">
        <f t="shared" si="57"/>
        <v/>
      </c>
    </row>
    <row r="3652" spans="1:1" x14ac:dyDescent="0.2">
      <c r="A3652" s="12" t="str">
        <f t="shared" si="57"/>
        <v/>
      </c>
    </row>
    <row r="3653" spans="1:1" x14ac:dyDescent="0.2">
      <c r="A3653" s="12" t="str">
        <f t="shared" si="57"/>
        <v/>
      </c>
    </row>
    <row r="3654" spans="1:1" x14ac:dyDescent="0.2">
      <c r="A3654" s="12" t="str">
        <f t="shared" si="57"/>
        <v/>
      </c>
    </row>
    <row r="3655" spans="1:1" x14ac:dyDescent="0.2">
      <c r="A3655" s="12" t="str">
        <f t="shared" si="57"/>
        <v/>
      </c>
    </row>
    <row r="3656" spans="1:1" x14ac:dyDescent="0.2">
      <c r="A3656" s="12" t="str">
        <f t="shared" si="57"/>
        <v/>
      </c>
    </row>
    <row r="3657" spans="1:1" x14ac:dyDescent="0.2">
      <c r="A3657" s="12" t="str">
        <f t="shared" si="57"/>
        <v/>
      </c>
    </row>
    <row r="3658" spans="1:1" x14ac:dyDescent="0.2">
      <c r="A3658" s="12" t="str">
        <f t="shared" si="57"/>
        <v/>
      </c>
    </row>
    <row r="3659" spans="1:1" x14ac:dyDescent="0.2">
      <c r="A3659" s="12" t="str">
        <f t="shared" si="57"/>
        <v/>
      </c>
    </row>
    <row r="3660" spans="1:1" x14ac:dyDescent="0.2">
      <c r="A3660" s="12" t="str">
        <f t="shared" si="57"/>
        <v/>
      </c>
    </row>
    <row r="3661" spans="1:1" x14ac:dyDescent="0.2">
      <c r="A3661" s="12" t="str">
        <f t="shared" si="57"/>
        <v/>
      </c>
    </row>
    <row r="3662" spans="1:1" x14ac:dyDescent="0.2">
      <c r="A3662" s="12" t="str">
        <f t="shared" si="57"/>
        <v/>
      </c>
    </row>
    <row r="3663" spans="1:1" x14ac:dyDescent="0.2">
      <c r="A3663" s="12" t="str">
        <f t="shared" si="57"/>
        <v/>
      </c>
    </row>
    <row r="3664" spans="1:1" x14ac:dyDescent="0.2">
      <c r="A3664" s="12" t="str">
        <f t="shared" si="57"/>
        <v/>
      </c>
    </row>
    <row r="3665" spans="1:1" x14ac:dyDescent="0.2">
      <c r="A3665" s="12" t="str">
        <f t="shared" si="57"/>
        <v/>
      </c>
    </row>
    <row r="3666" spans="1:1" x14ac:dyDescent="0.2">
      <c r="A3666" s="12" t="str">
        <f t="shared" si="57"/>
        <v/>
      </c>
    </row>
    <row r="3667" spans="1:1" x14ac:dyDescent="0.2">
      <c r="A3667" s="12" t="str">
        <f t="shared" si="57"/>
        <v/>
      </c>
    </row>
    <row r="3668" spans="1:1" x14ac:dyDescent="0.2">
      <c r="A3668" s="12" t="str">
        <f t="shared" si="57"/>
        <v/>
      </c>
    </row>
    <row r="3669" spans="1:1" x14ac:dyDescent="0.2">
      <c r="A3669" s="12" t="str">
        <f t="shared" si="57"/>
        <v/>
      </c>
    </row>
    <row r="3670" spans="1:1" x14ac:dyDescent="0.2">
      <c r="A3670" s="12" t="str">
        <f t="shared" si="57"/>
        <v/>
      </c>
    </row>
    <row r="3671" spans="1:1" x14ac:dyDescent="0.2">
      <c r="A3671" s="12" t="str">
        <f t="shared" si="57"/>
        <v/>
      </c>
    </row>
    <row r="3672" spans="1:1" x14ac:dyDescent="0.2">
      <c r="A3672" s="12" t="str">
        <f t="shared" si="57"/>
        <v/>
      </c>
    </row>
    <row r="3673" spans="1:1" x14ac:dyDescent="0.2">
      <c r="A3673" s="12" t="str">
        <f t="shared" si="57"/>
        <v/>
      </c>
    </row>
    <row r="3674" spans="1:1" x14ac:dyDescent="0.2">
      <c r="A3674" s="12" t="str">
        <f t="shared" si="57"/>
        <v/>
      </c>
    </row>
    <row r="3675" spans="1:1" x14ac:dyDescent="0.2">
      <c r="A3675" s="12" t="str">
        <f t="shared" si="57"/>
        <v/>
      </c>
    </row>
    <row r="3676" spans="1:1" x14ac:dyDescent="0.2">
      <c r="A3676" s="12" t="str">
        <f t="shared" si="57"/>
        <v/>
      </c>
    </row>
    <row r="3677" spans="1:1" x14ac:dyDescent="0.2">
      <c r="A3677" s="12" t="str">
        <f t="shared" si="57"/>
        <v/>
      </c>
    </row>
    <row r="3678" spans="1:1" x14ac:dyDescent="0.2">
      <c r="A3678" s="12" t="str">
        <f t="shared" si="57"/>
        <v/>
      </c>
    </row>
    <row r="3679" spans="1:1" x14ac:dyDescent="0.2">
      <c r="A3679" s="12" t="str">
        <f t="shared" si="57"/>
        <v/>
      </c>
    </row>
    <row r="3680" spans="1:1" x14ac:dyDescent="0.2">
      <c r="A3680" s="12" t="str">
        <f t="shared" si="57"/>
        <v/>
      </c>
    </row>
    <row r="3681" spans="1:1" x14ac:dyDescent="0.2">
      <c r="A3681" s="12" t="str">
        <f t="shared" si="57"/>
        <v/>
      </c>
    </row>
    <row r="3682" spans="1:1" x14ac:dyDescent="0.2">
      <c r="A3682" s="12" t="str">
        <f t="shared" si="57"/>
        <v/>
      </c>
    </row>
    <row r="3683" spans="1:1" x14ac:dyDescent="0.2">
      <c r="A3683" s="12" t="str">
        <f t="shared" si="57"/>
        <v/>
      </c>
    </row>
    <row r="3684" spans="1:1" x14ac:dyDescent="0.2">
      <c r="A3684" s="12" t="str">
        <f t="shared" si="57"/>
        <v/>
      </c>
    </row>
    <row r="3685" spans="1:1" x14ac:dyDescent="0.2">
      <c r="A3685" s="12" t="str">
        <f t="shared" si="57"/>
        <v/>
      </c>
    </row>
    <row r="3686" spans="1:1" x14ac:dyDescent="0.2">
      <c r="A3686" s="12" t="str">
        <f t="shared" si="57"/>
        <v/>
      </c>
    </row>
    <row r="3687" spans="1:1" x14ac:dyDescent="0.2">
      <c r="A3687" s="12" t="str">
        <f t="shared" si="57"/>
        <v/>
      </c>
    </row>
    <row r="3688" spans="1:1" x14ac:dyDescent="0.2">
      <c r="A3688" s="12" t="str">
        <f t="shared" si="57"/>
        <v/>
      </c>
    </row>
    <row r="3689" spans="1:1" x14ac:dyDescent="0.2">
      <c r="A3689" s="12" t="str">
        <f t="shared" si="57"/>
        <v/>
      </c>
    </row>
    <row r="3690" spans="1:1" x14ac:dyDescent="0.2">
      <c r="A3690" s="12" t="str">
        <f t="shared" si="57"/>
        <v/>
      </c>
    </row>
    <row r="3691" spans="1:1" x14ac:dyDescent="0.2">
      <c r="A3691" s="12" t="str">
        <f t="shared" si="57"/>
        <v/>
      </c>
    </row>
    <row r="3692" spans="1:1" x14ac:dyDescent="0.2">
      <c r="A3692" s="12" t="str">
        <f t="shared" si="57"/>
        <v/>
      </c>
    </row>
    <row r="3693" spans="1:1" x14ac:dyDescent="0.2">
      <c r="A3693" s="12" t="str">
        <f t="shared" si="57"/>
        <v/>
      </c>
    </row>
    <row r="3694" spans="1:1" x14ac:dyDescent="0.2">
      <c r="A3694" s="12" t="str">
        <f t="shared" si="57"/>
        <v/>
      </c>
    </row>
    <row r="3695" spans="1:1" x14ac:dyDescent="0.2">
      <c r="A3695" s="12" t="str">
        <f t="shared" si="57"/>
        <v/>
      </c>
    </row>
    <row r="3696" spans="1:1" x14ac:dyDescent="0.2">
      <c r="A3696" s="12" t="str">
        <f t="shared" si="57"/>
        <v/>
      </c>
    </row>
    <row r="3697" spans="1:1" x14ac:dyDescent="0.2">
      <c r="A3697" s="12" t="str">
        <f t="shared" si="57"/>
        <v/>
      </c>
    </row>
    <row r="3698" spans="1:1" x14ac:dyDescent="0.2">
      <c r="A3698" s="12" t="str">
        <f t="shared" si="57"/>
        <v/>
      </c>
    </row>
    <row r="3699" spans="1:1" x14ac:dyDescent="0.2">
      <c r="A3699" s="12" t="str">
        <f t="shared" si="57"/>
        <v/>
      </c>
    </row>
    <row r="3700" spans="1:1" x14ac:dyDescent="0.2">
      <c r="A3700" s="12" t="str">
        <f t="shared" si="57"/>
        <v/>
      </c>
    </row>
    <row r="3701" spans="1:1" x14ac:dyDescent="0.2">
      <c r="A3701" s="12" t="str">
        <f t="shared" si="57"/>
        <v/>
      </c>
    </row>
    <row r="3702" spans="1:1" x14ac:dyDescent="0.2">
      <c r="A3702" s="12" t="str">
        <f t="shared" si="57"/>
        <v/>
      </c>
    </row>
    <row r="3703" spans="1:1" x14ac:dyDescent="0.2">
      <c r="A3703" s="12" t="str">
        <f t="shared" si="57"/>
        <v/>
      </c>
    </row>
    <row r="3704" spans="1:1" x14ac:dyDescent="0.2">
      <c r="A3704" s="12" t="str">
        <f t="shared" si="57"/>
        <v/>
      </c>
    </row>
    <row r="3705" spans="1:1" x14ac:dyDescent="0.2">
      <c r="A3705" s="12" t="str">
        <f t="shared" si="57"/>
        <v/>
      </c>
    </row>
    <row r="3706" spans="1:1" x14ac:dyDescent="0.2">
      <c r="A3706" s="12" t="str">
        <f t="shared" si="57"/>
        <v/>
      </c>
    </row>
    <row r="3707" spans="1:1" x14ac:dyDescent="0.2">
      <c r="A3707" s="12" t="str">
        <f t="shared" si="57"/>
        <v/>
      </c>
    </row>
    <row r="3708" spans="1:1" x14ac:dyDescent="0.2">
      <c r="A3708" s="12" t="str">
        <f t="shared" si="57"/>
        <v/>
      </c>
    </row>
    <row r="3709" spans="1:1" x14ac:dyDescent="0.2">
      <c r="A3709" s="12" t="str">
        <f t="shared" si="57"/>
        <v/>
      </c>
    </row>
    <row r="3710" spans="1:1" x14ac:dyDescent="0.2">
      <c r="A3710" s="12" t="str">
        <f t="shared" si="57"/>
        <v/>
      </c>
    </row>
    <row r="3711" spans="1:1" x14ac:dyDescent="0.2">
      <c r="A3711" s="12" t="str">
        <f t="shared" si="57"/>
        <v/>
      </c>
    </row>
    <row r="3712" spans="1:1" x14ac:dyDescent="0.2">
      <c r="A3712" s="12" t="str">
        <f t="shared" si="57"/>
        <v/>
      </c>
    </row>
    <row r="3713" spans="1:1" x14ac:dyDescent="0.2">
      <c r="A3713" s="12" t="str">
        <f t="shared" si="57"/>
        <v/>
      </c>
    </row>
    <row r="3714" spans="1:1" x14ac:dyDescent="0.2">
      <c r="A3714" s="12" t="str">
        <f t="shared" ref="A3714:A3777" si="58">IF(INDEX($AJ:$AJ,ROW())="","",HYPERLINK(INDEX($AJ:$AJ,ROW()),"Open"))</f>
        <v/>
      </c>
    </row>
    <row r="3715" spans="1:1" x14ac:dyDescent="0.2">
      <c r="A3715" s="12" t="str">
        <f t="shared" si="58"/>
        <v/>
      </c>
    </row>
    <row r="3716" spans="1:1" x14ac:dyDescent="0.2">
      <c r="A3716" s="12" t="str">
        <f t="shared" si="58"/>
        <v/>
      </c>
    </row>
    <row r="3717" spans="1:1" x14ac:dyDescent="0.2">
      <c r="A3717" s="12" t="str">
        <f t="shared" si="58"/>
        <v/>
      </c>
    </row>
    <row r="3718" spans="1:1" x14ac:dyDescent="0.2">
      <c r="A3718" s="12" t="str">
        <f t="shared" si="58"/>
        <v/>
      </c>
    </row>
    <row r="3719" spans="1:1" x14ac:dyDescent="0.2">
      <c r="A3719" s="12" t="str">
        <f t="shared" si="58"/>
        <v/>
      </c>
    </row>
    <row r="3720" spans="1:1" x14ac:dyDescent="0.2">
      <c r="A3720" s="12" t="str">
        <f t="shared" si="58"/>
        <v/>
      </c>
    </row>
    <row r="3721" spans="1:1" x14ac:dyDescent="0.2">
      <c r="A3721" s="12" t="str">
        <f t="shared" si="58"/>
        <v/>
      </c>
    </row>
    <row r="3722" spans="1:1" x14ac:dyDescent="0.2">
      <c r="A3722" s="12" t="str">
        <f t="shared" si="58"/>
        <v/>
      </c>
    </row>
    <row r="3723" spans="1:1" x14ac:dyDescent="0.2">
      <c r="A3723" s="12" t="str">
        <f t="shared" si="58"/>
        <v/>
      </c>
    </row>
    <row r="3724" spans="1:1" x14ac:dyDescent="0.2">
      <c r="A3724" s="12" t="str">
        <f t="shared" si="58"/>
        <v/>
      </c>
    </row>
    <row r="3725" spans="1:1" x14ac:dyDescent="0.2">
      <c r="A3725" s="12" t="str">
        <f t="shared" si="58"/>
        <v/>
      </c>
    </row>
    <row r="3726" spans="1:1" x14ac:dyDescent="0.2">
      <c r="A3726" s="12" t="str">
        <f t="shared" si="58"/>
        <v/>
      </c>
    </row>
    <row r="3727" spans="1:1" x14ac:dyDescent="0.2">
      <c r="A3727" s="12" t="str">
        <f t="shared" si="58"/>
        <v/>
      </c>
    </row>
    <row r="3728" spans="1:1" x14ac:dyDescent="0.2">
      <c r="A3728" s="12" t="str">
        <f t="shared" si="58"/>
        <v/>
      </c>
    </row>
    <row r="3729" spans="1:1" x14ac:dyDescent="0.2">
      <c r="A3729" s="12" t="str">
        <f t="shared" si="58"/>
        <v/>
      </c>
    </row>
    <row r="3730" spans="1:1" x14ac:dyDescent="0.2">
      <c r="A3730" s="12" t="str">
        <f t="shared" si="58"/>
        <v/>
      </c>
    </row>
    <row r="3731" spans="1:1" x14ac:dyDescent="0.2">
      <c r="A3731" s="12" t="str">
        <f t="shared" si="58"/>
        <v/>
      </c>
    </row>
    <row r="3732" spans="1:1" x14ac:dyDescent="0.2">
      <c r="A3732" s="12" t="str">
        <f t="shared" si="58"/>
        <v/>
      </c>
    </row>
    <row r="3733" spans="1:1" x14ac:dyDescent="0.2">
      <c r="A3733" s="12" t="str">
        <f t="shared" si="58"/>
        <v/>
      </c>
    </row>
    <row r="3734" spans="1:1" x14ac:dyDescent="0.2">
      <c r="A3734" s="12" t="str">
        <f t="shared" si="58"/>
        <v/>
      </c>
    </row>
    <row r="3735" spans="1:1" x14ac:dyDescent="0.2">
      <c r="A3735" s="12" t="str">
        <f t="shared" si="58"/>
        <v/>
      </c>
    </row>
    <row r="3736" spans="1:1" x14ac:dyDescent="0.2">
      <c r="A3736" s="12" t="str">
        <f t="shared" si="58"/>
        <v/>
      </c>
    </row>
    <row r="3737" spans="1:1" x14ac:dyDescent="0.2">
      <c r="A3737" s="12" t="str">
        <f t="shared" si="58"/>
        <v/>
      </c>
    </row>
    <row r="3738" spans="1:1" x14ac:dyDescent="0.2">
      <c r="A3738" s="12" t="str">
        <f t="shared" si="58"/>
        <v/>
      </c>
    </row>
    <row r="3739" spans="1:1" x14ac:dyDescent="0.2">
      <c r="A3739" s="12" t="str">
        <f t="shared" si="58"/>
        <v/>
      </c>
    </row>
    <row r="3740" spans="1:1" x14ac:dyDescent="0.2">
      <c r="A3740" s="12" t="str">
        <f t="shared" si="58"/>
        <v/>
      </c>
    </row>
    <row r="3741" spans="1:1" x14ac:dyDescent="0.2">
      <c r="A3741" s="12" t="str">
        <f t="shared" si="58"/>
        <v/>
      </c>
    </row>
    <row r="3742" spans="1:1" x14ac:dyDescent="0.2">
      <c r="A3742" s="12" t="str">
        <f t="shared" si="58"/>
        <v/>
      </c>
    </row>
    <row r="3743" spans="1:1" x14ac:dyDescent="0.2">
      <c r="A3743" s="12" t="str">
        <f t="shared" si="58"/>
        <v/>
      </c>
    </row>
    <row r="3744" spans="1:1" x14ac:dyDescent="0.2">
      <c r="A3744" s="12" t="str">
        <f t="shared" si="58"/>
        <v/>
      </c>
    </row>
    <row r="3745" spans="1:1" x14ac:dyDescent="0.2">
      <c r="A3745" s="12" t="str">
        <f t="shared" si="58"/>
        <v/>
      </c>
    </row>
    <row r="3746" spans="1:1" x14ac:dyDescent="0.2">
      <c r="A3746" s="12" t="str">
        <f t="shared" si="58"/>
        <v/>
      </c>
    </row>
    <row r="3747" spans="1:1" x14ac:dyDescent="0.2">
      <c r="A3747" s="12" t="str">
        <f t="shared" si="58"/>
        <v/>
      </c>
    </row>
    <row r="3748" spans="1:1" x14ac:dyDescent="0.2">
      <c r="A3748" s="12" t="str">
        <f t="shared" si="58"/>
        <v/>
      </c>
    </row>
    <row r="3749" spans="1:1" x14ac:dyDescent="0.2">
      <c r="A3749" s="12" t="str">
        <f t="shared" si="58"/>
        <v/>
      </c>
    </row>
    <row r="3750" spans="1:1" x14ac:dyDescent="0.2">
      <c r="A3750" s="12" t="str">
        <f t="shared" si="58"/>
        <v/>
      </c>
    </row>
    <row r="3751" spans="1:1" x14ac:dyDescent="0.2">
      <c r="A3751" s="12" t="str">
        <f t="shared" si="58"/>
        <v/>
      </c>
    </row>
    <row r="3752" spans="1:1" x14ac:dyDescent="0.2">
      <c r="A3752" s="12" t="str">
        <f t="shared" si="58"/>
        <v/>
      </c>
    </row>
    <row r="3753" spans="1:1" x14ac:dyDescent="0.2">
      <c r="A3753" s="12" t="str">
        <f t="shared" si="58"/>
        <v/>
      </c>
    </row>
    <row r="3754" spans="1:1" x14ac:dyDescent="0.2">
      <c r="A3754" s="12" t="str">
        <f t="shared" si="58"/>
        <v/>
      </c>
    </row>
    <row r="3755" spans="1:1" x14ac:dyDescent="0.2">
      <c r="A3755" s="12" t="str">
        <f t="shared" si="58"/>
        <v/>
      </c>
    </row>
    <row r="3756" spans="1:1" x14ac:dyDescent="0.2">
      <c r="A3756" s="12" t="str">
        <f t="shared" si="58"/>
        <v/>
      </c>
    </row>
    <row r="3757" spans="1:1" x14ac:dyDescent="0.2">
      <c r="A3757" s="12" t="str">
        <f t="shared" si="58"/>
        <v/>
      </c>
    </row>
    <row r="3758" spans="1:1" x14ac:dyDescent="0.2">
      <c r="A3758" s="12" t="str">
        <f t="shared" si="58"/>
        <v/>
      </c>
    </row>
    <row r="3759" spans="1:1" x14ac:dyDescent="0.2">
      <c r="A3759" s="12" t="str">
        <f t="shared" si="58"/>
        <v/>
      </c>
    </row>
    <row r="3760" spans="1:1" x14ac:dyDescent="0.2">
      <c r="A3760" s="12" t="str">
        <f t="shared" si="58"/>
        <v/>
      </c>
    </row>
    <row r="3761" spans="1:1" x14ac:dyDescent="0.2">
      <c r="A3761" s="12" t="str">
        <f t="shared" si="58"/>
        <v/>
      </c>
    </row>
    <row r="3762" spans="1:1" x14ac:dyDescent="0.2">
      <c r="A3762" s="12" t="str">
        <f t="shared" si="58"/>
        <v/>
      </c>
    </row>
    <row r="3763" spans="1:1" x14ac:dyDescent="0.2">
      <c r="A3763" s="12" t="str">
        <f t="shared" si="58"/>
        <v/>
      </c>
    </row>
    <row r="3764" spans="1:1" x14ac:dyDescent="0.2">
      <c r="A3764" s="12" t="str">
        <f t="shared" si="58"/>
        <v/>
      </c>
    </row>
    <row r="3765" spans="1:1" x14ac:dyDescent="0.2">
      <c r="A3765" s="12" t="str">
        <f t="shared" si="58"/>
        <v/>
      </c>
    </row>
    <row r="3766" spans="1:1" x14ac:dyDescent="0.2">
      <c r="A3766" s="12" t="str">
        <f t="shared" si="58"/>
        <v/>
      </c>
    </row>
    <row r="3767" spans="1:1" x14ac:dyDescent="0.2">
      <c r="A3767" s="12" t="str">
        <f t="shared" si="58"/>
        <v/>
      </c>
    </row>
    <row r="3768" spans="1:1" x14ac:dyDescent="0.2">
      <c r="A3768" s="12" t="str">
        <f t="shared" si="58"/>
        <v/>
      </c>
    </row>
    <row r="3769" spans="1:1" x14ac:dyDescent="0.2">
      <c r="A3769" s="12" t="str">
        <f t="shared" si="58"/>
        <v/>
      </c>
    </row>
    <row r="3770" spans="1:1" x14ac:dyDescent="0.2">
      <c r="A3770" s="12" t="str">
        <f t="shared" si="58"/>
        <v/>
      </c>
    </row>
    <row r="3771" spans="1:1" x14ac:dyDescent="0.2">
      <c r="A3771" s="12" t="str">
        <f t="shared" si="58"/>
        <v/>
      </c>
    </row>
    <row r="3772" spans="1:1" x14ac:dyDescent="0.2">
      <c r="A3772" s="12" t="str">
        <f t="shared" si="58"/>
        <v/>
      </c>
    </row>
    <row r="3773" spans="1:1" x14ac:dyDescent="0.2">
      <c r="A3773" s="12" t="str">
        <f t="shared" si="58"/>
        <v/>
      </c>
    </row>
    <row r="3774" spans="1:1" x14ac:dyDescent="0.2">
      <c r="A3774" s="12" t="str">
        <f t="shared" si="58"/>
        <v/>
      </c>
    </row>
    <row r="3775" spans="1:1" x14ac:dyDescent="0.2">
      <c r="A3775" s="12" t="str">
        <f t="shared" si="58"/>
        <v/>
      </c>
    </row>
    <row r="3776" spans="1:1" x14ac:dyDescent="0.2">
      <c r="A3776" s="12" t="str">
        <f t="shared" si="58"/>
        <v/>
      </c>
    </row>
    <row r="3777" spans="1:1" x14ac:dyDescent="0.2">
      <c r="A3777" s="12" t="str">
        <f t="shared" si="58"/>
        <v/>
      </c>
    </row>
    <row r="3778" spans="1:1" x14ac:dyDescent="0.2">
      <c r="A3778" s="12" t="str">
        <f t="shared" ref="A3778:A3841" si="59">IF(INDEX($AJ:$AJ,ROW())="","",HYPERLINK(INDEX($AJ:$AJ,ROW()),"Open"))</f>
        <v/>
      </c>
    </row>
    <row r="3779" spans="1:1" x14ac:dyDescent="0.2">
      <c r="A3779" s="12" t="str">
        <f t="shared" si="59"/>
        <v/>
      </c>
    </row>
    <row r="3780" spans="1:1" x14ac:dyDescent="0.2">
      <c r="A3780" s="12" t="str">
        <f t="shared" si="59"/>
        <v/>
      </c>
    </row>
    <row r="3781" spans="1:1" x14ac:dyDescent="0.2">
      <c r="A3781" s="12" t="str">
        <f t="shared" si="59"/>
        <v/>
      </c>
    </row>
    <row r="3782" spans="1:1" x14ac:dyDescent="0.2">
      <c r="A3782" s="12" t="str">
        <f t="shared" si="59"/>
        <v/>
      </c>
    </row>
    <row r="3783" spans="1:1" x14ac:dyDescent="0.2">
      <c r="A3783" s="12" t="str">
        <f t="shared" si="59"/>
        <v/>
      </c>
    </row>
    <row r="3784" spans="1:1" x14ac:dyDescent="0.2">
      <c r="A3784" s="12" t="str">
        <f t="shared" si="59"/>
        <v/>
      </c>
    </row>
    <row r="3785" spans="1:1" x14ac:dyDescent="0.2">
      <c r="A3785" s="12" t="str">
        <f t="shared" si="59"/>
        <v/>
      </c>
    </row>
    <row r="3786" spans="1:1" x14ac:dyDescent="0.2">
      <c r="A3786" s="12" t="str">
        <f t="shared" si="59"/>
        <v/>
      </c>
    </row>
    <row r="3787" spans="1:1" x14ac:dyDescent="0.2">
      <c r="A3787" s="12" t="str">
        <f t="shared" si="59"/>
        <v/>
      </c>
    </row>
    <row r="3788" spans="1:1" x14ac:dyDescent="0.2">
      <c r="A3788" s="12" t="str">
        <f t="shared" si="59"/>
        <v/>
      </c>
    </row>
    <row r="3789" spans="1:1" x14ac:dyDescent="0.2">
      <c r="A3789" s="12" t="str">
        <f t="shared" si="59"/>
        <v/>
      </c>
    </row>
    <row r="3790" spans="1:1" x14ac:dyDescent="0.2">
      <c r="A3790" s="12" t="str">
        <f t="shared" si="59"/>
        <v/>
      </c>
    </row>
    <row r="3791" spans="1:1" x14ac:dyDescent="0.2">
      <c r="A3791" s="12" t="str">
        <f t="shared" si="59"/>
        <v/>
      </c>
    </row>
    <row r="3792" spans="1:1" x14ac:dyDescent="0.2">
      <c r="A3792" s="12" t="str">
        <f t="shared" si="59"/>
        <v/>
      </c>
    </row>
    <row r="3793" spans="1:1" x14ac:dyDescent="0.2">
      <c r="A3793" s="12" t="str">
        <f t="shared" si="59"/>
        <v/>
      </c>
    </row>
    <row r="3794" spans="1:1" x14ac:dyDescent="0.2">
      <c r="A3794" s="12" t="str">
        <f t="shared" si="59"/>
        <v/>
      </c>
    </row>
    <row r="3795" spans="1:1" x14ac:dyDescent="0.2">
      <c r="A3795" s="12" t="str">
        <f t="shared" si="59"/>
        <v/>
      </c>
    </row>
    <row r="3796" spans="1:1" x14ac:dyDescent="0.2">
      <c r="A3796" s="12" t="str">
        <f t="shared" si="59"/>
        <v/>
      </c>
    </row>
    <row r="3797" spans="1:1" x14ac:dyDescent="0.2">
      <c r="A3797" s="12" t="str">
        <f t="shared" si="59"/>
        <v/>
      </c>
    </row>
    <row r="3798" spans="1:1" x14ac:dyDescent="0.2">
      <c r="A3798" s="12" t="str">
        <f t="shared" si="59"/>
        <v/>
      </c>
    </row>
    <row r="3799" spans="1:1" x14ac:dyDescent="0.2">
      <c r="A3799" s="12" t="str">
        <f t="shared" si="59"/>
        <v/>
      </c>
    </row>
    <row r="3800" spans="1:1" x14ac:dyDescent="0.2">
      <c r="A3800" s="12" t="str">
        <f t="shared" si="59"/>
        <v/>
      </c>
    </row>
    <row r="3801" spans="1:1" x14ac:dyDescent="0.2">
      <c r="A3801" s="12" t="str">
        <f t="shared" si="59"/>
        <v/>
      </c>
    </row>
    <row r="3802" spans="1:1" x14ac:dyDescent="0.2">
      <c r="A3802" s="12" t="str">
        <f t="shared" si="59"/>
        <v/>
      </c>
    </row>
    <row r="3803" spans="1:1" x14ac:dyDescent="0.2">
      <c r="A3803" s="12" t="str">
        <f t="shared" si="59"/>
        <v/>
      </c>
    </row>
    <row r="3804" spans="1:1" x14ac:dyDescent="0.2">
      <c r="A3804" s="12" t="str">
        <f t="shared" si="59"/>
        <v/>
      </c>
    </row>
    <row r="3805" spans="1:1" x14ac:dyDescent="0.2">
      <c r="A3805" s="12" t="str">
        <f t="shared" si="59"/>
        <v/>
      </c>
    </row>
    <row r="3806" spans="1:1" x14ac:dyDescent="0.2">
      <c r="A3806" s="12" t="str">
        <f t="shared" si="59"/>
        <v/>
      </c>
    </row>
    <row r="3807" spans="1:1" x14ac:dyDescent="0.2">
      <c r="A3807" s="12" t="str">
        <f t="shared" si="59"/>
        <v/>
      </c>
    </row>
    <row r="3808" spans="1:1" x14ac:dyDescent="0.2">
      <c r="A3808" s="12" t="str">
        <f t="shared" si="59"/>
        <v/>
      </c>
    </row>
    <row r="3809" spans="1:1" x14ac:dyDescent="0.2">
      <c r="A3809" s="12" t="str">
        <f t="shared" si="59"/>
        <v/>
      </c>
    </row>
    <row r="3810" spans="1:1" x14ac:dyDescent="0.2">
      <c r="A3810" s="12" t="str">
        <f t="shared" si="59"/>
        <v/>
      </c>
    </row>
    <row r="3811" spans="1:1" x14ac:dyDescent="0.2">
      <c r="A3811" s="12" t="str">
        <f t="shared" si="59"/>
        <v/>
      </c>
    </row>
    <row r="3812" spans="1:1" x14ac:dyDescent="0.2">
      <c r="A3812" s="12" t="str">
        <f t="shared" si="59"/>
        <v/>
      </c>
    </row>
    <row r="3813" spans="1:1" x14ac:dyDescent="0.2">
      <c r="A3813" s="12" t="str">
        <f t="shared" si="59"/>
        <v/>
      </c>
    </row>
    <row r="3814" spans="1:1" x14ac:dyDescent="0.2">
      <c r="A3814" s="12" t="str">
        <f t="shared" si="59"/>
        <v/>
      </c>
    </row>
    <row r="3815" spans="1:1" x14ac:dyDescent="0.2">
      <c r="A3815" s="12" t="str">
        <f t="shared" si="59"/>
        <v/>
      </c>
    </row>
    <row r="3816" spans="1:1" x14ac:dyDescent="0.2">
      <c r="A3816" s="12" t="str">
        <f t="shared" si="59"/>
        <v/>
      </c>
    </row>
    <row r="3817" spans="1:1" x14ac:dyDescent="0.2">
      <c r="A3817" s="12" t="str">
        <f t="shared" si="59"/>
        <v/>
      </c>
    </row>
    <row r="3818" spans="1:1" x14ac:dyDescent="0.2">
      <c r="A3818" s="12" t="str">
        <f t="shared" si="59"/>
        <v/>
      </c>
    </row>
    <row r="3819" spans="1:1" x14ac:dyDescent="0.2">
      <c r="A3819" s="12" t="str">
        <f t="shared" si="59"/>
        <v/>
      </c>
    </row>
    <row r="3820" spans="1:1" x14ac:dyDescent="0.2">
      <c r="A3820" s="12" t="str">
        <f t="shared" si="59"/>
        <v/>
      </c>
    </row>
    <row r="3821" spans="1:1" x14ac:dyDescent="0.2">
      <c r="A3821" s="12" t="str">
        <f t="shared" si="59"/>
        <v/>
      </c>
    </row>
    <row r="3822" spans="1:1" x14ac:dyDescent="0.2">
      <c r="A3822" s="12" t="str">
        <f t="shared" si="59"/>
        <v/>
      </c>
    </row>
    <row r="3823" spans="1:1" x14ac:dyDescent="0.2">
      <c r="A3823" s="12" t="str">
        <f t="shared" si="59"/>
        <v/>
      </c>
    </row>
    <row r="3824" spans="1:1" x14ac:dyDescent="0.2">
      <c r="A3824" s="12" t="str">
        <f t="shared" si="59"/>
        <v/>
      </c>
    </row>
    <row r="3825" spans="1:1" x14ac:dyDescent="0.2">
      <c r="A3825" s="12" t="str">
        <f t="shared" si="59"/>
        <v/>
      </c>
    </row>
    <row r="3826" spans="1:1" x14ac:dyDescent="0.2">
      <c r="A3826" s="12" t="str">
        <f t="shared" si="59"/>
        <v/>
      </c>
    </row>
    <row r="3827" spans="1:1" x14ac:dyDescent="0.2">
      <c r="A3827" s="12" t="str">
        <f t="shared" si="59"/>
        <v/>
      </c>
    </row>
    <row r="3828" spans="1:1" x14ac:dyDescent="0.2">
      <c r="A3828" s="12" t="str">
        <f t="shared" si="59"/>
        <v/>
      </c>
    </row>
    <row r="3829" spans="1:1" x14ac:dyDescent="0.2">
      <c r="A3829" s="12" t="str">
        <f t="shared" si="59"/>
        <v/>
      </c>
    </row>
    <row r="3830" spans="1:1" x14ac:dyDescent="0.2">
      <c r="A3830" s="12" t="str">
        <f t="shared" si="59"/>
        <v/>
      </c>
    </row>
    <row r="3831" spans="1:1" x14ac:dyDescent="0.2">
      <c r="A3831" s="12" t="str">
        <f t="shared" si="59"/>
        <v/>
      </c>
    </row>
    <row r="3832" spans="1:1" x14ac:dyDescent="0.2">
      <c r="A3832" s="12" t="str">
        <f t="shared" si="59"/>
        <v/>
      </c>
    </row>
    <row r="3833" spans="1:1" x14ac:dyDescent="0.2">
      <c r="A3833" s="12" t="str">
        <f t="shared" si="59"/>
        <v/>
      </c>
    </row>
    <row r="3834" spans="1:1" x14ac:dyDescent="0.2">
      <c r="A3834" s="12" t="str">
        <f t="shared" si="59"/>
        <v/>
      </c>
    </row>
    <row r="3835" spans="1:1" x14ac:dyDescent="0.2">
      <c r="A3835" s="12" t="str">
        <f t="shared" si="59"/>
        <v/>
      </c>
    </row>
    <row r="3836" spans="1:1" x14ac:dyDescent="0.2">
      <c r="A3836" s="12" t="str">
        <f t="shared" si="59"/>
        <v/>
      </c>
    </row>
    <row r="3837" spans="1:1" x14ac:dyDescent="0.2">
      <c r="A3837" s="12" t="str">
        <f t="shared" si="59"/>
        <v/>
      </c>
    </row>
    <row r="3838" spans="1:1" x14ac:dyDescent="0.2">
      <c r="A3838" s="12" t="str">
        <f t="shared" si="59"/>
        <v/>
      </c>
    </row>
    <row r="3839" spans="1:1" x14ac:dyDescent="0.2">
      <c r="A3839" s="12" t="str">
        <f t="shared" si="59"/>
        <v/>
      </c>
    </row>
    <row r="3840" spans="1:1" x14ac:dyDescent="0.2">
      <c r="A3840" s="12" t="str">
        <f t="shared" si="59"/>
        <v/>
      </c>
    </row>
    <row r="3841" spans="1:1" x14ac:dyDescent="0.2">
      <c r="A3841" s="12" t="str">
        <f t="shared" si="59"/>
        <v/>
      </c>
    </row>
    <row r="3842" spans="1:1" x14ac:dyDescent="0.2">
      <c r="A3842" s="12" t="str">
        <f t="shared" ref="A3842:A3905" si="60">IF(INDEX($AJ:$AJ,ROW())="","",HYPERLINK(INDEX($AJ:$AJ,ROW()),"Open"))</f>
        <v/>
      </c>
    </row>
    <row r="3843" spans="1:1" x14ac:dyDescent="0.2">
      <c r="A3843" s="12" t="str">
        <f t="shared" si="60"/>
        <v/>
      </c>
    </row>
    <row r="3844" spans="1:1" x14ac:dyDescent="0.2">
      <c r="A3844" s="12" t="str">
        <f t="shared" si="60"/>
        <v/>
      </c>
    </row>
    <row r="3845" spans="1:1" x14ac:dyDescent="0.2">
      <c r="A3845" s="12" t="str">
        <f t="shared" si="60"/>
        <v/>
      </c>
    </row>
    <row r="3846" spans="1:1" x14ac:dyDescent="0.2">
      <c r="A3846" s="12" t="str">
        <f t="shared" si="60"/>
        <v/>
      </c>
    </row>
    <row r="3847" spans="1:1" x14ac:dyDescent="0.2">
      <c r="A3847" s="12" t="str">
        <f t="shared" si="60"/>
        <v/>
      </c>
    </row>
    <row r="3848" spans="1:1" x14ac:dyDescent="0.2">
      <c r="A3848" s="12" t="str">
        <f t="shared" si="60"/>
        <v/>
      </c>
    </row>
    <row r="3849" spans="1:1" x14ac:dyDescent="0.2">
      <c r="A3849" s="12" t="str">
        <f t="shared" si="60"/>
        <v/>
      </c>
    </row>
    <row r="3850" spans="1:1" x14ac:dyDescent="0.2">
      <c r="A3850" s="12" t="str">
        <f t="shared" si="60"/>
        <v/>
      </c>
    </row>
    <row r="3851" spans="1:1" x14ac:dyDescent="0.2">
      <c r="A3851" s="12" t="str">
        <f t="shared" si="60"/>
        <v/>
      </c>
    </row>
    <row r="3852" spans="1:1" x14ac:dyDescent="0.2">
      <c r="A3852" s="12" t="str">
        <f t="shared" si="60"/>
        <v/>
      </c>
    </row>
    <row r="3853" spans="1:1" x14ac:dyDescent="0.2">
      <c r="A3853" s="12" t="str">
        <f t="shared" si="60"/>
        <v/>
      </c>
    </row>
    <row r="3854" spans="1:1" x14ac:dyDescent="0.2">
      <c r="A3854" s="12" t="str">
        <f t="shared" si="60"/>
        <v/>
      </c>
    </row>
    <row r="3855" spans="1:1" x14ac:dyDescent="0.2">
      <c r="A3855" s="12" t="str">
        <f t="shared" si="60"/>
        <v/>
      </c>
    </row>
    <row r="3856" spans="1:1" x14ac:dyDescent="0.2">
      <c r="A3856" s="12" t="str">
        <f t="shared" si="60"/>
        <v/>
      </c>
    </row>
    <row r="3857" spans="1:1" x14ac:dyDescent="0.2">
      <c r="A3857" s="12" t="str">
        <f t="shared" si="60"/>
        <v/>
      </c>
    </row>
    <row r="3858" spans="1:1" x14ac:dyDescent="0.2">
      <c r="A3858" s="12" t="str">
        <f t="shared" si="60"/>
        <v/>
      </c>
    </row>
    <row r="3859" spans="1:1" x14ac:dyDescent="0.2">
      <c r="A3859" s="12" t="str">
        <f t="shared" si="60"/>
        <v/>
      </c>
    </row>
    <row r="3860" spans="1:1" x14ac:dyDescent="0.2">
      <c r="A3860" s="12" t="str">
        <f t="shared" si="60"/>
        <v/>
      </c>
    </row>
    <row r="3861" spans="1:1" x14ac:dyDescent="0.2">
      <c r="A3861" s="12" t="str">
        <f t="shared" si="60"/>
        <v/>
      </c>
    </row>
    <row r="3862" spans="1:1" x14ac:dyDescent="0.2">
      <c r="A3862" s="12" t="str">
        <f t="shared" si="60"/>
        <v/>
      </c>
    </row>
    <row r="3863" spans="1:1" x14ac:dyDescent="0.2">
      <c r="A3863" s="12" t="str">
        <f t="shared" si="60"/>
        <v/>
      </c>
    </row>
    <row r="3864" spans="1:1" x14ac:dyDescent="0.2">
      <c r="A3864" s="12" t="str">
        <f t="shared" si="60"/>
        <v/>
      </c>
    </row>
    <row r="3865" spans="1:1" x14ac:dyDescent="0.2">
      <c r="A3865" s="12" t="str">
        <f t="shared" si="60"/>
        <v/>
      </c>
    </row>
    <row r="3866" spans="1:1" x14ac:dyDescent="0.2">
      <c r="A3866" s="12" t="str">
        <f t="shared" si="60"/>
        <v/>
      </c>
    </row>
    <row r="3867" spans="1:1" x14ac:dyDescent="0.2">
      <c r="A3867" s="12" t="str">
        <f t="shared" si="60"/>
        <v/>
      </c>
    </row>
    <row r="3868" spans="1:1" x14ac:dyDescent="0.2">
      <c r="A3868" s="12" t="str">
        <f t="shared" si="60"/>
        <v/>
      </c>
    </row>
    <row r="3869" spans="1:1" x14ac:dyDescent="0.2">
      <c r="A3869" s="12" t="str">
        <f t="shared" si="60"/>
        <v/>
      </c>
    </row>
    <row r="3870" spans="1:1" x14ac:dyDescent="0.2">
      <c r="A3870" s="12" t="str">
        <f t="shared" si="60"/>
        <v/>
      </c>
    </row>
    <row r="3871" spans="1:1" x14ac:dyDescent="0.2">
      <c r="A3871" s="12" t="str">
        <f t="shared" si="60"/>
        <v/>
      </c>
    </row>
    <row r="3872" spans="1:1" x14ac:dyDescent="0.2">
      <c r="A3872" s="12" t="str">
        <f t="shared" si="60"/>
        <v/>
      </c>
    </row>
    <row r="3873" spans="1:1" x14ac:dyDescent="0.2">
      <c r="A3873" s="12" t="str">
        <f t="shared" si="60"/>
        <v/>
      </c>
    </row>
    <row r="3874" spans="1:1" x14ac:dyDescent="0.2">
      <c r="A3874" s="12" t="str">
        <f t="shared" si="60"/>
        <v/>
      </c>
    </row>
    <row r="3875" spans="1:1" x14ac:dyDescent="0.2">
      <c r="A3875" s="12" t="str">
        <f t="shared" si="60"/>
        <v/>
      </c>
    </row>
    <row r="3876" spans="1:1" x14ac:dyDescent="0.2">
      <c r="A3876" s="12" t="str">
        <f t="shared" si="60"/>
        <v/>
      </c>
    </row>
    <row r="3877" spans="1:1" x14ac:dyDescent="0.2">
      <c r="A3877" s="12" t="str">
        <f t="shared" si="60"/>
        <v/>
      </c>
    </row>
    <row r="3878" spans="1:1" x14ac:dyDescent="0.2">
      <c r="A3878" s="12" t="str">
        <f t="shared" si="60"/>
        <v/>
      </c>
    </row>
    <row r="3879" spans="1:1" x14ac:dyDescent="0.2">
      <c r="A3879" s="12" t="str">
        <f t="shared" si="60"/>
        <v/>
      </c>
    </row>
    <row r="3880" spans="1:1" x14ac:dyDescent="0.2">
      <c r="A3880" s="12" t="str">
        <f t="shared" si="60"/>
        <v/>
      </c>
    </row>
    <row r="3881" spans="1:1" x14ac:dyDescent="0.2">
      <c r="A3881" s="12" t="str">
        <f t="shared" si="60"/>
        <v/>
      </c>
    </row>
    <row r="3882" spans="1:1" x14ac:dyDescent="0.2">
      <c r="A3882" s="12" t="str">
        <f t="shared" si="60"/>
        <v/>
      </c>
    </row>
    <row r="3883" spans="1:1" x14ac:dyDescent="0.2">
      <c r="A3883" s="12" t="str">
        <f t="shared" si="60"/>
        <v/>
      </c>
    </row>
    <row r="3884" spans="1:1" x14ac:dyDescent="0.2">
      <c r="A3884" s="12" t="str">
        <f t="shared" si="60"/>
        <v/>
      </c>
    </row>
    <row r="3885" spans="1:1" x14ac:dyDescent="0.2">
      <c r="A3885" s="12" t="str">
        <f t="shared" si="60"/>
        <v/>
      </c>
    </row>
    <row r="3886" spans="1:1" x14ac:dyDescent="0.2">
      <c r="A3886" s="12" t="str">
        <f t="shared" si="60"/>
        <v/>
      </c>
    </row>
    <row r="3887" spans="1:1" x14ac:dyDescent="0.2">
      <c r="A3887" s="12" t="str">
        <f t="shared" si="60"/>
        <v/>
      </c>
    </row>
    <row r="3888" spans="1:1" x14ac:dyDescent="0.2">
      <c r="A3888" s="12" t="str">
        <f t="shared" si="60"/>
        <v/>
      </c>
    </row>
    <row r="3889" spans="1:1" x14ac:dyDescent="0.2">
      <c r="A3889" s="12" t="str">
        <f t="shared" si="60"/>
        <v/>
      </c>
    </row>
    <row r="3890" spans="1:1" x14ac:dyDescent="0.2">
      <c r="A3890" s="12" t="str">
        <f t="shared" si="60"/>
        <v/>
      </c>
    </row>
    <row r="3891" spans="1:1" x14ac:dyDescent="0.2">
      <c r="A3891" s="12" t="str">
        <f t="shared" si="60"/>
        <v/>
      </c>
    </row>
    <row r="3892" spans="1:1" x14ac:dyDescent="0.2">
      <c r="A3892" s="12" t="str">
        <f t="shared" si="60"/>
        <v/>
      </c>
    </row>
    <row r="3893" spans="1:1" x14ac:dyDescent="0.2">
      <c r="A3893" s="12" t="str">
        <f t="shared" si="60"/>
        <v/>
      </c>
    </row>
    <row r="3894" spans="1:1" x14ac:dyDescent="0.2">
      <c r="A3894" s="12" t="str">
        <f t="shared" si="60"/>
        <v/>
      </c>
    </row>
    <row r="3895" spans="1:1" x14ac:dyDescent="0.2">
      <c r="A3895" s="12" t="str">
        <f t="shared" si="60"/>
        <v/>
      </c>
    </row>
    <row r="3896" spans="1:1" x14ac:dyDescent="0.2">
      <c r="A3896" s="12" t="str">
        <f t="shared" si="60"/>
        <v/>
      </c>
    </row>
    <row r="3897" spans="1:1" x14ac:dyDescent="0.2">
      <c r="A3897" s="12" t="str">
        <f t="shared" si="60"/>
        <v/>
      </c>
    </row>
    <row r="3898" spans="1:1" x14ac:dyDescent="0.2">
      <c r="A3898" s="12" t="str">
        <f t="shared" si="60"/>
        <v/>
      </c>
    </row>
    <row r="3899" spans="1:1" x14ac:dyDescent="0.2">
      <c r="A3899" s="12" t="str">
        <f t="shared" si="60"/>
        <v/>
      </c>
    </row>
    <row r="3900" spans="1:1" x14ac:dyDescent="0.2">
      <c r="A3900" s="12" t="str">
        <f t="shared" si="60"/>
        <v/>
      </c>
    </row>
    <row r="3901" spans="1:1" x14ac:dyDescent="0.2">
      <c r="A3901" s="12" t="str">
        <f t="shared" si="60"/>
        <v/>
      </c>
    </row>
    <row r="3902" spans="1:1" x14ac:dyDescent="0.2">
      <c r="A3902" s="12" t="str">
        <f t="shared" si="60"/>
        <v/>
      </c>
    </row>
    <row r="3903" spans="1:1" x14ac:dyDescent="0.2">
      <c r="A3903" s="12" t="str">
        <f t="shared" si="60"/>
        <v/>
      </c>
    </row>
    <row r="3904" spans="1:1" x14ac:dyDescent="0.2">
      <c r="A3904" s="12" t="str">
        <f t="shared" si="60"/>
        <v/>
      </c>
    </row>
    <row r="3905" spans="1:1" x14ac:dyDescent="0.2">
      <c r="A3905" s="12" t="str">
        <f t="shared" si="60"/>
        <v/>
      </c>
    </row>
    <row r="3906" spans="1:1" x14ac:dyDescent="0.2">
      <c r="A3906" s="12" t="str">
        <f t="shared" ref="A3906:A3969" si="61">IF(INDEX($AJ:$AJ,ROW())="","",HYPERLINK(INDEX($AJ:$AJ,ROW()),"Open"))</f>
        <v/>
      </c>
    </row>
    <row r="3907" spans="1:1" x14ac:dyDescent="0.2">
      <c r="A3907" s="12" t="str">
        <f t="shared" si="61"/>
        <v/>
      </c>
    </row>
    <row r="3908" spans="1:1" x14ac:dyDescent="0.2">
      <c r="A3908" s="12" t="str">
        <f t="shared" si="61"/>
        <v/>
      </c>
    </row>
    <row r="3909" spans="1:1" x14ac:dyDescent="0.2">
      <c r="A3909" s="12" t="str">
        <f t="shared" si="61"/>
        <v/>
      </c>
    </row>
    <row r="3910" spans="1:1" x14ac:dyDescent="0.2">
      <c r="A3910" s="12" t="str">
        <f t="shared" si="61"/>
        <v/>
      </c>
    </row>
    <row r="3911" spans="1:1" x14ac:dyDescent="0.2">
      <c r="A3911" s="12" t="str">
        <f t="shared" si="61"/>
        <v/>
      </c>
    </row>
    <row r="3912" spans="1:1" x14ac:dyDescent="0.2">
      <c r="A3912" s="12" t="str">
        <f t="shared" si="61"/>
        <v/>
      </c>
    </row>
    <row r="3913" spans="1:1" x14ac:dyDescent="0.2">
      <c r="A3913" s="12" t="str">
        <f t="shared" si="61"/>
        <v/>
      </c>
    </row>
    <row r="3914" spans="1:1" x14ac:dyDescent="0.2">
      <c r="A3914" s="12" t="str">
        <f t="shared" si="61"/>
        <v/>
      </c>
    </row>
    <row r="3915" spans="1:1" x14ac:dyDescent="0.2">
      <c r="A3915" s="12" t="str">
        <f t="shared" si="61"/>
        <v/>
      </c>
    </row>
    <row r="3916" spans="1:1" x14ac:dyDescent="0.2">
      <c r="A3916" s="12" t="str">
        <f t="shared" si="61"/>
        <v/>
      </c>
    </row>
    <row r="3917" spans="1:1" x14ac:dyDescent="0.2">
      <c r="A3917" s="12" t="str">
        <f t="shared" si="61"/>
        <v/>
      </c>
    </row>
    <row r="3918" spans="1:1" x14ac:dyDescent="0.2">
      <c r="A3918" s="12" t="str">
        <f t="shared" si="61"/>
        <v/>
      </c>
    </row>
    <row r="3919" spans="1:1" x14ac:dyDescent="0.2">
      <c r="A3919" s="12" t="str">
        <f t="shared" si="61"/>
        <v/>
      </c>
    </row>
    <row r="3920" spans="1:1" x14ac:dyDescent="0.2">
      <c r="A3920" s="12" t="str">
        <f t="shared" si="61"/>
        <v/>
      </c>
    </row>
    <row r="3921" spans="1:1" x14ac:dyDescent="0.2">
      <c r="A3921" s="12" t="str">
        <f t="shared" si="61"/>
        <v/>
      </c>
    </row>
    <row r="3922" spans="1:1" x14ac:dyDescent="0.2">
      <c r="A3922" s="12" t="str">
        <f t="shared" si="61"/>
        <v/>
      </c>
    </row>
    <row r="3923" spans="1:1" x14ac:dyDescent="0.2">
      <c r="A3923" s="12" t="str">
        <f t="shared" si="61"/>
        <v/>
      </c>
    </row>
    <row r="3924" spans="1:1" x14ac:dyDescent="0.2">
      <c r="A3924" s="12" t="str">
        <f t="shared" si="61"/>
        <v/>
      </c>
    </row>
    <row r="3925" spans="1:1" x14ac:dyDescent="0.2">
      <c r="A3925" s="12" t="str">
        <f t="shared" si="61"/>
        <v/>
      </c>
    </row>
    <row r="3926" spans="1:1" x14ac:dyDescent="0.2">
      <c r="A3926" s="12" t="str">
        <f t="shared" si="61"/>
        <v/>
      </c>
    </row>
    <row r="3927" spans="1:1" x14ac:dyDescent="0.2">
      <c r="A3927" s="12" t="str">
        <f t="shared" si="61"/>
        <v/>
      </c>
    </row>
    <row r="3928" spans="1:1" x14ac:dyDescent="0.2">
      <c r="A3928" s="12" t="str">
        <f t="shared" si="61"/>
        <v/>
      </c>
    </row>
    <row r="3929" spans="1:1" x14ac:dyDescent="0.2">
      <c r="A3929" s="12" t="str">
        <f t="shared" si="61"/>
        <v/>
      </c>
    </row>
    <row r="3930" spans="1:1" x14ac:dyDescent="0.2">
      <c r="A3930" s="12" t="str">
        <f t="shared" si="61"/>
        <v/>
      </c>
    </row>
    <row r="3931" spans="1:1" x14ac:dyDescent="0.2">
      <c r="A3931" s="12" t="str">
        <f t="shared" si="61"/>
        <v/>
      </c>
    </row>
    <row r="3932" spans="1:1" x14ac:dyDescent="0.2">
      <c r="A3932" s="12" t="str">
        <f t="shared" si="61"/>
        <v/>
      </c>
    </row>
    <row r="3933" spans="1:1" x14ac:dyDescent="0.2">
      <c r="A3933" s="12" t="str">
        <f t="shared" si="61"/>
        <v/>
      </c>
    </row>
    <row r="3934" spans="1:1" x14ac:dyDescent="0.2">
      <c r="A3934" s="12" t="str">
        <f t="shared" si="61"/>
        <v/>
      </c>
    </row>
    <row r="3935" spans="1:1" x14ac:dyDescent="0.2">
      <c r="A3935" s="12" t="str">
        <f t="shared" si="61"/>
        <v/>
      </c>
    </row>
    <row r="3936" spans="1:1" x14ac:dyDescent="0.2">
      <c r="A3936" s="12" t="str">
        <f t="shared" si="61"/>
        <v/>
      </c>
    </row>
    <row r="3937" spans="1:1" x14ac:dyDescent="0.2">
      <c r="A3937" s="12" t="str">
        <f t="shared" si="61"/>
        <v/>
      </c>
    </row>
    <row r="3938" spans="1:1" x14ac:dyDescent="0.2">
      <c r="A3938" s="12" t="str">
        <f t="shared" si="61"/>
        <v/>
      </c>
    </row>
    <row r="3939" spans="1:1" x14ac:dyDescent="0.2">
      <c r="A3939" s="12" t="str">
        <f t="shared" si="61"/>
        <v/>
      </c>
    </row>
    <row r="3940" spans="1:1" x14ac:dyDescent="0.2">
      <c r="A3940" s="12" t="str">
        <f t="shared" si="61"/>
        <v/>
      </c>
    </row>
    <row r="3941" spans="1:1" x14ac:dyDescent="0.2">
      <c r="A3941" s="12" t="str">
        <f t="shared" si="61"/>
        <v/>
      </c>
    </row>
    <row r="3942" spans="1:1" x14ac:dyDescent="0.2">
      <c r="A3942" s="12" t="str">
        <f t="shared" si="61"/>
        <v/>
      </c>
    </row>
    <row r="3943" spans="1:1" x14ac:dyDescent="0.2">
      <c r="A3943" s="12" t="str">
        <f t="shared" si="61"/>
        <v/>
      </c>
    </row>
    <row r="3944" spans="1:1" x14ac:dyDescent="0.2">
      <c r="A3944" s="12" t="str">
        <f t="shared" si="61"/>
        <v/>
      </c>
    </row>
    <row r="3945" spans="1:1" x14ac:dyDescent="0.2">
      <c r="A3945" s="12" t="str">
        <f t="shared" si="61"/>
        <v/>
      </c>
    </row>
    <row r="3946" spans="1:1" x14ac:dyDescent="0.2">
      <c r="A3946" s="12" t="str">
        <f t="shared" si="61"/>
        <v/>
      </c>
    </row>
    <row r="3947" spans="1:1" x14ac:dyDescent="0.2">
      <c r="A3947" s="12" t="str">
        <f t="shared" si="61"/>
        <v/>
      </c>
    </row>
    <row r="3948" spans="1:1" x14ac:dyDescent="0.2">
      <c r="A3948" s="12" t="str">
        <f t="shared" si="61"/>
        <v/>
      </c>
    </row>
    <row r="3949" spans="1:1" x14ac:dyDescent="0.2">
      <c r="A3949" s="12" t="str">
        <f t="shared" si="61"/>
        <v/>
      </c>
    </row>
    <row r="3950" spans="1:1" x14ac:dyDescent="0.2">
      <c r="A3950" s="12" t="str">
        <f t="shared" si="61"/>
        <v/>
      </c>
    </row>
    <row r="3951" spans="1:1" x14ac:dyDescent="0.2">
      <c r="A3951" s="12" t="str">
        <f t="shared" si="61"/>
        <v/>
      </c>
    </row>
    <row r="3952" spans="1:1" x14ac:dyDescent="0.2">
      <c r="A3952" s="12" t="str">
        <f t="shared" si="61"/>
        <v/>
      </c>
    </row>
    <row r="3953" spans="1:1" x14ac:dyDescent="0.2">
      <c r="A3953" s="12" t="str">
        <f t="shared" si="61"/>
        <v/>
      </c>
    </row>
    <row r="3954" spans="1:1" x14ac:dyDescent="0.2">
      <c r="A3954" s="12" t="str">
        <f t="shared" si="61"/>
        <v/>
      </c>
    </row>
    <row r="3955" spans="1:1" x14ac:dyDescent="0.2">
      <c r="A3955" s="12" t="str">
        <f t="shared" si="61"/>
        <v/>
      </c>
    </row>
    <row r="3956" spans="1:1" x14ac:dyDescent="0.2">
      <c r="A3956" s="12" t="str">
        <f t="shared" si="61"/>
        <v/>
      </c>
    </row>
    <row r="3957" spans="1:1" x14ac:dyDescent="0.2">
      <c r="A3957" s="12" t="str">
        <f t="shared" si="61"/>
        <v/>
      </c>
    </row>
    <row r="3958" spans="1:1" x14ac:dyDescent="0.2">
      <c r="A3958" s="12" t="str">
        <f t="shared" si="61"/>
        <v/>
      </c>
    </row>
    <row r="3959" spans="1:1" x14ac:dyDescent="0.2">
      <c r="A3959" s="12" t="str">
        <f t="shared" si="61"/>
        <v/>
      </c>
    </row>
    <row r="3960" spans="1:1" x14ac:dyDescent="0.2">
      <c r="A3960" s="12" t="str">
        <f t="shared" si="61"/>
        <v/>
      </c>
    </row>
    <row r="3961" spans="1:1" x14ac:dyDescent="0.2">
      <c r="A3961" s="12" t="str">
        <f t="shared" si="61"/>
        <v/>
      </c>
    </row>
    <row r="3962" spans="1:1" x14ac:dyDescent="0.2">
      <c r="A3962" s="12" t="str">
        <f t="shared" si="61"/>
        <v/>
      </c>
    </row>
    <row r="3963" spans="1:1" x14ac:dyDescent="0.2">
      <c r="A3963" s="12" t="str">
        <f t="shared" si="61"/>
        <v/>
      </c>
    </row>
    <row r="3964" spans="1:1" x14ac:dyDescent="0.2">
      <c r="A3964" s="12" t="str">
        <f t="shared" si="61"/>
        <v/>
      </c>
    </row>
    <row r="3965" spans="1:1" x14ac:dyDescent="0.2">
      <c r="A3965" s="12" t="str">
        <f t="shared" si="61"/>
        <v/>
      </c>
    </row>
    <row r="3966" spans="1:1" x14ac:dyDescent="0.2">
      <c r="A3966" s="12" t="str">
        <f t="shared" si="61"/>
        <v/>
      </c>
    </row>
    <row r="3967" spans="1:1" x14ac:dyDescent="0.2">
      <c r="A3967" s="12" t="str">
        <f t="shared" si="61"/>
        <v/>
      </c>
    </row>
    <row r="3968" spans="1:1" x14ac:dyDescent="0.2">
      <c r="A3968" s="12" t="str">
        <f t="shared" si="61"/>
        <v/>
      </c>
    </row>
    <row r="3969" spans="1:1" x14ac:dyDescent="0.2">
      <c r="A3969" s="12" t="str">
        <f t="shared" si="61"/>
        <v/>
      </c>
    </row>
    <row r="3970" spans="1:1" x14ac:dyDescent="0.2">
      <c r="A3970" s="12" t="str">
        <f t="shared" ref="A3970:A4033" si="62">IF(INDEX($AJ:$AJ,ROW())="","",HYPERLINK(INDEX($AJ:$AJ,ROW()),"Open"))</f>
        <v/>
      </c>
    </row>
    <row r="3971" spans="1:1" x14ac:dyDescent="0.2">
      <c r="A3971" s="12" t="str">
        <f t="shared" si="62"/>
        <v/>
      </c>
    </row>
    <row r="3972" spans="1:1" x14ac:dyDescent="0.2">
      <c r="A3972" s="12" t="str">
        <f t="shared" si="62"/>
        <v/>
      </c>
    </row>
    <row r="3973" spans="1:1" x14ac:dyDescent="0.2">
      <c r="A3973" s="12" t="str">
        <f t="shared" si="62"/>
        <v/>
      </c>
    </row>
    <row r="3974" spans="1:1" x14ac:dyDescent="0.2">
      <c r="A3974" s="12" t="str">
        <f t="shared" si="62"/>
        <v/>
      </c>
    </row>
    <row r="3975" spans="1:1" x14ac:dyDescent="0.2">
      <c r="A3975" s="12" t="str">
        <f t="shared" si="62"/>
        <v/>
      </c>
    </row>
    <row r="3976" spans="1:1" x14ac:dyDescent="0.2">
      <c r="A3976" s="12" t="str">
        <f t="shared" si="62"/>
        <v/>
      </c>
    </row>
    <row r="3977" spans="1:1" x14ac:dyDescent="0.2">
      <c r="A3977" s="12" t="str">
        <f t="shared" si="62"/>
        <v/>
      </c>
    </row>
    <row r="3978" spans="1:1" x14ac:dyDescent="0.2">
      <c r="A3978" s="12" t="str">
        <f t="shared" si="62"/>
        <v/>
      </c>
    </row>
    <row r="3979" spans="1:1" x14ac:dyDescent="0.2">
      <c r="A3979" s="12" t="str">
        <f t="shared" si="62"/>
        <v/>
      </c>
    </row>
    <row r="3980" spans="1:1" x14ac:dyDescent="0.2">
      <c r="A3980" s="12" t="str">
        <f t="shared" si="62"/>
        <v/>
      </c>
    </row>
    <row r="3981" spans="1:1" x14ac:dyDescent="0.2">
      <c r="A3981" s="12" t="str">
        <f t="shared" si="62"/>
        <v/>
      </c>
    </row>
    <row r="3982" spans="1:1" x14ac:dyDescent="0.2">
      <c r="A3982" s="12" t="str">
        <f t="shared" si="62"/>
        <v/>
      </c>
    </row>
    <row r="3983" spans="1:1" x14ac:dyDescent="0.2">
      <c r="A3983" s="12" t="str">
        <f t="shared" si="62"/>
        <v/>
      </c>
    </row>
    <row r="3984" spans="1:1" x14ac:dyDescent="0.2">
      <c r="A3984" s="12" t="str">
        <f t="shared" si="62"/>
        <v/>
      </c>
    </row>
    <row r="3985" spans="1:1" x14ac:dyDescent="0.2">
      <c r="A3985" s="12" t="str">
        <f t="shared" si="62"/>
        <v/>
      </c>
    </row>
    <row r="3986" spans="1:1" x14ac:dyDescent="0.2">
      <c r="A3986" s="12" t="str">
        <f t="shared" si="62"/>
        <v/>
      </c>
    </row>
    <row r="3987" spans="1:1" x14ac:dyDescent="0.2">
      <c r="A3987" s="12" t="str">
        <f t="shared" si="62"/>
        <v/>
      </c>
    </row>
    <row r="3988" spans="1:1" x14ac:dyDescent="0.2">
      <c r="A3988" s="12" t="str">
        <f t="shared" si="62"/>
        <v/>
      </c>
    </row>
    <row r="3989" spans="1:1" x14ac:dyDescent="0.2">
      <c r="A3989" s="12" t="str">
        <f t="shared" si="62"/>
        <v/>
      </c>
    </row>
    <row r="3990" spans="1:1" x14ac:dyDescent="0.2">
      <c r="A3990" s="12" t="str">
        <f t="shared" si="62"/>
        <v/>
      </c>
    </row>
    <row r="3991" spans="1:1" x14ac:dyDescent="0.2">
      <c r="A3991" s="12" t="str">
        <f t="shared" si="62"/>
        <v/>
      </c>
    </row>
    <row r="3992" spans="1:1" x14ac:dyDescent="0.2">
      <c r="A3992" s="12" t="str">
        <f t="shared" si="62"/>
        <v/>
      </c>
    </row>
    <row r="3993" spans="1:1" x14ac:dyDescent="0.2">
      <c r="A3993" s="12" t="str">
        <f t="shared" si="62"/>
        <v/>
      </c>
    </row>
    <row r="3994" spans="1:1" x14ac:dyDescent="0.2">
      <c r="A3994" s="12" t="str">
        <f t="shared" si="62"/>
        <v/>
      </c>
    </row>
    <row r="3995" spans="1:1" x14ac:dyDescent="0.2">
      <c r="A3995" s="12" t="str">
        <f t="shared" si="62"/>
        <v/>
      </c>
    </row>
    <row r="3996" spans="1:1" x14ac:dyDescent="0.2">
      <c r="A3996" s="12" t="str">
        <f t="shared" si="62"/>
        <v/>
      </c>
    </row>
    <row r="3997" spans="1:1" x14ac:dyDescent="0.2">
      <c r="A3997" s="12" t="str">
        <f t="shared" si="62"/>
        <v/>
      </c>
    </row>
    <row r="3998" spans="1:1" x14ac:dyDescent="0.2">
      <c r="A3998" s="12" t="str">
        <f t="shared" si="62"/>
        <v/>
      </c>
    </row>
    <row r="3999" spans="1:1" x14ac:dyDescent="0.2">
      <c r="A3999" s="12" t="str">
        <f t="shared" si="62"/>
        <v/>
      </c>
    </row>
    <row r="4000" spans="1:1" x14ac:dyDescent="0.2">
      <c r="A4000" s="12" t="str">
        <f t="shared" si="62"/>
        <v/>
      </c>
    </row>
    <row r="4001" spans="1:1" x14ac:dyDescent="0.2">
      <c r="A4001" s="12" t="str">
        <f t="shared" si="62"/>
        <v/>
      </c>
    </row>
    <row r="4002" spans="1:1" x14ac:dyDescent="0.2">
      <c r="A4002" s="12" t="str">
        <f t="shared" si="62"/>
        <v/>
      </c>
    </row>
    <row r="4003" spans="1:1" x14ac:dyDescent="0.2">
      <c r="A4003" s="12" t="str">
        <f t="shared" si="62"/>
        <v/>
      </c>
    </row>
    <row r="4004" spans="1:1" x14ac:dyDescent="0.2">
      <c r="A4004" s="12" t="str">
        <f t="shared" si="62"/>
        <v/>
      </c>
    </row>
    <row r="4005" spans="1:1" x14ac:dyDescent="0.2">
      <c r="A4005" s="12" t="str">
        <f t="shared" si="62"/>
        <v/>
      </c>
    </row>
    <row r="4006" spans="1:1" x14ac:dyDescent="0.2">
      <c r="A4006" s="12" t="str">
        <f t="shared" si="62"/>
        <v/>
      </c>
    </row>
    <row r="4007" spans="1:1" x14ac:dyDescent="0.2">
      <c r="A4007" s="12" t="str">
        <f t="shared" si="62"/>
        <v/>
      </c>
    </row>
    <row r="4008" spans="1:1" x14ac:dyDescent="0.2">
      <c r="A4008" s="12" t="str">
        <f t="shared" si="62"/>
        <v/>
      </c>
    </row>
    <row r="4009" spans="1:1" x14ac:dyDescent="0.2">
      <c r="A4009" s="12" t="str">
        <f t="shared" si="62"/>
        <v/>
      </c>
    </row>
    <row r="4010" spans="1:1" x14ac:dyDescent="0.2">
      <c r="A4010" s="12" t="str">
        <f t="shared" si="62"/>
        <v/>
      </c>
    </row>
    <row r="4011" spans="1:1" x14ac:dyDescent="0.2">
      <c r="A4011" s="12" t="str">
        <f t="shared" si="62"/>
        <v/>
      </c>
    </row>
    <row r="4012" spans="1:1" x14ac:dyDescent="0.2">
      <c r="A4012" s="12" t="str">
        <f t="shared" si="62"/>
        <v/>
      </c>
    </row>
    <row r="4013" spans="1:1" x14ac:dyDescent="0.2">
      <c r="A4013" s="12" t="str">
        <f t="shared" si="62"/>
        <v/>
      </c>
    </row>
    <row r="4014" spans="1:1" x14ac:dyDescent="0.2">
      <c r="A4014" s="12" t="str">
        <f t="shared" si="62"/>
        <v/>
      </c>
    </row>
    <row r="4015" spans="1:1" x14ac:dyDescent="0.2">
      <c r="A4015" s="12" t="str">
        <f t="shared" si="62"/>
        <v/>
      </c>
    </row>
    <row r="4016" spans="1:1" x14ac:dyDescent="0.2">
      <c r="A4016" s="12" t="str">
        <f t="shared" si="62"/>
        <v/>
      </c>
    </row>
    <row r="4017" spans="1:1" x14ac:dyDescent="0.2">
      <c r="A4017" s="12" t="str">
        <f t="shared" si="62"/>
        <v/>
      </c>
    </row>
    <row r="4018" spans="1:1" x14ac:dyDescent="0.2">
      <c r="A4018" s="12" t="str">
        <f t="shared" si="62"/>
        <v/>
      </c>
    </row>
    <row r="4019" spans="1:1" x14ac:dyDescent="0.2">
      <c r="A4019" s="12" t="str">
        <f t="shared" si="62"/>
        <v/>
      </c>
    </row>
    <row r="4020" spans="1:1" x14ac:dyDescent="0.2">
      <c r="A4020" s="12" t="str">
        <f t="shared" si="62"/>
        <v/>
      </c>
    </row>
    <row r="4021" spans="1:1" x14ac:dyDescent="0.2">
      <c r="A4021" s="12" t="str">
        <f t="shared" si="62"/>
        <v/>
      </c>
    </row>
    <row r="4022" spans="1:1" x14ac:dyDescent="0.2">
      <c r="A4022" s="12" t="str">
        <f t="shared" si="62"/>
        <v/>
      </c>
    </row>
    <row r="4023" spans="1:1" x14ac:dyDescent="0.2">
      <c r="A4023" s="12" t="str">
        <f t="shared" si="62"/>
        <v/>
      </c>
    </row>
    <row r="4024" spans="1:1" x14ac:dyDescent="0.2">
      <c r="A4024" s="12" t="str">
        <f t="shared" si="62"/>
        <v/>
      </c>
    </row>
    <row r="4025" spans="1:1" x14ac:dyDescent="0.2">
      <c r="A4025" s="12" t="str">
        <f t="shared" si="62"/>
        <v/>
      </c>
    </row>
    <row r="4026" spans="1:1" x14ac:dyDescent="0.2">
      <c r="A4026" s="12" t="str">
        <f t="shared" si="62"/>
        <v/>
      </c>
    </row>
    <row r="4027" spans="1:1" x14ac:dyDescent="0.2">
      <c r="A4027" s="12" t="str">
        <f t="shared" si="62"/>
        <v/>
      </c>
    </row>
    <row r="4028" spans="1:1" x14ac:dyDescent="0.2">
      <c r="A4028" s="12" t="str">
        <f t="shared" si="62"/>
        <v/>
      </c>
    </row>
    <row r="4029" spans="1:1" x14ac:dyDescent="0.2">
      <c r="A4029" s="12" t="str">
        <f t="shared" si="62"/>
        <v/>
      </c>
    </row>
    <row r="4030" spans="1:1" x14ac:dyDescent="0.2">
      <c r="A4030" s="12" t="str">
        <f t="shared" si="62"/>
        <v/>
      </c>
    </row>
    <row r="4031" spans="1:1" x14ac:dyDescent="0.2">
      <c r="A4031" s="12" t="str">
        <f t="shared" si="62"/>
        <v/>
      </c>
    </row>
    <row r="4032" spans="1:1" x14ac:dyDescent="0.2">
      <c r="A4032" s="12" t="str">
        <f t="shared" si="62"/>
        <v/>
      </c>
    </row>
    <row r="4033" spans="1:1" x14ac:dyDescent="0.2">
      <c r="A4033" s="12" t="str">
        <f t="shared" si="62"/>
        <v/>
      </c>
    </row>
    <row r="4034" spans="1:1" x14ac:dyDescent="0.2">
      <c r="A4034" s="12" t="str">
        <f t="shared" ref="A4034:A4097" si="63">IF(INDEX($AJ:$AJ,ROW())="","",HYPERLINK(INDEX($AJ:$AJ,ROW()),"Open"))</f>
        <v/>
      </c>
    </row>
    <row r="4035" spans="1:1" x14ac:dyDescent="0.2">
      <c r="A4035" s="12" t="str">
        <f t="shared" si="63"/>
        <v/>
      </c>
    </row>
    <row r="4036" spans="1:1" x14ac:dyDescent="0.2">
      <c r="A4036" s="12" t="str">
        <f t="shared" si="63"/>
        <v/>
      </c>
    </row>
    <row r="4037" spans="1:1" x14ac:dyDescent="0.2">
      <c r="A4037" s="12" t="str">
        <f t="shared" si="63"/>
        <v/>
      </c>
    </row>
    <row r="4038" spans="1:1" x14ac:dyDescent="0.2">
      <c r="A4038" s="12" t="str">
        <f t="shared" si="63"/>
        <v/>
      </c>
    </row>
    <row r="4039" spans="1:1" x14ac:dyDescent="0.2">
      <c r="A4039" s="12" t="str">
        <f t="shared" si="63"/>
        <v/>
      </c>
    </row>
    <row r="4040" spans="1:1" x14ac:dyDescent="0.2">
      <c r="A4040" s="12" t="str">
        <f t="shared" si="63"/>
        <v/>
      </c>
    </row>
    <row r="4041" spans="1:1" x14ac:dyDescent="0.2">
      <c r="A4041" s="12" t="str">
        <f t="shared" si="63"/>
        <v/>
      </c>
    </row>
    <row r="4042" spans="1:1" x14ac:dyDescent="0.2">
      <c r="A4042" s="12" t="str">
        <f t="shared" si="63"/>
        <v/>
      </c>
    </row>
    <row r="4043" spans="1:1" x14ac:dyDescent="0.2">
      <c r="A4043" s="12" t="str">
        <f t="shared" si="63"/>
        <v/>
      </c>
    </row>
    <row r="4044" spans="1:1" x14ac:dyDescent="0.2">
      <c r="A4044" s="12" t="str">
        <f t="shared" si="63"/>
        <v/>
      </c>
    </row>
    <row r="4045" spans="1:1" x14ac:dyDescent="0.2">
      <c r="A4045" s="12" t="str">
        <f t="shared" si="63"/>
        <v/>
      </c>
    </row>
    <row r="4046" spans="1:1" x14ac:dyDescent="0.2">
      <c r="A4046" s="12" t="str">
        <f t="shared" si="63"/>
        <v/>
      </c>
    </row>
    <row r="4047" spans="1:1" x14ac:dyDescent="0.2">
      <c r="A4047" s="12" t="str">
        <f t="shared" si="63"/>
        <v/>
      </c>
    </row>
    <row r="4048" spans="1:1" x14ac:dyDescent="0.2">
      <c r="A4048" s="12" t="str">
        <f t="shared" si="63"/>
        <v/>
      </c>
    </row>
    <row r="4049" spans="1:1" x14ac:dyDescent="0.2">
      <c r="A4049" s="12" t="str">
        <f t="shared" si="63"/>
        <v/>
      </c>
    </row>
    <row r="4050" spans="1:1" x14ac:dyDescent="0.2">
      <c r="A4050" s="12" t="str">
        <f t="shared" si="63"/>
        <v/>
      </c>
    </row>
    <row r="4051" spans="1:1" x14ac:dyDescent="0.2">
      <c r="A4051" s="12" t="str">
        <f t="shared" si="63"/>
        <v/>
      </c>
    </row>
    <row r="4052" spans="1:1" x14ac:dyDescent="0.2">
      <c r="A4052" s="12" t="str">
        <f t="shared" si="63"/>
        <v/>
      </c>
    </row>
    <row r="4053" spans="1:1" x14ac:dyDescent="0.2">
      <c r="A4053" s="12" t="str">
        <f t="shared" si="63"/>
        <v/>
      </c>
    </row>
    <row r="4054" spans="1:1" x14ac:dyDescent="0.2">
      <c r="A4054" s="12" t="str">
        <f t="shared" si="63"/>
        <v/>
      </c>
    </row>
    <row r="4055" spans="1:1" x14ac:dyDescent="0.2">
      <c r="A4055" s="12" t="str">
        <f t="shared" si="63"/>
        <v/>
      </c>
    </row>
    <row r="4056" spans="1:1" x14ac:dyDescent="0.2">
      <c r="A4056" s="12" t="str">
        <f t="shared" si="63"/>
        <v/>
      </c>
    </row>
    <row r="4057" spans="1:1" x14ac:dyDescent="0.2">
      <c r="A4057" s="12" t="str">
        <f t="shared" si="63"/>
        <v/>
      </c>
    </row>
    <row r="4058" spans="1:1" x14ac:dyDescent="0.2">
      <c r="A4058" s="12" t="str">
        <f t="shared" si="63"/>
        <v/>
      </c>
    </row>
    <row r="4059" spans="1:1" x14ac:dyDescent="0.2">
      <c r="A4059" s="12" t="str">
        <f t="shared" si="63"/>
        <v/>
      </c>
    </row>
    <row r="4060" spans="1:1" x14ac:dyDescent="0.2">
      <c r="A4060" s="12" t="str">
        <f t="shared" si="63"/>
        <v/>
      </c>
    </row>
    <row r="4061" spans="1:1" x14ac:dyDescent="0.2">
      <c r="A4061" s="12" t="str">
        <f t="shared" si="63"/>
        <v/>
      </c>
    </row>
    <row r="4062" spans="1:1" x14ac:dyDescent="0.2">
      <c r="A4062" s="12" t="str">
        <f t="shared" si="63"/>
        <v/>
      </c>
    </row>
    <row r="4063" spans="1:1" x14ac:dyDescent="0.2">
      <c r="A4063" s="12" t="str">
        <f t="shared" si="63"/>
        <v/>
      </c>
    </row>
    <row r="4064" spans="1:1" x14ac:dyDescent="0.2">
      <c r="A4064" s="12" t="str">
        <f t="shared" si="63"/>
        <v/>
      </c>
    </row>
    <row r="4065" spans="1:1" x14ac:dyDescent="0.2">
      <c r="A4065" s="12" t="str">
        <f t="shared" si="63"/>
        <v/>
      </c>
    </row>
    <row r="4066" spans="1:1" x14ac:dyDescent="0.2">
      <c r="A4066" s="12" t="str">
        <f t="shared" si="63"/>
        <v/>
      </c>
    </row>
    <row r="4067" spans="1:1" x14ac:dyDescent="0.2">
      <c r="A4067" s="12" t="str">
        <f t="shared" si="63"/>
        <v/>
      </c>
    </row>
    <row r="4068" spans="1:1" x14ac:dyDescent="0.2">
      <c r="A4068" s="12" t="str">
        <f t="shared" si="63"/>
        <v/>
      </c>
    </row>
    <row r="4069" spans="1:1" x14ac:dyDescent="0.2">
      <c r="A4069" s="12" t="str">
        <f t="shared" si="63"/>
        <v/>
      </c>
    </row>
    <row r="4070" spans="1:1" x14ac:dyDescent="0.2">
      <c r="A4070" s="12" t="str">
        <f t="shared" si="63"/>
        <v/>
      </c>
    </row>
    <row r="4071" spans="1:1" x14ac:dyDescent="0.2">
      <c r="A4071" s="12" t="str">
        <f t="shared" si="63"/>
        <v/>
      </c>
    </row>
    <row r="4072" spans="1:1" x14ac:dyDescent="0.2">
      <c r="A4072" s="12" t="str">
        <f t="shared" si="63"/>
        <v/>
      </c>
    </row>
    <row r="4073" spans="1:1" x14ac:dyDescent="0.2">
      <c r="A4073" s="12" t="str">
        <f t="shared" si="63"/>
        <v/>
      </c>
    </row>
    <row r="4074" spans="1:1" x14ac:dyDescent="0.2">
      <c r="A4074" s="12" t="str">
        <f t="shared" si="63"/>
        <v/>
      </c>
    </row>
    <row r="4075" spans="1:1" x14ac:dyDescent="0.2">
      <c r="A4075" s="12" t="str">
        <f t="shared" si="63"/>
        <v/>
      </c>
    </row>
    <row r="4076" spans="1:1" x14ac:dyDescent="0.2">
      <c r="A4076" s="12" t="str">
        <f t="shared" si="63"/>
        <v/>
      </c>
    </row>
    <row r="4077" spans="1:1" x14ac:dyDescent="0.2">
      <c r="A4077" s="12" t="str">
        <f t="shared" si="63"/>
        <v/>
      </c>
    </row>
    <row r="4078" spans="1:1" x14ac:dyDescent="0.2">
      <c r="A4078" s="12" t="str">
        <f t="shared" si="63"/>
        <v/>
      </c>
    </row>
    <row r="4079" spans="1:1" x14ac:dyDescent="0.2">
      <c r="A4079" s="12" t="str">
        <f t="shared" si="63"/>
        <v/>
      </c>
    </row>
    <row r="4080" spans="1:1" x14ac:dyDescent="0.2">
      <c r="A4080" s="12" t="str">
        <f t="shared" si="63"/>
        <v/>
      </c>
    </row>
    <row r="4081" spans="1:1" x14ac:dyDescent="0.2">
      <c r="A4081" s="12" t="str">
        <f t="shared" si="63"/>
        <v/>
      </c>
    </row>
    <row r="4082" spans="1:1" x14ac:dyDescent="0.2">
      <c r="A4082" s="12" t="str">
        <f t="shared" si="63"/>
        <v/>
      </c>
    </row>
    <row r="4083" spans="1:1" x14ac:dyDescent="0.2">
      <c r="A4083" s="12" t="str">
        <f t="shared" si="63"/>
        <v/>
      </c>
    </row>
    <row r="4084" spans="1:1" x14ac:dyDescent="0.2">
      <c r="A4084" s="12" t="str">
        <f t="shared" si="63"/>
        <v/>
      </c>
    </row>
    <row r="4085" spans="1:1" x14ac:dyDescent="0.2">
      <c r="A4085" s="12" t="str">
        <f t="shared" si="63"/>
        <v/>
      </c>
    </row>
    <row r="4086" spans="1:1" x14ac:dyDescent="0.2">
      <c r="A4086" s="12" t="str">
        <f t="shared" si="63"/>
        <v/>
      </c>
    </row>
    <row r="4087" spans="1:1" x14ac:dyDescent="0.2">
      <c r="A4087" s="12" t="str">
        <f t="shared" si="63"/>
        <v/>
      </c>
    </row>
    <row r="4088" spans="1:1" x14ac:dyDescent="0.2">
      <c r="A4088" s="12" t="str">
        <f t="shared" si="63"/>
        <v/>
      </c>
    </row>
    <row r="4089" spans="1:1" x14ac:dyDescent="0.2">
      <c r="A4089" s="12" t="str">
        <f t="shared" si="63"/>
        <v/>
      </c>
    </row>
    <row r="4090" spans="1:1" x14ac:dyDescent="0.2">
      <c r="A4090" s="12" t="str">
        <f t="shared" si="63"/>
        <v/>
      </c>
    </row>
    <row r="4091" spans="1:1" x14ac:dyDescent="0.2">
      <c r="A4091" s="12" t="str">
        <f t="shared" si="63"/>
        <v/>
      </c>
    </row>
    <row r="4092" spans="1:1" x14ac:dyDescent="0.2">
      <c r="A4092" s="12" t="str">
        <f t="shared" si="63"/>
        <v/>
      </c>
    </row>
    <row r="4093" spans="1:1" x14ac:dyDescent="0.2">
      <c r="A4093" s="12" t="str">
        <f t="shared" si="63"/>
        <v/>
      </c>
    </row>
    <row r="4094" spans="1:1" x14ac:dyDescent="0.2">
      <c r="A4094" s="12" t="str">
        <f t="shared" si="63"/>
        <v/>
      </c>
    </row>
    <row r="4095" spans="1:1" x14ac:dyDescent="0.2">
      <c r="A4095" s="12" t="str">
        <f t="shared" si="63"/>
        <v/>
      </c>
    </row>
    <row r="4096" spans="1:1" x14ac:dyDescent="0.2">
      <c r="A4096" s="12" t="str">
        <f t="shared" si="63"/>
        <v/>
      </c>
    </row>
    <row r="4097" spans="1:1" x14ac:dyDescent="0.2">
      <c r="A4097" s="12" t="str">
        <f t="shared" si="63"/>
        <v/>
      </c>
    </row>
    <row r="4098" spans="1:1" x14ac:dyDescent="0.2">
      <c r="A4098" s="12" t="str">
        <f t="shared" ref="A4098:A4161" si="64">IF(INDEX($AJ:$AJ,ROW())="","",HYPERLINK(INDEX($AJ:$AJ,ROW()),"Open"))</f>
        <v/>
      </c>
    </row>
    <row r="4099" spans="1:1" x14ac:dyDescent="0.2">
      <c r="A4099" s="12" t="str">
        <f t="shared" si="64"/>
        <v/>
      </c>
    </row>
    <row r="4100" spans="1:1" x14ac:dyDescent="0.2">
      <c r="A4100" s="12" t="str">
        <f t="shared" si="64"/>
        <v/>
      </c>
    </row>
    <row r="4101" spans="1:1" x14ac:dyDescent="0.2">
      <c r="A4101" s="12" t="str">
        <f t="shared" si="64"/>
        <v/>
      </c>
    </row>
    <row r="4102" spans="1:1" x14ac:dyDescent="0.2">
      <c r="A4102" s="12" t="str">
        <f t="shared" si="64"/>
        <v/>
      </c>
    </row>
    <row r="4103" spans="1:1" x14ac:dyDescent="0.2">
      <c r="A4103" s="12" t="str">
        <f t="shared" si="64"/>
        <v/>
      </c>
    </row>
    <row r="4104" spans="1:1" x14ac:dyDescent="0.2">
      <c r="A4104" s="12" t="str">
        <f t="shared" si="64"/>
        <v/>
      </c>
    </row>
    <row r="4105" spans="1:1" x14ac:dyDescent="0.2">
      <c r="A4105" s="12" t="str">
        <f t="shared" si="64"/>
        <v/>
      </c>
    </row>
    <row r="4106" spans="1:1" x14ac:dyDescent="0.2">
      <c r="A4106" s="12" t="str">
        <f t="shared" si="64"/>
        <v/>
      </c>
    </row>
    <row r="4107" spans="1:1" x14ac:dyDescent="0.2">
      <c r="A4107" s="12" t="str">
        <f t="shared" si="64"/>
        <v/>
      </c>
    </row>
    <row r="4108" spans="1:1" x14ac:dyDescent="0.2">
      <c r="A4108" s="12" t="str">
        <f t="shared" si="64"/>
        <v/>
      </c>
    </row>
    <row r="4109" spans="1:1" x14ac:dyDescent="0.2">
      <c r="A4109" s="12" t="str">
        <f t="shared" si="64"/>
        <v/>
      </c>
    </row>
    <row r="4110" spans="1:1" x14ac:dyDescent="0.2">
      <c r="A4110" s="12" t="str">
        <f t="shared" si="64"/>
        <v/>
      </c>
    </row>
    <row r="4111" spans="1:1" x14ac:dyDescent="0.2">
      <c r="A4111" s="12" t="str">
        <f t="shared" si="64"/>
        <v/>
      </c>
    </row>
    <row r="4112" spans="1:1" x14ac:dyDescent="0.2">
      <c r="A4112" s="12" t="str">
        <f t="shared" si="64"/>
        <v/>
      </c>
    </row>
    <row r="4113" spans="1:1" x14ac:dyDescent="0.2">
      <c r="A4113" s="12" t="str">
        <f t="shared" si="64"/>
        <v/>
      </c>
    </row>
    <row r="4114" spans="1:1" x14ac:dyDescent="0.2">
      <c r="A4114" s="12" t="str">
        <f t="shared" si="64"/>
        <v/>
      </c>
    </row>
    <row r="4115" spans="1:1" x14ac:dyDescent="0.2">
      <c r="A4115" s="12" t="str">
        <f t="shared" si="64"/>
        <v/>
      </c>
    </row>
    <row r="4116" spans="1:1" x14ac:dyDescent="0.2">
      <c r="A4116" s="12" t="str">
        <f t="shared" si="64"/>
        <v/>
      </c>
    </row>
    <row r="4117" spans="1:1" x14ac:dyDescent="0.2">
      <c r="A4117" s="12" t="str">
        <f t="shared" si="64"/>
        <v/>
      </c>
    </row>
    <row r="4118" spans="1:1" x14ac:dyDescent="0.2">
      <c r="A4118" s="12" t="str">
        <f t="shared" si="64"/>
        <v/>
      </c>
    </row>
    <row r="4119" spans="1:1" x14ac:dyDescent="0.2">
      <c r="A4119" s="12" t="str">
        <f t="shared" si="64"/>
        <v/>
      </c>
    </row>
    <row r="4120" spans="1:1" x14ac:dyDescent="0.2">
      <c r="A4120" s="12" t="str">
        <f t="shared" si="64"/>
        <v/>
      </c>
    </row>
    <row r="4121" spans="1:1" x14ac:dyDescent="0.2">
      <c r="A4121" s="12" t="str">
        <f t="shared" si="64"/>
        <v/>
      </c>
    </row>
    <row r="4122" spans="1:1" x14ac:dyDescent="0.2">
      <c r="A4122" s="12" t="str">
        <f t="shared" si="64"/>
        <v/>
      </c>
    </row>
    <row r="4123" spans="1:1" x14ac:dyDescent="0.2">
      <c r="A4123" s="12" t="str">
        <f t="shared" si="64"/>
        <v/>
      </c>
    </row>
    <row r="4124" spans="1:1" x14ac:dyDescent="0.2">
      <c r="A4124" s="12" t="str">
        <f t="shared" si="64"/>
        <v/>
      </c>
    </row>
    <row r="4125" spans="1:1" x14ac:dyDescent="0.2">
      <c r="A4125" s="12" t="str">
        <f t="shared" si="64"/>
        <v/>
      </c>
    </row>
    <row r="4126" spans="1:1" x14ac:dyDescent="0.2">
      <c r="A4126" s="12" t="str">
        <f t="shared" si="64"/>
        <v/>
      </c>
    </row>
    <row r="4127" spans="1:1" x14ac:dyDescent="0.2">
      <c r="A4127" s="12" t="str">
        <f t="shared" si="64"/>
        <v/>
      </c>
    </row>
    <row r="4128" spans="1:1" x14ac:dyDescent="0.2">
      <c r="A4128" s="12" t="str">
        <f t="shared" si="64"/>
        <v/>
      </c>
    </row>
    <row r="4129" spans="1:1" x14ac:dyDescent="0.2">
      <c r="A4129" s="12" t="str">
        <f t="shared" si="64"/>
        <v/>
      </c>
    </row>
    <row r="4130" spans="1:1" x14ac:dyDescent="0.2">
      <c r="A4130" s="12" t="str">
        <f t="shared" si="64"/>
        <v/>
      </c>
    </row>
    <row r="4131" spans="1:1" x14ac:dyDescent="0.2">
      <c r="A4131" s="12" t="str">
        <f t="shared" si="64"/>
        <v/>
      </c>
    </row>
    <row r="4132" spans="1:1" x14ac:dyDescent="0.2">
      <c r="A4132" s="12" t="str">
        <f t="shared" si="64"/>
        <v/>
      </c>
    </row>
    <row r="4133" spans="1:1" x14ac:dyDescent="0.2">
      <c r="A4133" s="12" t="str">
        <f t="shared" si="64"/>
        <v/>
      </c>
    </row>
    <row r="4134" spans="1:1" x14ac:dyDescent="0.2">
      <c r="A4134" s="12" t="str">
        <f t="shared" si="64"/>
        <v/>
      </c>
    </row>
    <row r="4135" spans="1:1" x14ac:dyDescent="0.2">
      <c r="A4135" s="12" t="str">
        <f t="shared" si="64"/>
        <v/>
      </c>
    </row>
    <row r="4136" spans="1:1" x14ac:dyDescent="0.2">
      <c r="A4136" s="12" t="str">
        <f t="shared" si="64"/>
        <v/>
      </c>
    </row>
    <row r="4137" spans="1:1" x14ac:dyDescent="0.2">
      <c r="A4137" s="12" t="str">
        <f t="shared" si="64"/>
        <v/>
      </c>
    </row>
    <row r="4138" spans="1:1" x14ac:dyDescent="0.2">
      <c r="A4138" s="12" t="str">
        <f t="shared" si="64"/>
        <v/>
      </c>
    </row>
    <row r="4139" spans="1:1" x14ac:dyDescent="0.2">
      <c r="A4139" s="12" t="str">
        <f t="shared" si="64"/>
        <v/>
      </c>
    </row>
    <row r="4140" spans="1:1" x14ac:dyDescent="0.2">
      <c r="A4140" s="12" t="str">
        <f t="shared" si="64"/>
        <v/>
      </c>
    </row>
    <row r="4141" spans="1:1" x14ac:dyDescent="0.2">
      <c r="A4141" s="12" t="str">
        <f t="shared" si="64"/>
        <v/>
      </c>
    </row>
    <row r="4142" spans="1:1" x14ac:dyDescent="0.2">
      <c r="A4142" s="12" t="str">
        <f t="shared" si="64"/>
        <v/>
      </c>
    </row>
    <row r="4143" spans="1:1" x14ac:dyDescent="0.2">
      <c r="A4143" s="12" t="str">
        <f t="shared" si="64"/>
        <v/>
      </c>
    </row>
    <row r="4144" spans="1:1" x14ac:dyDescent="0.2">
      <c r="A4144" s="12" t="str">
        <f t="shared" si="64"/>
        <v/>
      </c>
    </row>
    <row r="4145" spans="1:1" x14ac:dyDescent="0.2">
      <c r="A4145" s="12" t="str">
        <f t="shared" si="64"/>
        <v/>
      </c>
    </row>
    <row r="4146" spans="1:1" x14ac:dyDescent="0.2">
      <c r="A4146" s="12" t="str">
        <f t="shared" si="64"/>
        <v/>
      </c>
    </row>
    <row r="4147" spans="1:1" x14ac:dyDescent="0.2">
      <c r="A4147" s="12" t="str">
        <f t="shared" si="64"/>
        <v/>
      </c>
    </row>
    <row r="4148" spans="1:1" x14ac:dyDescent="0.2">
      <c r="A4148" s="12" t="str">
        <f t="shared" si="64"/>
        <v/>
      </c>
    </row>
    <row r="4149" spans="1:1" x14ac:dyDescent="0.2">
      <c r="A4149" s="12" t="str">
        <f t="shared" si="64"/>
        <v/>
      </c>
    </row>
    <row r="4150" spans="1:1" x14ac:dyDescent="0.2">
      <c r="A4150" s="12" t="str">
        <f t="shared" si="64"/>
        <v/>
      </c>
    </row>
    <row r="4151" spans="1:1" x14ac:dyDescent="0.2">
      <c r="A4151" s="12" t="str">
        <f t="shared" si="64"/>
        <v/>
      </c>
    </row>
    <row r="4152" spans="1:1" x14ac:dyDescent="0.2">
      <c r="A4152" s="12" t="str">
        <f t="shared" si="64"/>
        <v/>
      </c>
    </row>
    <row r="4153" spans="1:1" x14ac:dyDescent="0.2">
      <c r="A4153" s="12" t="str">
        <f t="shared" si="64"/>
        <v/>
      </c>
    </row>
    <row r="4154" spans="1:1" x14ac:dyDescent="0.2">
      <c r="A4154" s="12" t="str">
        <f t="shared" si="64"/>
        <v/>
      </c>
    </row>
    <row r="4155" spans="1:1" x14ac:dyDescent="0.2">
      <c r="A4155" s="12" t="str">
        <f t="shared" si="64"/>
        <v/>
      </c>
    </row>
    <row r="4156" spans="1:1" x14ac:dyDescent="0.2">
      <c r="A4156" s="12" t="str">
        <f t="shared" si="64"/>
        <v/>
      </c>
    </row>
    <row r="4157" spans="1:1" x14ac:dyDescent="0.2">
      <c r="A4157" s="12" t="str">
        <f t="shared" si="64"/>
        <v/>
      </c>
    </row>
    <row r="4158" spans="1:1" x14ac:dyDescent="0.2">
      <c r="A4158" s="12" t="str">
        <f t="shared" si="64"/>
        <v/>
      </c>
    </row>
    <row r="4159" spans="1:1" x14ac:dyDescent="0.2">
      <c r="A4159" s="12" t="str">
        <f t="shared" si="64"/>
        <v/>
      </c>
    </row>
    <row r="4160" spans="1:1" x14ac:dyDescent="0.2">
      <c r="A4160" s="12" t="str">
        <f t="shared" si="64"/>
        <v/>
      </c>
    </row>
    <row r="4161" spans="1:1" x14ac:dyDescent="0.2">
      <c r="A4161" s="12" t="str">
        <f t="shared" si="64"/>
        <v/>
      </c>
    </row>
    <row r="4162" spans="1:1" x14ac:dyDescent="0.2">
      <c r="A4162" s="12" t="str">
        <f t="shared" ref="A4162:A4225" si="65">IF(INDEX($AJ:$AJ,ROW())="","",HYPERLINK(INDEX($AJ:$AJ,ROW()),"Open"))</f>
        <v/>
      </c>
    </row>
    <row r="4163" spans="1:1" x14ac:dyDescent="0.2">
      <c r="A4163" s="12" t="str">
        <f t="shared" si="65"/>
        <v/>
      </c>
    </row>
    <row r="4164" spans="1:1" x14ac:dyDescent="0.2">
      <c r="A4164" s="12" t="str">
        <f t="shared" si="65"/>
        <v/>
      </c>
    </row>
    <row r="4165" spans="1:1" x14ac:dyDescent="0.2">
      <c r="A4165" s="12" t="str">
        <f t="shared" si="65"/>
        <v/>
      </c>
    </row>
    <row r="4166" spans="1:1" x14ac:dyDescent="0.2">
      <c r="A4166" s="12" t="str">
        <f t="shared" si="65"/>
        <v/>
      </c>
    </row>
    <row r="4167" spans="1:1" x14ac:dyDescent="0.2">
      <c r="A4167" s="12" t="str">
        <f t="shared" si="65"/>
        <v/>
      </c>
    </row>
    <row r="4168" spans="1:1" x14ac:dyDescent="0.2">
      <c r="A4168" s="12" t="str">
        <f t="shared" si="65"/>
        <v/>
      </c>
    </row>
    <row r="4169" spans="1:1" x14ac:dyDescent="0.2">
      <c r="A4169" s="12" t="str">
        <f t="shared" si="65"/>
        <v/>
      </c>
    </row>
    <row r="4170" spans="1:1" x14ac:dyDescent="0.2">
      <c r="A4170" s="12" t="str">
        <f t="shared" si="65"/>
        <v/>
      </c>
    </row>
    <row r="4171" spans="1:1" x14ac:dyDescent="0.2">
      <c r="A4171" s="12" t="str">
        <f t="shared" si="65"/>
        <v/>
      </c>
    </row>
    <row r="4172" spans="1:1" x14ac:dyDescent="0.2">
      <c r="A4172" s="12" t="str">
        <f t="shared" si="65"/>
        <v/>
      </c>
    </row>
    <row r="4173" spans="1:1" x14ac:dyDescent="0.2">
      <c r="A4173" s="12" t="str">
        <f t="shared" si="65"/>
        <v/>
      </c>
    </row>
    <row r="4174" spans="1:1" x14ac:dyDescent="0.2">
      <c r="A4174" s="12" t="str">
        <f t="shared" si="65"/>
        <v/>
      </c>
    </row>
    <row r="4175" spans="1:1" x14ac:dyDescent="0.2">
      <c r="A4175" s="12" t="str">
        <f t="shared" si="65"/>
        <v/>
      </c>
    </row>
    <row r="4176" spans="1:1" x14ac:dyDescent="0.2">
      <c r="A4176" s="12" t="str">
        <f t="shared" si="65"/>
        <v/>
      </c>
    </row>
    <row r="4177" spans="1:1" x14ac:dyDescent="0.2">
      <c r="A4177" s="12" t="str">
        <f t="shared" si="65"/>
        <v/>
      </c>
    </row>
    <row r="4178" spans="1:1" x14ac:dyDescent="0.2">
      <c r="A4178" s="12" t="str">
        <f t="shared" si="65"/>
        <v/>
      </c>
    </row>
    <row r="4179" spans="1:1" x14ac:dyDescent="0.2">
      <c r="A4179" s="12" t="str">
        <f t="shared" si="65"/>
        <v/>
      </c>
    </row>
    <row r="4180" spans="1:1" x14ac:dyDescent="0.2">
      <c r="A4180" s="12" t="str">
        <f t="shared" si="65"/>
        <v/>
      </c>
    </row>
    <row r="4181" spans="1:1" x14ac:dyDescent="0.2">
      <c r="A4181" s="12" t="str">
        <f t="shared" si="65"/>
        <v/>
      </c>
    </row>
    <row r="4182" spans="1:1" x14ac:dyDescent="0.2">
      <c r="A4182" s="12" t="str">
        <f t="shared" si="65"/>
        <v/>
      </c>
    </row>
    <row r="4183" spans="1:1" x14ac:dyDescent="0.2">
      <c r="A4183" s="12" t="str">
        <f t="shared" si="65"/>
        <v/>
      </c>
    </row>
    <row r="4184" spans="1:1" x14ac:dyDescent="0.2">
      <c r="A4184" s="12" t="str">
        <f t="shared" si="65"/>
        <v/>
      </c>
    </row>
    <row r="4185" spans="1:1" x14ac:dyDescent="0.2">
      <c r="A4185" s="12" t="str">
        <f t="shared" si="65"/>
        <v/>
      </c>
    </row>
    <row r="4186" spans="1:1" x14ac:dyDescent="0.2">
      <c r="A4186" s="12" t="str">
        <f t="shared" si="65"/>
        <v/>
      </c>
    </row>
    <row r="4187" spans="1:1" x14ac:dyDescent="0.2">
      <c r="A4187" s="12" t="str">
        <f t="shared" si="65"/>
        <v/>
      </c>
    </row>
    <row r="4188" spans="1:1" x14ac:dyDescent="0.2">
      <c r="A4188" s="12" t="str">
        <f t="shared" si="65"/>
        <v/>
      </c>
    </row>
    <row r="4189" spans="1:1" x14ac:dyDescent="0.2">
      <c r="A4189" s="12" t="str">
        <f t="shared" si="65"/>
        <v/>
      </c>
    </row>
    <row r="4190" spans="1:1" x14ac:dyDescent="0.2">
      <c r="A4190" s="12" t="str">
        <f t="shared" si="65"/>
        <v/>
      </c>
    </row>
    <row r="4191" spans="1:1" x14ac:dyDescent="0.2">
      <c r="A4191" s="12" t="str">
        <f t="shared" si="65"/>
        <v/>
      </c>
    </row>
    <row r="4192" spans="1:1" x14ac:dyDescent="0.2">
      <c r="A4192" s="12" t="str">
        <f t="shared" si="65"/>
        <v/>
      </c>
    </row>
    <row r="4193" spans="1:1" x14ac:dyDescent="0.2">
      <c r="A4193" s="12" t="str">
        <f t="shared" si="65"/>
        <v/>
      </c>
    </row>
    <row r="4194" spans="1:1" x14ac:dyDescent="0.2">
      <c r="A4194" s="12" t="str">
        <f t="shared" si="65"/>
        <v/>
      </c>
    </row>
    <row r="4195" spans="1:1" x14ac:dyDescent="0.2">
      <c r="A4195" s="12" t="str">
        <f t="shared" si="65"/>
        <v/>
      </c>
    </row>
    <row r="4196" spans="1:1" x14ac:dyDescent="0.2">
      <c r="A4196" s="12" t="str">
        <f t="shared" si="65"/>
        <v/>
      </c>
    </row>
    <row r="4197" spans="1:1" x14ac:dyDescent="0.2">
      <c r="A4197" s="12" t="str">
        <f t="shared" si="65"/>
        <v/>
      </c>
    </row>
    <row r="4198" spans="1:1" x14ac:dyDescent="0.2">
      <c r="A4198" s="12" t="str">
        <f t="shared" si="65"/>
        <v/>
      </c>
    </row>
    <row r="4199" spans="1:1" x14ac:dyDescent="0.2">
      <c r="A4199" s="12" t="str">
        <f t="shared" si="65"/>
        <v/>
      </c>
    </row>
    <row r="4200" spans="1:1" x14ac:dyDescent="0.2">
      <c r="A4200" s="12" t="str">
        <f t="shared" si="65"/>
        <v/>
      </c>
    </row>
    <row r="4201" spans="1:1" x14ac:dyDescent="0.2">
      <c r="A4201" s="12" t="str">
        <f t="shared" si="65"/>
        <v/>
      </c>
    </row>
    <row r="4202" spans="1:1" x14ac:dyDescent="0.2">
      <c r="A4202" s="12" t="str">
        <f t="shared" si="65"/>
        <v/>
      </c>
    </row>
    <row r="4203" spans="1:1" x14ac:dyDescent="0.2">
      <c r="A4203" s="12" t="str">
        <f t="shared" si="65"/>
        <v/>
      </c>
    </row>
    <row r="4204" spans="1:1" x14ac:dyDescent="0.2">
      <c r="A4204" s="12" t="str">
        <f t="shared" si="65"/>
        <v/>
      </c>
    </row>
    <row r="4205" spans="1:1" x14ac:dyDescent="0.2">
      <c r="A4205" s="12" t="str">
        <f t="shared" si="65"/>
        <v/>
      </c>
    </row>
    <row r="4206" spans="1:1" x14ac:dyDescent="0.2">
      <c r="A4206" s="12" t="str">
        <f t="shared" si="65"/>
        <v/>
      </c>
    </row>
    <row r="4207" spans="1:1" x14ac:dyDescent="0.2">
      <c r="A4207" s="12" t="str">
        <f t="shared" si="65"/>
        <v/>
      </c>
    </row>
    <row r="4208" spans="1:1" x14ac:dyDescent="0.2">
      <c r="A4208" s="12" t="str">
        <f t="shared" si="65"/>
        <v/>
      </c>
    </row>
    <row r="4209" spans="1:1" x14ac:dyDescent="0.2">
      <c r="A4209" s="12" t="str">
        <f t="shared" si="65"/>
        <v/>
      </c>
    </row>
    <row r="4210" spans="1:1" x14ac:dyDescent="0.2">
      <c r="A4210" s="12" t="str">
        <f t="shared" si="65"/>
        <v/>
      </c>
    </row>
    <row r="4211" spans="1:1" x14ac:dyDescent="0.2">
      <c r="A4211" s="12" t="str">
        <f t="shared" si="65"/>
        <v/>
      </c>
    </row>
    <row r="4212" spans="1:1" x14ac:dyDescent="0.2">
      <c r="A4212" s="12" t="str">
        <f t="shared" si="65"/>
        <v/>
      </c>
    </row>
    <row r="4213" spans="1:1" x14ac:dyDescent="0.2">
      <c r="A4213" s="12" t="str">
        <f t="shared" si="65"/>
        <v/>
      </c>
    </row>
    <row r="4214" spans="1:1" x14ac:dyDescent="0.2">
      <c r="A4214" s="12" t="str">
        <f t="shared" si="65"/>
        <v/>
      </c>
    </row>
    <row r="4215" spans="1:1" x14ac:dyDescent="0.2">
      <c r="A4215" s="12" t="str">
        <f t="shared" si="65"/>
        <v/>
      </c>
    </row>
    <row r="4216" spans="1:1" x14ac:dyDescent="0.2">
      <c r="A4216" s="12" t="str">
        <f t="shared" si="65"/>
        <v/>
      </c>
    </row>
    <row r="4217" spans="1:1" x14ac:dyDescent="0.2">
      <c r="A4217" s="12" t="str">
        <f t="shared" si="65"/>
        <v/>
      </c>
    </row>
    <row r="4218" spans="1:1" x14ac:dyDescent="0.2">
      <c r="A4218" s="12" t="str">
        <f t="shared" si="65"/>
        <v/>
      </c>
    </row>
    <row r="4219" spans="1:1" x14ac:dyDescent="0.2">
      <c r="A4219" s="12" t="str">
        <f t="shared" si="65"/>
        <v/>
      </c>
    </row>
    <row r="4220" spans="1:1" x14ac:dyDescent="0.2">
      <c r="A4220" s="12" t="str">
        <f t="shared" si="65"/>
        <v/>
      </c>
    </row>
    <row r="4221" spans="1:1" x14ac:dyDescent="0.2">
      <c r="A4221" s="12" t="str">
        <f t="shared" si="65"/>
        <v/>
      </c>
    </row>
    <row r="4222" spans="1:1" x14ac:dyDescent="0.2">
      <c r="A4222" s="12" t="str">
        <f t="shared" si="65"/>
        <v/>
      </c>
    </row>
    <row r="4223" spans="1:1" x14ac:dyDescent="0.2">
      <c r="A4223" s="12" t="str">
        <f t="shared" si="65"/>
        <v/>
      </c>
    </row>
    <row r="4224" spans="1:1" x14ac:dyDescent="0.2">
      <c r="A4224" s="12" t="str">
        <f t="shared" si="65"/>
        <v/>
      </c>
    </row>
    <row r="4225" spans="1:1" x14ac:dyDescent="0.2">
      <c r="A4225" s="12" t="str">
        <f t="shared" si="65"/>
        <v/>
      </c>
    </row>
    <row r="4226" spans="1:1" x14ac:dyDescent="0.2">
      <c r="A4226" s="12" t="str">
        <f t="shared" ref="A4226:A4289" si="66">IF(INDEX($AJ:$AJ,ROW())="","",HYPERLINK(INDEX($AJ:$AJ,ROW()),"Open"))</f>
        <v/>
      </c>
    </row>
    <row r="4227" spans="1:1" x14ac:dyDescent="0.2">
      <c r="A4227" s="12" t="str">
        <f t="shared" si="66"/>
        <v/>
      </c>
    </row>
    <row r="4228" spans="1:1" x14ac:dyDescent="0.2">
      <c r="A4228" s="12" t="str">
        <f t="shared" si="66"/>
        <v/>
      </c>
    </row>
    <row r="4229" spans="1:1" x14ac:dyDescent="0.2">
      <c r="A4229" s="12" t="str">
        <f t="shared" si="66"/>
        <v/>
      </c>
    </row>
    <row r="4230" spans="1:1" x14ac:dyDescent="0.2">
      <c r="A4230" s="12" t="str">
        <f t="shared" si="66"/>
        <v/>
      </c>
    </row>
    <row r="4231" spans="1:1" x14ac:dyDescent="0.2">
      <c r="A4231" s="12" t="str">
        <f t="shared" si="66"/>
        <v/>
      </c>
    </row>
    <row r="4232" spans="1:1" x14ac:dyDescent="0.2">
      <c r="A4232" s="12" t="str">
        <f t="shared" si="66"/>
        <v/>
      </c>
    </row>
    <row r="4233" spans="1:1" x14ac:dyDescent="0.2">
      <c r="A4233" s="12" t="str">
        <f t="shared" si="66"/>
        <v/>
      </c>
    </row>
    <row r="4234" spans="1:1" x14ac:dyDescent="0.2">
      <c r="A4234" s="12" t="str">
        <f t="shared" si="66"/>
        <v/>
      </c>
    </row>
    <row r="4235" spans="1:1" x14ac:dyDescent="0.2">
      <c r="A4235" s="12" t="str">
        <f t="shared" si="66"/>
        <v/>
      </c>
    </row>
    <row r="4236" spans="1:1" x14ac:dyDescent="0.2">
      <c r="A4236" s="12" t="str">
        <f t="shared" si="66"/>
        <v/>
      </c>
    </row>
    <row r="4237" spans="1:1" x14ac:dyDescent="0.2">
      <c r="A4237" s="12" t="str">
        <f t="shared" si="66"/>
        <v/>
      </c>
    </row>
    <row r="4238" spans="1:1" x14ac:dyDescent="0.2">
      <c r="A4238" s="12" t="str">
        <f t="shared" si="66"/>
        <v/>
      </c>
    </row>
    <row r="4239" spans="1:1" x14ac:dyDescent="0.2">
      <c r="A4239" s="12" t="str">
        <f t="shared" si="66"/>
        <v/>
      </c>
    </row>
    <row r="4240" spans="1:1" x14ac:dyDescent="0.2">
      <c r="A4240" s="12" t="str">
        <f t="shared" si="66"/>
        <v/>
      </c>
    </row>
    <row r="4241" spans="1:1" x14ac:dyDescent="0.2">
      <c r="A4241" s="12" t="str">
        <f t="shared" si="66"/>
        <v/>
      </c>
    </row>
    <row r="4242" spans="1:1" x14ac:dyDescent="0.2">
      <c r="A4242" s="12" t="str">
        <f t="shared" si="66"/>
        <v/>
      </c>
    </row>
    <row r="4243" spans="1:1" x14ac:dyDescent="0.2">
      <c r="A4243" s="12" t="str">
        <f t="shared" si="66"/>
        <v/>
      </c>
    </row>
    <row r="4244" spans="1:1" x14ac:dyDescent="0.2">
      <c r="A4244" s="12" t="str">
        <f t="shared" si="66"/>
        <v/>
      </c>
    </row>
    <row r="4245" spans="1:1" x14ac:dyDescent="0.2">
      <c r="A4245" s="12" t="str">
        <f t="shared" si="66"/>
        <v/>
      </c>
    </row>
    <row r="4246" spans="1:1" x14ac:dyDescent="0.2">
      <c r="A4246" s="12" t="str">
        <f t="shared" si="66"/>
        <v/>
      </c>
    </row>
    <row r="4247" spans="1:1" x14ac:dyDescent="0.2">
      <c r="A4247" s="12" t="str">
        <f t="shared" si="66"/>
        <v/>
      </c>
    </row>
    <row r="4248" spans="1:1" x14ac:dyDescent="0.2">
      <c r="A4248" s="12" t="str">
        <f t="shared" si="66"/>
        <v/>
      </c>
    </row>
    <row r="4249" spans="1:1" x14ac:dyDescent="0.2">
      <c r="A4249" s="12" t="str">
        <f t="shared" si="66"/>
        <v/>
      </c>
    </row>
    <row r="4250" spans="1:1" x14ac:dyDescent="0.2">
      <c r="A4250" s="12" t="str">
        <f t="shared" si="66"/>
        <v/>
      </c>
    </row>
    <row r="4251" spans="1:1" x14ac:dyDescent="0.2">
      <c r="A4251" s="12" t="str">
        <f t="shared" si="66"/>
        <v/>
      </c>
    </row>
    <row r="4252" spans="1:1" x14ac:dyDescent="0.2">
      <c r="A4252" s="12" t="str">
        <f t="shared" si="66"/>
        <v/>
      </c>
    </row>
    <row r="4253" spans="1:1" x14ac:dyDescent="0.2">
      <c r="A4253" s="12" t="str">
        <f t="shared" si="66"/>
        <v/>
      </c>
    </row>
    <row r="4254" spans="1:1" x14ac:dyDescent="0.2">
      <c r="A4254" s="12" t="str">
        <f t="shared" si="66"/>
        <v/>
      </c>
    </row>
    <row r="4255" spans="1:1" x14ac:dyDescent="0.2">
      <c r="A4255" s="12" t="str">
        <f t="shared" si="66"/>
        <v/>
      </c>
    </row>
    <row r="4256" spans="1:1" x14ac:dyDescent="0.2">
      <c r="A4256" s="12" t="str">
        <f t="shared" si="66"/>
        <v/>
      </c>
    </row>
    <row r="4257" spans="1:1" x14ac:dyDescent="0.2">
      <c r="A4257" s="12" t="str">
        <f t="shared" si="66"/>
        <v/>
      </c>
    </row>
    <row r="4258" spans="1:1" x14ac:dyDescent="0.2">
      <c r="A4258" s="12" t="str">
        <f t="shared" si="66"/>
        <v/>
      </c>
    </row>
    <row r="4259" spans="1:1" x14ac:dyDescent="0.2">
      <c r="A4259" s="12" t="str">
        <f t="shared" si="66"/>
        <v/>
      </c>
    </row>
    <row r="4260" spans="1:1" x14ac:dyDescent="0.2">
      <c r="A4260" s="12" t="str">
        <f t="shared" si="66"/>
        <v/>
      </c>
    </row>
    <row r="4261" spans="1:1" x14ac:dyDescent="0.2">
      <c r="A4261" s="12" t="str">
        <f t="shared" si="66"/>
        <v/>
      </c>
    </row>
    <row r="4262" spans="1:1" x14ac:dyDescent="0.2">
      <c r="A4262" s="12" t="str">
        <f t="shared" si="66"/>
        <v/>
      </c>
    </row>
    <row r="4263" spans="1:1" x14ac:dyDescent="0.2">
      <c r="A4263" s="12" t="str">
        <f t="shared" si="66"/>
        <v/>
      </c>
    </row>
    <row r="4264" spans="1:1" x14ac:dyDescent="0.2">
      <c r="A4264" s="12" t="str">
        <f t="shared" si="66"/>
        <v/>
      </c>
    </row>
    <row r="4265" spans="1:1" x14ac:dyDescent="0.2">
      <c r="A4265" s="12" t="str">
        <f t="shared" si="66"/>
        <v/>
      </c>
    </row>
    <row r="4266" spans="1:1" x14ac:dyDescent="0.2">
      <c r="A4266" s="12" t="str">
        <f t="shared" si="66"/>
        <v/>
      </c>
    </row>
    <row r="4267" spans="1:1" x14ac:dyDescent="0.2">
      <c r="A4267" s="12" t="str">
        <f t="shared" si="66"/>
        <v/>
      </c>
    </row>
    <row r="4268" spans="1:1" x14ac:dyDescent="0.2">
      <c r="A4268" s="12" t="str">
        <f t="shared" si="66"/>
        <v/>
      </c>
    </row>
    <row r="4269" spans="1:1" x14ac:dyDescent="0.2">
      <c r="A4269" s="12" t="str">
        <f t="shared" si="66"/>
        <v/>
      </c>
    </row>
    <row r="4270" spans="1:1" x14ac:dyDescent="0.2">
      <c r="A4270" s="12" t="str">
        <f t="shared" si="66"/>
        <v/>
      </c>
    </row>
    <row r="4271" spans="1:1" x14ac:dyDescent="0.2">
      <c r="A4271" s="12" t="str">
        <f t="shared" si="66"/>
        <v/>
      </c>
    </row>
    <row r="4272" spans="1:1" x14ac:dyDescent="0.2">
      <c r="A4272" s="12" t="str">
        <f t="shared" si="66"/>
        <v/>
      </c>
    </row>
    <row r="4273" spans="1:1" x14ac:dyDescent="0.2">
      <c r="A4273" s="12" t="str">
        <f t="shared" si="66"/>
        <v/>
      </c>
    </row>
    <row r="4274" spans="1:1" x14ac:dyDescent="0.2">
      <c r="A4274" s="12" t="str">
        <f t="shared" si="66"/>
        <v/>
      </c>
    </row>
    <row r="4275" spans="1:1" x14ac:dyDescent="0.2">
      <c r="A4275" s="12" t="str">
        <f t="shared" si="66"/>
        <v/>
      </c>
    </row>
    <row r="4276" spans="1:1" x14ac:dyDescent="0.2">
      <c r="A4276" s="12" t="str">
        <f t="shared" si="66"/>
        <v/>
      </c>
    </row>
    <row r="4277" spans="1:1" x14ac:dyDescent="0.2">
      <c r="A4277" s="12" t="str">
        <f t="shared" si="66"/>
        <v/>
      </c>
    </row>
    <row r="4278" spans="1:1" x14ac:dyDescent="0.2">
      <c r="A4278" s="12" t="str">
        <f t="shared" si="66"/>
        <v/>
      </c>
    </row>
    <row r="4279" spans="1:1" x14ac:dyDescent="0.2">
      <c r="A4279" s="12" t="str">
        <f t="shared" si="66"/>
        <v/>
      </c>
    </row>
    <row r="4280" spans="1:1" x14ac:dyDescent="0.2">
      <c r="A4280" s="12" t="str">
        <f t="shared" si="66"/>
        <v/>
      </c>
    </row>
    <row r="4281" spans="1:1" x14ac:dyDescent="0.2">
      <c r="A4281" s="12" t="str">
        <f t="shared" si="66"/>
        <v/>
      </c>
    </row>
    <row r="4282" spans="1:1" x14ac:dyDescent="0.2">
      <c r="A4282" s="12" t="str">
        <f t="shared" si="66"/>
        <v/>
      </c>
    </row>
    <row r="4283" spans="1:1" x14ac:dyDescent="0.2">
      <c r="A4283" s="12" t="str">
        <f t="shared" si="66"/>
        <v/>
      </c>
    </row>
    <row r="4284" spans="1:1" x14ac:dyDescent="0.2">
      <c r="A4284" s="12" t="str">
        <f t="shared" si="66"/>
        <v/>
      </c>
    </row>
    <row r="4285" spans="1:1" x14ac:dyDescent="0.2">
      <c r="A4285" s="12" t="str">
        <f t="shared" si="66"/>
        <v/>
      </c>
    </row>
    <row r="4286" spans="1:1" x14ac:dyDescent="0.2">
      <c r="A4286" s="12" t="str">
        <f t="shared" si="66"/>
        <v/>
      </c>
    </row>
    <row r="4287" spans="1:1" x14ac:dyDescent="0.2">
      <c r="A4287" s="12" t="str">
        <f t="shared" si="66"/>
        <v/>
      </c>
    </row>
    <row r="4288" spans="1:1" x14ac:dyDescent="0.2">
      <c r="A4288" s="12" t="str">
        <f t="shared" si="66"/>
        <v/>
      </c>
    </row>
    <row r="4289" spans="1:1" x14ac:dyDescent="0.2">
      <c r="A4289" s="12" t="str">
        <f t="shared" si="66"/>
        <v/>
      </c>
    </row>
    <row r="4290" spans="1:1" x14ac:dyDescent="0.2">
      <c r="A4290" s="12" t="str">
        <f t="shared" ref="A4290:A4353" si="67">IF(INDEX($AJ:$AJ,ROW())="","",HYPERLINK(INDEX($AJ:$AJ,ROW()),"Open"))</f>
        <v/>
      </c>
    </row>
    <row r="4291" spans="1:1" x14ac:dyDescent="0.2">
      <c r="A4291" s="12" t="str">
        <f t="shared" si="67"/>
        <v/>
      </c>
    </row>
    <row r="4292" spans="1:1" x14ac:dyDescent="0.2">
      <c r="A4292" s="12" t="str">
        <f t="shared" si="67"/>
        <v/>
      </c>
    </row>
    <row r="4293" spans="1:1" x14ac:dyDescent="0.2">
      <c r="A4293" s="12" t="str">
        <f t="shared" si="67"/>
        <v/>
      </c>
    </row>
    <row r="4294" spans="1:1" x14ac:dyDescent="0.2">
      <c r="A4294" s="12" t="str">
        <f t="shared" si="67"/>
        <v/>
      </c>
    </row>
    <row r="4295" spans="1:1" x14ac:dyDescent="0.2">
      <c r="A4295" s="12" t="str">
        <f t="shared" si="67"/>
        <v/>
      </c>
    </row>
    <row r="4296" spans="1:1" x14ac:dyDescent="0.2">
      <c r="A4296" s="12" t="str">
        <f t="shared" si="67"/>
        <v/>
      </c>
    </row>
    <row r="4297" spans="1:1" x14ac:dyDescent="0.2">
      <c r="A4297" s="12" t="str">
        <f t="shared" si="67"/>
        <v/>
      </c>
    </row>
    <row r="4298" spans="1:1" x14ac:dyDescent="0.2">
      <c r="A4298" s="12" t="str">
        <f t="shared" si="67"/>
        <v/>
      </c>
    </row>
    <row r="4299" spans="1:1" x14ac:dyDescent="0.2">
      <c r="A4299" s="12" t="str">
        <f t="shared" si="67"/>
        <v/>
      </c>
    </row>
    <row r="4300" spans="1:1" x14ac:dyDescent="0.2">
      <c r="A4300" s="12" t="str">
        <f t="shared" si="67"/>
        <v/>
      </c>
    </row>
    <row r="4301" spans="1:1" x14ac:dyDescent="0.2">
      <c r="A4301" s="12" t="str">
        <f t="shared" si="67"/>
        <v/>
      </c>
    </row>
    <row r="4302" spans="1:1" x14ac:dyDescent="0.2">
      <c r="A4302" s="12" t="str">
        <f t="shared" si="67"/>
        <v/>
      </c>
    </row>
    <row r="4303" spans="1:1" x14ac:dyDescent="0.2">
      <c r="A4303" s="12" t="str">
        <f t="shared" si="67"/>
        <v/>
      </c>
    </row>
    <row r="4304" spans="1:1" x14ac:dyDescent="0.2">
      <c r="A4304" s="12" t="str">
        <f t="shared" si="67"/>
        <v/>
      </c>
    </row>
    <row r="4305" spans="1:1" x14ac:dyDescent="0.2">
      <c r="A4305" s="12" t="str">
        <f t="shared" si="67"/>
        <v/>
      </c>
    </row>
    <row r="4306" spans="1:1" x14ac:dyDescent="0.2">
      <c r="A4306" s="12" t="str">
        <f t="shared" si="67"/>
        <v/>
      </c>
    </row>
    <row r="4307" spans="1:1" x14ac:dyDescent="0.2">
      <c r="A4307" s="12" t="str">
        <f t="shared" si="67"/>
        <v/>
      </c>
    </row>
    <row r="4308" spans="1:1" x14ac:dyDescent="0.2">
      <c r="A4308" s="12" t="str">
        <f t="shared" si="67"/>
        <v/>
      </c>
    </row>
    <row r="4309" spans="1:1" x14ac:dyDescent="0.2">
      <c r="A4309" s="12" t="str">
        <f t="shared" si="67"/>
        <v/>
      </c>
    </row>
    <row r="4310" spans="1:1" x14ac:dyDescent="0.2">
      <c r="A4310" s="12" t="str">
        <f t="shared" si="67"/>
        <v/>
      </c>
    </row>
    <row r="4311" spans="1:1" x14ac:dyDescent="0.2">
      <c r="A4311" s="12" t="str">
        <f t="shared" si="67"/>
        <v/>
      </c>
    </row>
    <row r="4312" spans="1:1" x14ac:dyDescent="0.2">
      <c r="A4312" s="12" t="str">
        <f t="shared" si="67"/>
        <v/>
      </c>
    </row>
    <row r="4313" spans="1:1" x14ac:dyDescent="0.2">
      <c r="A4313" s="12" t="str">
        <f t="shared" si="67"/>
        <v/>
      </c>
    </row>
    <row r="4314" spans="1:1" x14ac:dyDescent="0.2">
      <c r="A4314" s="12" t="str">
        <f t="shared" si="67"/>
        <v/>
      </c>
    </row>
    <row r="4315" spans="1:1" x14ac:dyDescent="0.2">
      <c r="A4315" s="12" t="str">
        <f t="shared" si="67"/>
        <v/>
      </c>
    </row>
    <row r="4316" spans="1:1" x14ac:dyDescent="0.2">
      <c r="A4316" s="12" t="str">
        <f t="shared" si="67"/>
        <v/>
      </c>
    </row>
    <row r="4317" spans="1:1" x14ac:dyDescent="0.2">
      <c r="A4317" s="12" t="str">
        <f t="shared" si="67"/>
        <v/>
      </c>
    </row>
    <row r="4318" spans="1:1" x14ac:dyDescent="0.2">
      <c r="A4318" s="12" t="str">
        <f t="shared" si="67"/>
        <v/>
      </c>
    </row>
    <row r="4319" spans="1:1" x14ac:dyDescent="0.2">
      <c r="A4319" s="12" t="str">
        <f t="shared" si="67"/>
        <v/>
      </c>
    </row>
    <row r="4320" spans="1:1" x14ac:dyDescent="0.2">
      <c r="A4320" s="12" t="str">
        <f t="shared" si="67"/>
        <v/>
      </c>
    </row>
    <row r="4321" spans="1:1" x14ac:dyDescent="0.2">
      <c r="A4321" s="12" t="str">
        <f t="shared" si="67"/>
        <v/>
      </c>
    </row>
    <row r="4322" spans="1:1" x14ac:dyDescent="0.2">
      <c r="A4322" s="12" t="str">
        <f t="shared" si="67"/>
        <v/>
      </c>
    </row>
    <row r="4323" spans="1:1" x14ac:dyDescent="0.2">
      <c r="A4323" s="12" t="str">
        <f t="shared" si="67"/>
        <v/>
      </c>
    </row>
    <row r="4324" spans="1:1" x14ac:dyDescent="0.2">
      <c r="A4324" s="12" t="str">
        <f t="shared" si="67"/>
        <v/>
      </c>
    </row>
    <row r="4325" spans="1:1" x14ac:dyDescent="0.2">
      <c r="A4325" s="12" t="str">
        <f t="shared" si="67"/>
        <v/>
      </c>
    </row>
    <row r="4326" spans="1:1" x14ac:dyDescent="0.2">
      <c r="A4326" s="12" t="str">
        <f t="shared" si="67"/>
        <v/>
      </c>
    </row>
    <row r="4327" spans="1:1" x14ac:dyDescent="0.2">
      <c r="A4327" s="12" t="str">
        <f t="shared" si="67"/>
        <v/>
      </c>
    </row>
    <row r="4328" spans="1:1" x14ac:dyDescent="0.2">
      <c r="A4328" s="12" t="str">
        <f t="shared" si="67"/>
        <v/>
      </c>
    </row>
    <row r="4329" spans="1:1" x14ac:dyDescent="0.2">
      <c r="A4329" s="12" t="str">
        <f t="shared" si="67"/>
        <v/>
      </c>
    </row>
    <row r="4330" spans="1:1" x14ac:dyDescent="0.2">
      <c r="A4330" s="12" t="str">
        <f t="shared" si="67"/>
        <v/>
      </c>
    </row>
    <row r="4331" spans="1:1" x14ac:dyDescent="0.2">
      <c r="A4331" s="12" t="str">
        <f t="shared" si="67"/>
        <v/>
      </c>
    </row>
    <row r="4332" spans="1:1" x14ac:dyDescent="0.2">
      <c r="A4332" s="12" t="str">
        <f t="shared" si="67"/>
        <v/>
      </c>
    </row>
    <row r="4333" spans="1:1" x14ac:dyDescent="0.2">
      <c r="A4333" s="12" t="str">
        <f t="shared" si="67"/>
        <v/>
      </c>
    </row>
    <row r="4334" spans="1:1" x14ac:dyDescent="0.2">
      <c r="A4334" s="12" t="str">
        <f t="shared" si="67"/>
        <v/>
      </c>
    </row>
    <row r="4335" spans="1:1" x14ac:dyDescent="0.2">
      <c r="A4335" s="12" t="str">
        <f t="shared" si="67"/>
        <v/>
      </c>
    </row>
    <row r="4336" spans="1:1" x14ac:dyDescent="0.2">
      <c r="A4336" s="12" t="str">
        <f t="shared" si="67"/>
        <v/>
      </c>
    </row>
    <row r="4337" spans="1:1" x14ac:dyDescent="0.2">
      <c r="A4337" s="12" t="str">
        <f t="shared" si="67"/>
        <v/>
      </c>
    </row>
    <row r="4338" spans="1:1" x14ac:dyDescent="0.2">
      <c r="A4338" s="12" t="str">
        <f t="shared" si="67"/>
        <v/>
      </c>
    </row>
    <row r="4339" spans="1:1" x14ac:dyDescent="0.2">
      <c r="A4339" s="12" t="str">
        <f t="shared" si="67"/>
        <v/>
      </c>
    </row>
    <row r="4340" spans="1:1" x14ac:dyDescent="0.2">
      <c r="A4340" s="12" t="str">
        <f t="shared" si="67"/>
        <v/>
      </c>
    </row>
    <row r="4341" spans="1:1" x14ac:dyDescent="0.2">
      <c r="A4341" s="12" t="str">
        <f t="shared" si="67"/>
        <v/>
      </c>
    </row>
    <row r="4342" spans="1:1" x14ac:dyDescent="0.2">
      <c r="A4342" s="12" t="str">
        <f t="shared" si="67"/>
        <v/>
      </c>
    </row>
    <row r="4343" spans="1:1" x14ac:dyDescent="0.2">
      <c r="A4343" s="12" t="str">
        <f t="shared" si="67"/>
        <v/>
      </c>
    </row>
    <row r="4344" spans="1:1" x14ac:dyDescent="0.2">
      <c r="A4344" s="12" t="str">
        <f t="shared" si="67"/>
        <v/>
      </c>
    </row>
    <row r="4345" spans="1:1" x14ac:dyDescent="0.2">
      <c r="A4345" s="12" t="str">
        <f t="shared" si="67"/>
        <v/>
      </c>
    </row>
    <row r="4346" spans="1:1" x14ac:dyDescent="0.2">
      <c r="A4346" s="12" t="str">
        <f t="shared" si="67"/>
        <v/>
      </c>
    </row>
    <row r="4347" spans="1:1" x14ac:dyDescent="0.2">
      <c r="A4347" s="12" t="str">
        <f t="shared" si="67"/>
        <v/>
      </c>
    </row>
    <row r="4348" spans="1:1" x14ac:dyDescent="0.2">
      <c r="A4348" s="12" t="str">
        <f t="shared" si="67"/>
        <v/>
      </c>
    </row>
    <row r="4349" spans="1:1" x14ac:dyDescent="0.2">
      <c r="A4349" s="12" t="str">
        <f t="shared" si="67"/>
        <v/>
      </c>
    </row>
    <row r="4350" spans="1:1" x14ac:dyDescent="0.2">
      <c r="A4350" s="12" t="str">
        <f t="shared" si="67"/>
        <v/>
      </c>
    </row>
    <row r="4351" spans="1:1" x14ac:dyDescent="0.2">
      <c r="A4351" s="12" t="str">
        <f t="shared" si="67"/>
        <v/>
      </c>
    </row>
    <row r="4352" spans="1:1" x14ac:dyDescent="0.2">
      <c r="A4352" s="12" t="str">
        <f t="shared" si="67"/>
        <v/>
      </c>
    </row>
    <row r="4353" spans="1:1" x14ac:dyDescent="0.2">
      <c r="A4353" s="12" t="str">
        <f t="shared" si="67"/>
        <v/>
      </c>
    </row>
    <row r="4354" spans="1:1" x14ac:dyDescent="0.2">
      <c r="A4354" s="12" t="str">
        <f t="shared" ref="A4354:A4417" si="68">IF(INDEX($AJ:$AJ,ROW())="","",HYPERLINK(INDEX($AJ:$AJ,ROW()),"Open"))</f>
        <v/>
      </c>
    </row>
    <row r="4355" spans="1:1" x14ac:dyDescent="0.2">
      <c r="A4355" s="12" t="str">
        <f t="shared" si="68"/>
        <v/>
      </c>
    </row>
    <row r="4356" spans="1:1" x14ac:dyDescent="0.2">
      <c r="A4356" s="12" t="str">
        <f t="shared" si="68"/>
        <v/>
      </c>
    </row>
    <row r="4357" spans="1:1" x14ac:dyDescent="0.2">
      <c r="A4357" s="12" t="str">
        <f t="shared" si="68"/>
        <v/>
      </c>
    </row>
    <row r="4358" spans="1:1" x14ac:dyDescent="0.2">
      <c r="A4358" s="12" t="str">
        <f t="shared" si="68"/>
        <v/>
      </c>
    </row>
    <row r="4359" spans="1:1" x14ac:dyDescent="0.2">
      <c r="A4359" s="12" t="str">
        <f t="shared" si="68"/>
        <v/>
      </c>
    </row>
    <row r="4360" spans="1:1" x14ac:dyDescent="0.2">
      <c r="A4360" s="12" t="str">
        <f t="shared" si="68"/>
        <v/>
      </c>
    </row>
    <row r="4361" spans="1:1" x14ac:dyDescent="0.2">
      <c r="A4361" s="12" t="str">
        <f t="shared" si="68"/>
        <v/>
      </c>
    </row>
    <row r="4362" spans="1:1" x14ac:dyDescent="0.2">
      <c r="A4362" s="12" t="str">
        <f t="shared" si="68"/>
        <v/>
      </c>
    </row>
    <row r="4363" spans="1:1" x14ac:dyDescent="0.2">
      <c r="A4363" s="12" t="str">
        <f t="shared" si="68"/>
        <v/>
      </c>
    </row>
    <row r="4364" spans="1:1" x14ac:dyDescent="0.2">
      <c r="A4364" s="12" t="str">
        <f t="shared" si="68"/>
        <v/>
      </c>
    </row>
    <row r="4365" spans="1:1" x14ac:dyDescent="0.2">
      <c r="A4365" s="12" t="str">
        <f t="shared" si="68"/>
        <v/>
      </c>
    </row>
    <row r="4366" spans="1:1" x14ac:dyDescent="0.2">
      <c r="A4366" s="12" t="str">
        <f t="shared" si="68"/>
        <v/>
      </c>
    </row>
    <row r="4367" spans="1:1" x14ac:dyDescent="0.2">
      <c r="A4367" s="12" t="str">
        <f t="shared" si="68"/>
        <v/>
      </c>
    </row>
    <row r="4368" spans="1:1" x14ac:dyDescent="0.2">
      <c r="A4368" s="12" t="str">
        <f t="shared" si="68"/>
        <v/>
      </c>
    </row>
    <row r="4369" spans="1:1" x14ac:dyDescent="0.2">
      <c r="A4369" s="12" t="str">
        <f t="shared" si="68"/>
        <v/>
      </c>
    </row>
    <row r="4370" spans="1:1" x14ac:dyDescent="0.2">
      <c r="A4370" s="12" t="str">
        <f t="shared" si="68"/>
        <v/>
      </c>
    </row>
    <row r="4371" spans="1:1" x14ac:dyDescent="0.2">
      <c r="A4371" s="12" t="str">
        <f t="shared" si="68"/>
        <v/>
      </c>
    </row>
    <row r="4372" spans="1:1" x14ac:dyDescent="0.2">
      <c r="A4372" s="12" t="str">
        <f t="shared" si="68"/>
        <v/>
      </c>
    </row>
    <row r="4373" spans="1:1" x14ac:dyDescent="0.2">
      <c r="A4373" s="12" t="str">
        <f t="shared" si="68"/>
        <v/>
      </c>
    </row>
    <row r="4374" spans="1:1" x14ac:dyDescent="0.2">
      <c r="A4374" s="12" t="str">
        <f t="shared" si="68"/>
        <v/>
      </c>
    </row>
    <row r="4375" spans="1:1" x14ac:dyDescent="0.2">
      <c r="A4375" s="12" t="str">
        <f t="shared" si="68"/>
        <v/>
      </c>
    </row>
    <row r="4376" spans="1:1" x14ac:dyDescent="0.2">
      <c r="A4376" s="12" t="str">
        <f t="shared" si="68"/>
        <v/>
      </c>
    </row>
    <row r="4377" spans="1:1" x14ac:dyDescent="0.2">
      <c r="A4377" s="12" t="str">
        <f t="shared" si="68"/>
        <v/>
      </c>
    </row>
    <row r="4378" spans="1:1" x14ac:dyDescent="0.2">
      <c r="A4378" s="12" t="str">
        <f t="shared" si="68"/>
        <v/>
      </c>
    </row>
    <row r="4379" spans="1:1" x14ac:dyDescent="0.2">
      <c r="A4379" s="12" t="str">
        <f t="shared" si="68"/>
        <v/>
      </c>
    </row>
    <row r="4380" spans="1:1" x14ac:dyDescent="0.2">
      <c r="A4380" s="12" t="str">
        <f t="shared" si="68"/>
        <v/>
      </c>
    </row>
    <row r="4381" spans="1:1" x14ac:dyDescent="0.2">
      <c r="A4381" s="12" t="str">
        <f t="shared" si="68"/>
        <v/>
      </c>
    </row>
    <row r="4382" spans="1:1" x14ac:dyDescent="0.2">
      <c r="A4382" s="12" t="str">
        <f t="shared" si="68"/>
        <v/>
      </c>
    </row>
    <row r="4383" spans="1:1" x14ac:dyDescent="0.2">
      <c r="A4383" s="12" t="str">
        <f t="shared" si="68"/>
        <v/>
      </c>
    </row>
    <row r="4384" spans="1:1" x14ac:dyDescent="0.2">
      <c r="A4384" s="12" t="str">
        <f t="shared" si="68"/>
        <v/>
      </c>
    </row>
    <row r="4385" spans="1:1" x14ac:dyDescent="0.2">
      <c r="A4385" s="12" t="str">
        <f t="shared" si="68"/>
        <v/>
      </c>
    </row>
    <row r="4386" spans="1:1" x14ac:dyDescent="0.2">
      <c r="A4386" s="12" t="str">
        <f t="shared" si="68"/>
        <v/>
      </c>
    </row>
    <row r="4387" spans="1:1" x14ac:dyDescent="0.2">
      <c r="A4387" s="12" t="str">
        <f t="shared" si="68"/>
        <v/>
      </c>
    </row>
    <row r="4388" spans="1:1" x14ac:dyDescent="0.2">
      <c r="A4388" s="12" t="str">
        <f t="shared" si="68"/>
        <v/>
      </c>
    </row>
    <row r="4389" spans="1:1" x14ac:dyDescent="0.2">
      <c r="A4389" s="12" t="str">
        <f t="shared" si="68"/>
        <v/>
      </c>
    </row>
    <row r="4390" spans="1:1" x14ac:dyDescent="0.2">
      <c r="A4390" s="12" t="str">
        <f t="shared" si="68"/>
        <v/>
      </c>
    </row>
    <row r="4391" spans="1:1" x14ac:dyDescent="0.2">
      <c r="A4391" s="12" t="str">
        <f t="shared" si="68"/>
        <v/>
      </c>
    </row>
    <row r="4392" spans="1:1" x14ac:dyDescent="0.2">
      <c r="A4392" s="12" t="str">
        <f t="shared" si="68"/>
        <v/>
      </c>
    </row>
    <row r="4393" spans="1:1" x14ac:dyDescent="0.2">
      <c r="A4393" s="12" t="str">
        <f t="shared" si="68"/>
        <v/>
      </c>
    </row>
    <row r="4394" spans="1:1" x14ac:dyDescent="0.2">
      <c r="A4394" s="12" t="str">
        <f t="shared" si="68"/>
        <v/>
      </c>
    </row>
    <row r="4395" spans="1:1" x14ac:dyDescent="0.2">
      <c r="A4395" s="12" t="str">
        <f t="shared" si="68"/>
        <v/>
      </c>
    </row>
    <row r="4396" spans="1:1" x14ac:dyDescent="0.2">
      <c r="A4396" s="12" t="str">
        <f t="shared" si="68"/>
        <v/>
      </c>
    </row>
    <row r="4397" spans="1:1" x14ac:dyDescent="0.2">
      <c r="A4397" s="12" t="str">
        <f t="shared" si="68"/>
        <v/>
      </c>
    </row>
    <row r="4398" spans="1:1" x14ac:dyDescent="0.2">
      <c r="A4398" s="12" t="str">
        <f t="shared" si="68"/>
        <v/>
      </c>
    </row>
    <row r="4399" spans="1:1" x14ac:dyDescent="0.2">
      <c r="A4399" s="12" t="str">
        <f t="shared" si="68"/>
        <v/>
      </c>
    </row>
    <row r="4400" spans="1:1" x14ac:dyDescent="0.2">
      <c r="A4400" s="12" t="str">
        <f t="shared" si="68"/>
        <v/>
      </c>
    </row>
    <row r="4401" spans="1:1" x14ac:dyDescent="0.2">
      <c r="A4401" s="12" t="str">
        <f t="shared" si="68"/>
        <v/>
      </c>
    </row>
    <row r="4402" spans="1:1" x14ac:dyDescent="0.2">
      <c r="A4402" s="12" t="str">
        <f t="shared" si="68"/>
        <v/>
      </c>
    </row>
    <row r="4403" spans="1:1" x14ac:dyDescent="0.2">
      <c r="A4403" s="12" t="str">
        <f t="shared" si="68"/>
        <v/>
      </c>
    </row>
    <row r="4404" spans="1:1" x14ac:dyDescent="0.2">
      <c r="A4404" s="12" t="str">
        <f t="shared" si="68"/>
        <v/>
      </c>
    </row>
    <row r="4405" spans="1:1" x14ac:dyDescent="0.2">
      <c r="A4405" s="12" t="str">
        <f t="shared" si="68"/>
        <v/>
      </c>
    </row>
    <row r="4406" spans="1:1" x14ac:dyDescent="0.2">
      <c r="A4406" s="12" t="str">
        <f t="shared" si="68"/>
        <v/>
      </c>
    </row>
    <row r="4407" spans="1:1" x14ac:dyDescent="0.2">
      <c r="A4407" s="12" t="str">
        <f t="shared" si="68"/>
        <v/>
      </c>
    </row>
    <row r="4408" spans="1:1" x14ac:dyDescent="0.2">
      <c r="A4408" s="12" t="str">
        <f t="shared" si="68"/>
        <v/>
      </c>
    </row>
    <row r="4409" spans="1:1" x14ac:dyDescent="0.2">
      <c r="A4409" s="12" t="str">
        <f t="shared" si="68"/>
        <v/>
      </c>
    </row>
    <row r="4410" spans="1:1" x14ac:dyDescent="0.2">
      <c r="A4410" s="12" t="str">
        <f t="shared" si="68"/>
        <v/>
      </c>
    </row>
    <row r="4411" spans="1:1" x14ac:dyDescent="0.2">
      <c r="A4411" s="12" t="str">
        <f t="shared" si="68"/>
        <v/>
      </c>
    </row>
    <row r="4412" spans="1:1" x14ac:dyDescent="0.2">
      <c r="A4412" s="12" t="str">
        <f t="shared" si="68"/>
        <v/>
      </c>
    </row>
    <row r="4413" spans="1:1" x14ac:dyDescent="0.2">
      <c r="A4413" s="12" t="str">
        <f t="shared" si="68"/>
        <v/>
      </c>
    </row>
    <row r="4414" spans="1:1" x14ac:dyDescent="0.2">
      <c r="A4414" s="12" t="str">
        <f t="shared" si="68"/>
        <v/>
      </c>
    </row>
    <row r="4415" spans="1:1" x14ac:dyDescent="0.2">
      <c r="A4415" s="12" t="str">
        <f t="shared" si="68"/>
        <v/>
      </c>
    </row>
    <row r="4416" spans="1:1" x14ac:dyDescent="0.2">
      <c r="A4416" s="12" t="str">
        <f t="shared" si="68"/>
        <v/>
      </c>
    </row>
    <row r="4417" spans="1:1" x14ac:dyDescent="0.2">
      <c r="A4417" s="12" t="str">
        <f t="shared" si="68"/>
        <v/>
      </c>
    </row>
    <row r="4418" spans="1:1" x14ac:dyDescent="0.2">
      <c r="A4418" s="12" t="str">
        <f t="shared" ref="A4418:A4481" si="69">IF(INDEX($AJ:$AJ,ROW())="","",HYPERLINK(INDEX($AJ:$AJ,ROW()),"Open"))</f>
        <v/>
      </c>
    </row>
    <row r="4419" spans="1:1" x14ac:dyDescent="0.2">
      <c r="A4419" s="12" t="str">
        <f t="shared" si="69"/>
        <v/>
      </c>
    </row>
    <row r="4420" spans="1:1" x14ac:dyDescent="0.2">
      <c r="A4420" s="12" t="str">
        <f t="shared" si="69"/>
        <v/>
      </c>
    </row>
    <row r="4421" spans="1:1" x14ac:dyDescent="0.2">
      <c r="A4421" s="12" t="str">
        <f t="shared" si="69"/>
        <v/>
      </c>
    </row>
    <row r="4422" spans="1:1" x14ac:dyDescent="0.2">
      <c r="A4422" s="12" t="str">
        <f t="shared" si="69"/>
        <v/>
      </c>
    </row>
    <row r="4423" spans="1:1" x14ac:dyDescent="0.2">
      <c r="A4423" s="12" t="str">
        <f t="shared" si="69"/>
        <v/>
      </c>
    </row>
    <row r="4424" spans="1:1" x14ac:dyDescent="0.2">
      <c r="A4424" s="12" t="str">
        <f t="shared" si="69"/>
        <v/>
      </c>
    </row>
    <row r="4425" spans="1:1" x14ac:dyDescent="0.2">
      <c r="A4425" s="12" t="str">
        <f t="shared" si="69"/>
        <v/>
      </c>
    </row>
    <row r="4426" spans="1:1" x14ac:dyDescent="0.2">
      <c r="A4426" s="12" t="str">
        <f t="shared" si="69"/>
        <v/>
      </c>
    </row>
    <row r="4427" spans="1:1" x14ac:dyDescent="0.2">
      <c r="A4427" s="12" t="str">
        <f t="shared" si="69"/>
        <v/>
      </c>
    </row>
    <row r="4428" spans="1:1" x14ac:dyDescent="0.2">
      <c r="A4428" s="12" t="str">
        <f t="shared" si="69"/>
        <v/>
      </c>
    </row>
    <row r="4429" spans="1:1" x14ac:dyDescent="0.2">
      <c r="A4429" s="12" t="str">
        <f t="shared" si="69"/>
        <v/>
      </c>
    </row>
    <row r="4430" spans="1:1" x14ac:dyDescent="0.2">
      <c r="A4430" s="12" t="str">
        <f t="shared" si="69"/>
        <v/>
      </c>
    </row>
    <row r="4431" spans="1:1" x14ac:dyDescent="0.2">
      <c r="A4431" s="12" t="str">
        <f t="shared" si="69"/>
        <v/>
      </c>
    </row>
    <row r="4432" spans="1:1" x14ac:dyDescent="0.2">
      <c r="A4432" s="12" t="str">
        <f t="shared" si="69"/>
        <v/>
      </c>
    </row>
    <row r="4433" spans="1:1" x14ac:dyDescent="0.2">
      <c r="A4433" s="12" t="str">
        <f t="shared" si="69"/>
        <v/>
      </c>
    </row>
    <row r="4434" spans="1:1" x14ac:dyDescent="0.2">
      <c r="A4434" s="12" t="str">
        <f t="shared" si="69"/>
        <v/>
      </c>
    </row>
    <row r="4435" spans="1:1" x14ac:dyDescent="0.2">
      <c r="A4435" s="12" t="str">
        <f t="shared" si="69"/>
        <v/>
      </c>
    </row>
    <row r="4436" spans="1:1" x14ac:dyDescent="0.2">
      <c r="A4436" s="12" t="str">
        <f t="shared" si="69"/>
        <v/>
      </c>
    </row>
    <row r="4437" spans="1:1" x14ac:dyDescent="0.2">
      <c r="A4437" s="12" t="str">
        <f t="shared" si="69"/>
        <v/>
      </c>
    </row>
    <row r="4438" spans="1:1" x14ac:dyDescent="0.2">
      <c r="A4438" s="12" t="str">
        <f t="shared" si="69"/>
        <v/>
      </c>
    </row>
    <row r="4439" spans="1:1" x14ac:dyDescent="0.2">
      <c r="A4439" s="12" t="str">
        <f t="shared" si="69"/>
        <v/>
      </c>
    </row>
    <row r="4440" spans="1:1" x14ac:dyDescent="0.2">
      <c r="A4440" s="12" t="str">
        <f t="shared" si="69"/>
        <v/>
      </c>
    </row>
    <row r="4441" spans="1:1" x14ac:dyDescent="0.2">
      <c r="A4441" s="12" t="str">
        <f t="shared" si="69"/>
        <v/>
      </c>
    </row>
    <row r="4442" spans="1:1" x14ac:dyDescent="0.2">
      <c r="A4442" s="12" t="str">
        <f t="shared" si="69"/>
        <v/>
      </c>
    </row>
    <row r="4443" spans="1:1" x14ac:dyDescent="0.2">
      <c r="A4443" s="12" t="str">
        <f t="shared" si="69"/>
        <v/>
      </c>
    </row>
    <row r="4444" spans="1:1" x14ac:dyDescent="0.2">
      <c r="A4444" s="12" t="str">
        <f t="shared" si="69"/>
        <v/>
      </c>
    </row>
    <row r="4445" spans="1:1" x14ac:dyDescent="0.2">
      <c r="A4445" s="12" t="str">
        <f t="shared" si="69"/>
        <v/>
      </c>
    </row>
    <row r="4446" spans="1:1" x14ac:dyDescent="0.2">
      <c r="A4446" s="12" t="str">
        <f t="shared" si="69"/>
        <v/>
      </c>
    </row>
    <row r="4447" spans="1:1" x14ac:dyDescent="0.2">
      <c r="A4447" s="12" t="str">
        <f t="shared" si="69"/>
        <v/>
      </c>
    </row>
    <row r="4448" spans="1:1" x14ac:dyDescent="0.2">
      <c r="A4448" s="12" t="str">
        <f t="shared" si="69"/>
        <v/>
      </c>
    </row>
    <row r="4449" spans="1:1" x14ac:dyDescent="0.2">
      <c r="A4449" s="12" t="str">
        <f t="shared" si="69"/>
        <v/>
      </c>
    </row>
    <row r="4450" spans="1:1" x14ac:dyDescent="0.2">
      <c r="A4450" s="12" t="str">
        <f t="shared" si="69"/>
        <v/>
      </c>
    </row>
    <row r="4451" spans="1:1" x14ac:dyDescent="0.2">
      <c r="A4451" s="12" t="str">
        <f t="shared" si="69"/>
        <v/>
      </c>
    </row>
    <row r="4452" spans="1:1" x14ac:dyDescent="0.2">
      <c r="A4452" s="12" t="str">
        <f t="shared" si="69"/>
        <v/>
      </c>
    </row>
    <row r="4453" spans="1:1" x14ac:dyDescent="0.2">
      <c r="A4453" s="12" t="str">
        <f t="shared" si="69"/>
        <v/>
      </c>
    </row>
    <row r="4454" spans="1:1" x14ac:dyDescent="0.2">
      <c r="A4454" s="12" t="str">
        <f t="shared" si="69"/>
        <v/>
      </c>
    </row>
    <row r="4455" spans="1:1" x14ac:dyDescent="0.2">
      <c r="A4455" s="12" t="str">
        <f t="shared" si="69"/>
        <v/>
      </c>
    </row>
    <row r="4456" spans="1:1" x14ac:dyDescent="0.2">
      <c r="A4456" s="12" t="str">
        <f t="shared" si="69"/>
        <v/>
      </c>
    </row>
    <row r="4457" spans="1:1" x14ac:dyDescent="0.2">
      <c r="A4457" s="12" t="str">
        <f t="shared" si="69"/>
        <v/>
      </c>
    </row>
    <row r="4458" spans="1:1" x14ac:dyDescent="0.2">
      <c r="A4458" s="12" t="str">
        <f t="shared" si="69"/>
        <v/>
      </c>
    </row>
    <row r="4459" spans="1:1" x14ac:dyDescent="0.2">
      <c r="A4459" s="12" t="str">
        <f t="shared" si="69"/>
        <v/>
      </c>
    </row>
    <row r="4460" spans="1:1" x14ac:dyDescent="0.2">
      <c r="A4460" s="12" t="str">
        <f t="shared" si="69"/>
        <v/>
      </c>
    </row>
    <row r="4461" spans="1:1" x14ac:dyDescent="0.2">
      <c r="A4461" s="12" t="str">
        <f t="shared" si="69"/>
        <v/>
      </c>
    </row>
    <row r="4462" spans="1:1" x14ac:dyDescent="0.2">
      <c r="A4462" s="12" t="str">
        <f t="shared" si="69"/>
        <v/>
      </c>
    </row>
    <row r="4463" spans="1:1" x14ac:dyDescent="0.2">
      <c r="A4463" s="12" t="str">
        <f t="shared" si="69"/>
        <v/>
      </c>
    </row>
    <row r="4464" spans="1:1" x14ac:dyDescent="0.2">
      <c r="A4464" s="12" t="str">
        <f t="shared" si="69"/>
        <v/>
      </c>
    </row>
    <row r="4465" spans="1:1" x14ac:dyDescent="0.2">
      <c r="A4465" s="12" t="str">
        <f t="shared" si="69"/>
        <v/>
      </c>
    </row>
    <row r="4466" spans="1:1" x14ac:dyDescent="0.2">
      <c r="A4466" s="12" t="str">
        <f t="shared" si="69"/>
        <v/>
      </c>
    </row>
    <row r="4467" spans="1:1" x14ac:dyDescent="0.2">
      <c r="A4467" s="12" t="str">
        <f t="shared" si="69"/>
        <v/>
      </c>
    </row>
    <row r="4468" spans="1:1" x14ac:dyDescent="0.2">
      <c r="A4468" s="12" t="str">
        <f t="shared" si="69"/>
        <v/>
      </c>
    </row>
    <row r="4469" spans="1:1" x14ac:dyDescent="0.2">
      <c r="A4469" s="12" t="str">
        <f t="shared" si="69"/>
        <v/>
      </c>
    </row>
    <row r="4470" spans="1:1" x14ac:dyDescent="0.2">
      <c r="A4470" s="12" t="str">
        <f t="shared" si="69"/>
        <v/>
      </c>
    </row>
    <row r="4471" spans="1:1" x14ac:dyDescent="0.2">
      <c r="A4471" s="12" t="str">
        <f t="shared" si="69"/>
        <v/>
      </c>
    </row>
    <row r="4472" spans="1:1" x14ac:dyDescent="0.2">
      <c r="A4472" s="12" t="str">
        <f t="shared" si="69"/>
        <v/>
      </c>
    </row>
    <row r="4473" spans="1:1" x14ac:dyDescent="0.2">
      <c r="A4473" s="12" t="str">
        <f t="shared" si="69"/>
        <v/>
      </c>
    </row>
    <row r="4474" spans="1:1" x14ac:dyDescent="0.2">
      <c r="A4474" s="12" t="str">
        <f t="shared" si="69"/>
        <v/>
      </c>
    </row>
    <row r="4475" spans="1:1" x14ac:dyDescent="0.2">
      <c r="A4475" s="12" t="str">
        <f t="shared" si="69"/>
        <v/>
      </c>
    </row>
    <row r="4476" spans="1:1" x14ac:dyDescent="0.2">
      <c r="A4476" s="12" t="str">
        <f t="shared" si="69"/>
        <v/>
      </c>
    </row>
    <row r="4477" spans="1:1" x14ac:dyDescent="0.2">
      <c r="A4477" s="12" t="str">
        <f t="shared" si="69"/>
        <v/>
      </c>
    </row>
    <row r="4478" spans="1:1" x14ac:dyDescent="0.2">
      <c r="A4478" s="12" t="str">
        <f t="shared" si="69"/>
        <v/>
      </c>
    </row>
    <row r="4479" spans="1:1" x14ac:dyDescent="0.2">
      <c r="A4479" s="12" t="str">
        <f t="shared" si="69"/>
        <v/>
      </c>
    </row>
    <row r="4480" spans="1:1" x14ac:dyDescent="0.2">
      <c r="A4480" s="12" t="str">
        <f t="shared" si="69"/>
        <v/>
      </c>
    </row>
    <row r="4481" spans="1:1" x14ac:dyDescent="0.2">
      <c r="A4481" s="12" t="str">
        <f t="shared" si="69"/>
        <v/>
      </c>
    </row>
    <row r="4482" spans="1:1" x14ac:dyDescent="0.2">
      <c r="A4482" s="12" t="str">
        <f t="shared" ref="A4482:A4545" si="70">IF(INDEX($AJ:$AJ,ROW())="","",HYPERLINK(INDEX($AJ:$AJ,ROW()),"Open"))</f>
        <v/>
      </c>
    </row>
    <row r="4483" spans="1:1" x14ac:dyDescent="0.2">
      <c r="A4483" s="12" t="str">
        <f t="shared" si="70"/>
        <v/>
      </c>
    </row>
    <row r="4484" spans="1:1" x14ac:dyDescent="0.2">
      <c r="A4484" s="12" t="str">
        <f t="shared" si="70"/>
        <v/>
      </c>
    </row>
    <row r="4485" spans="1:1" x14ac:dyDescent="0.2">
      <c r="A4485" s="12" t="str">
        <f t="shared" si="70"/>
        <v/>
      </c>
    </row>
    <row r="4486" spans="1:1" x14ac:dyDescent="0.2">
      <c r="A4486" s="12" t="str">
        <f t="shared" si="70"/>
        <v/>
      </c>
    </row>
    <row r="4487" spans="1:1" x14ac:dyDescent="0.2">
      <c r="A4487" s="12" t="str">
        <f t="shared" si="70"/>
        <v/>
      </c>
    </row>
    <row r="4488" spans="1:1" x14ac:dyDescent="0.2">
      <c r="A4488" s="12" t="str">
        <f t="shared" si="70"/>
        <v/>
      </c>
    </row>
    <row r="4489" spans="1:1" x14ac:dyDescent="0.2">
      <c r="A4489" s="12" t="str">
        <f t="shared" si="70"/>
        <v/>
      </c>
    </row>
    <row r="4490" spans="1:1" x14ac:dyDescent="0.2">
      <c r="A4490" s="12" t="str">
        <f t="shared" si="70"/>
        <v/>
      </c>
    </row>
    <row r="4491" spans="1:1" x14ac:dyDescent="0.2">
      <c r="A4491" s="12" t="str">
        <f t="shared" si="70"/>
        <v/>
      </c>
    </row>
    <row r="4492" spans="1:1" x14ac:dyDescent="0.2">
      <c r="A4492" s="12" t="str">
        <f t="shared" si="70"/>
        <v/>
      </c>
    </row>
    <row r="4493" spans="1:1" x14ac:dyDescent="0.2">
      <c r="A4493" s="12" t="str">
        <f t="shared" si="70"/>
        <v/>
      </c>
    </row>
    <row r="4494" spans="1:1" x14ac:dyDescent="0.2">
      <c r="A4494" s="12" t="str">
        <f t="shared" si="70"/>
        <v/>
      </c>
    </row>
    <row r="4495" spans="1:1" x14ac:dyDescent="0.2">
      <c r="A4495" s="12" t="str">
        <f t="shared" si="70"/>
        <v/>
      </c>
    </row>
    <row r="4496" spans="1:1" x14ac:dyDescent="0.2">
      <c r="A4496" s="12" t="str">
        <f t="shared" si="70"/>
        <v/>
      </c>
    </row>
    <row r="4497" spans="1:1" x14ac:dyDescent="0.2">
      <c r="A4497" s="12" t="str">
        <f t="shared" si="70"/>
        <v/>
      </c>
    </row>
    <row r="4498" spans="1:1" x14ac:dyDescent="0.2">
      <c r="A4498" s="12" t="str">
        <f t="shared" si="70"/>
        <v/>
      </c>
    </row>
    <row r="4499" spans="1:1" x14ac:dyDescent="0.2">
      <c r="A4499" s="12" t="str">
        <f t="shared" si="70"/>
        <v/>
      </c>
    </row>
    <row r="4500" spans="1:1" x14ac:dyDescent="0.2">
      <c r="A4500" s="12" t="str">
        <f t="shared" si="70"/>
        <v/>
      </c>
    </row>
    <row r="4501" spans="1:1" x14ac:dyDescent="0.2">
      <c r="A4501" s="12" t="str">
        <f t="shared" si="70"/>
        <v/>
      </c>
    </row>
    <row r="4502" spans="1:1" x14ac:dyDescent="0.2">
      <c r="A4502" s="12" t="str">
        <f t="shared" si="70"/>
        <v/>
      </c>
    </row>
    <row r="4503" spans="1:1" x14ac:dyDescent="0.2">
      <c r="A4503" s="12" t="str">
        <f t="shared" si="70"/>
        <v/>
      </c>
    </row>
    <row r="4504" spans="1:1" x14ac:dyDescent="0.2">
      <c r="A4504" s="12" t="str">
        <f t="shared" si="70"/>
        <v/>
      </c>
    </row>
    <row r="4505" spans="1:1" x14ac:dyDescent="0.2">
      <c r="A4505" s="12" t="str">
        <f t="shared" si="70"/>
        <v/>
      </c>
    </row>
    <row r="4506" spans="1:1" x14ac:dyDescent="0.2">
      <c r="A4506" s="12" t="str">
        <f t="shared" si="70"/>
        <v/>
      </c>
    </row>
    <row r="4507" spans="1:1" x14ac:dyDescent="0.2">
      <c r="A4507" s="12" t="str">
        <f t="shared" si="70"/>
        <v/>
      </c>
    </row>
    <row r="4508" spans="1:1" x14ac:dyDescent="0.2">
      <c r="A4508" s="12" t="str">
        <f t="shared" si="70"/>
        <v/>
      </c>
    </row>
    <row r="4509" spans="1:1" x14ac:dyDescent="0.2">
      <c r="A4509" s="12" t="str">
        <f t="shared" si="70"/>
        <v/>
      </c>
    </row>
    <row r="4510" spans="1:1" x14ac:dyDescent="0.2">
      <c r="A4510" s="12" t="str">
        <f t="shared" si="70"/>
        <v/>
      </c>
    </row>
    <row r="4511" spans="1:1" x14ac:dyDescent="0.2">
      <c r="A4511" s="12" t="str">
        <f t="shared" si="70"/>
        <v/>
      </c>
    </row>
    <row r="4512" spans="1:1" x14ac:dyDescent="0.2">
      <c r="A4512" s="12" t="str">
        <f t="shared" si="70"/>
        <v/>
      </c>
    </row>
    <row r="4513" spans="1:1" x14ac:dyDescent="0.2">
      <c r="A4513" s="12" t="str">
        <f t="shared" si="70"/>
        <v/>
      </c>
    </row>
    <row r="4514" spans="1:1" x14ac:dyDescent="0.2">
      <c r="A4514" s="12" t="str">
        <f t="shared" si="70"/>
        <v/>
      </c>
    </row>
    <row r="4515" spans="1:1" x14ac:dyDescent="0.2">
      <c r="A4515" s="12" t="str">
        <f t="shared" si="70"/>
        <v/>
      </c>
    </row>
    <row r="4516" spans="1:1" x14ac:dyDescent="0.2">
      <c r="A4516" s="12" t="str">
        <f t="shared" si="70"/>
        <v/>
      </c>
    </row>
    <row r="4517" spans="1:1" x14ac:dyDescent="0.2">
      <c r="A4517" s="12" t="str">
        <f t="shared" si="70"/>
        <v/>
      </c>
    </row>
    <row r="4518" spans="1:1" x14ac:dyDescent="0.2">
      <c r="A4518" s="12" t="str">
        <f t="shared" si="70"/>
        <v/>
      </c>
    </row>
    <row r="4519" spans="1:1" x14ac:dyDescent="0.2">
      <c r="A4519" s="12" t="str">
        <f t="shared" si="70"/>
        <v/>
      </c>
    </row>
    <row r="4520" spans="1:1" x14ac:dyDescent="0.2">
      <c r="A4520" s="12" t="str">
        <f t="shared" si="70"/>
        <v/>
      </c>
    </row>
    <row r="4521" spans="1:1" x14ac:dyDescent="0.2">
      <c r="A4521" s="12" t="str">
        <f t="shared" si="70"/>
        <v/>
      </c>
    </row>
    <row r="4522" spans="1:1" x14ac:dyDescent="0.2">
      <c r="A4522" s="12" t="str">
        <f t="shared" si="70"/>
        <v/>
      </c>
    </row>
    <row r="4523" spans="1:1" x14ac:dyDescent="0.2">
      <c r="A4523" s="12" t="str">
        <f t="shared" si="70"/>
        <v/>
      </c>
    </row>
    <row r="4524" spans="1:1" x14ac:dyDescent="0.2">
      <c r="A4524" s="12" t="str">
        <f t="shared" si="70"/>
        <v/>
      </c>
    </row>
    <row r="4525" spans="1:1" x14ac:dyDescent="0.2">
      <c r="A4525" s="12" t="str">
        <f t="shared" si="70"/>
        <v/>
      </c>
    </row>
    <row r="4526" spans="1:1" x14ac:dyDescent="0.2">
      <c r="A4526" s="12" t="str">
        <f t="shared" si="70"/>
        <v/>
      </c>
    </row>
    <row r="4527" spans="1:1" x14ac:dyDescent="0.2">
      <c r="A4527" s="12" t="str">
        <f t="shared" si="70"/>
        <v/>
      </c>
    </row>
    <row r="4528" spans="1:1" x14ac:dyDescent="0.2">
      <c r="A4528" s="12" t="str">
        <f t="shared" si="70"/>
        <v/>
      </c>
    </row>
    <row r="4529" spans="1:1" x14ac:dyDescent="0.2">
      <c r="A4529" s="12" t="str">
        <f t="shared" si="70"/>
        <v/>
      </c>
    </row>
    <row r="4530" spans="1:1" x14ac:dyDescent="0.2">
      <c r="A4530" s="12" t="str">
        <f t="shared" si="70"/>
        <v/>
      </c>
    </row>
    <row r="4531" spans="1:1" x14ac:dyDescent="0.2">
      <c r="A4531" s="12" t="str">
        <f t="shared" si="70"/>
        <v/>
      </c>
    </row>
    <row r="4532" spans="1:1" x14ac:dyDescent="0.2">
      <c r="A4532" s="12" t="str">
        <f t="shared" si="70"/>
        <v/>
      </c>
    </row>
    <row r="4533" spans="1:1" x14ac:dyDescent="0.2">
      <c r="A4533" s="12" t="str">
        <f t="shared" si="70"/>
        <v/>
      </c>
    </row>
    <row r="4534" spans="1:1" x14ac:dyDescent="0.2">
      <c r="A4534" s="12" t="str">
        <f t="shared" si="70"/>
        <v/>
      </c>
    </row>
    <row r="4535" spans="1:1" x14ac:dyDescent="0.2">
      <c r="A4535" s="12" t="str">
        <f t="shared" si="70"/>
        <v/>
      </c>
    </row>
    <row r="4536" spans="1:1" x14ac:dyDescent="0.2">
      <c r="A4536" s="12" t="str">
        <f t="shared" si="70"/>
        <v/>
      </c>
    </row>
    <row r="4537" spans="1:1" x14ac:dyDescent="0.2">
      <c r="A4537" s="12" t="str">
        <f t="shared" si="70"/>
        <v/>
      </c>
    </row>
    <row r="4538" spans="1:1" x14ac:dyDescent="0.2">
      <c r="A4538" s="12" t="str">
        <f t="shared" si="70"/>
        <v/>
      </c>
    </row>
    <row r="4539" spans="1:1" x14ac:dyDescent="0.2">
      <c r="A4539" s="12" t="str">
        <f t="shared" si="70"/>
        <v/>
      </c>
    </row>
    <row r="4540" spans="1:1" x14ac:dyDescent="0.2">
      <c r="A4540" s="12" t="str">
        <f t="shared" si="70"/>
        <v/>
      </c>
    </row>
    <row r="4541" spans="1:1" x14ac:dyDescent="0.2">
      <c r="A4541" s="12" t="str">
        <f t="shared" si="70"/>
        <v/>
      </c>
    </row>
    <row r="4542" spans="1:1" x14ac:dyDescent="0.2">
      <c r="A4542" s="12" t="str">
        <f t="shared" si="70"/>
        <v/>
      </c>
    </row>
    <row r="4543" spans="1:1" x14ac:dyDescent="0.2">
      <c r="A4543" s="12" t="str">
        <f t="shared" si="70"/>
        <v/>
      </c>
    </row>
    <row r="4544" spans="1:1" x14ac:dyDescent="0.2">
      <c r="A4544" s="12" t="str">
        <f t="shared" si="70"/>
        <v/>
      </c>
    </row>
    <row r="4545" spans="1:1" x14ac:dyDescent="0.2">
      <c r="A4545" s="12" t="str">
        <f t="shared" si="70"/>
        <v/>
      </c>
    </row>
    <row r="4546" spans="1:1" x14ac:dyDescent="0.2">
      <c r="A4546" s="12" t="str">
        <f t="shared" ref="A4546:A4609" si="71">IF(INDEX($AJ:$AJ,ROW())="","",HYPERLINK(INDEX($AJ:$AJ,ROW()),"Open"))</f>
        <v/>
      </c>
    </row>
    <row r="4547" spans="1:1" x14ac:dyDescent="0.2">
      <c r="A4547" s="12" t="str">
        <f t="shared" si="71"/>
        <v/>
      </c>
    </row>
    <row r="4548" spans="1:1" x14ac:dyDescent="0.2">
      <c r="A4548" s="12" t="str">
        <f t="shared" si="71"/>
        <v/>
      </c>
    </row>
    <row r="4549" spans="1:1" x14ac:dyDescent="0.2">
      <c r="A4549" s="12" t="str">
        <f t="shared" si="71"/>
        <v/>
      </c>
    </row>
    <row r="4550" spans="1:1" x14ac:dyDescent="0.2">
      <c r="A4550" s="12" t="str">
        <f t="shared" si="71"/>
        <v/>
      </c>
    </row>
    <row r="4551" spans="1:1" x14ac:dyDescent="0.2">
      <c r="A4551" s="12" t="str">
        <f t="shared" si="71"/>
        <v/>
      </c>
    </row>
    <row r="4552" spans="1:1" x14ac:dyDescent="0.2">
      <c r="A4552" s="12" t="str">
        <f t="shared" si="71"/>
        <v/>
      </c>
    </row>
    <row r="4553" spans="1:1" x14ac:dyDescent="0.2">
      <c r="A4553" s="12" t="str">
        <f t="shared" si="71"/>
        <v/>
      </c>
    </row>
    <row r="4554" spans="1:1" x14ac:dyDescent="0.2">
      <c r="A4554" s="12" t="str">
        <f t="shared" si="71"/>
        <v/>
      </c>
    </row>
    <row r="4555" spans="1:1" x14ac:dyDescent="0.2">
      <c r="A4555" s="12" t="str">
        <f t="shared" si="71"/>
        <v/>
      </c>
    </row>
    <row r="4556" spans="1:1" x14ac:dyDescent="0.2">
      <c r="A4556" s="12" t="str">
        <f t="shared" si="71"/>
        <v/>
      </c>
    </row>
    <row r="4557" spans="1:1" x14ac:dyDescent="0.2">
      <c r="A4557" s="12" t="str">
        <f t="shared" si="71"/>
        <v/>
      </c>
    </row>
    <row r="4558" spans="1:1" x14ac:dyDescent="0.2">
      <c r="A4558" s="12" t="str">
        <f t="shared" si="71"/>
        <v/>
      </c>
    </row>
    <row r="4559" spans="1:1" x14ac:dyDescent="0.2">
      <c r="A4559" s="12" t="str">
        <f t="shared" si="71"/>
        <v/>
      </c>
    </row>
    <row r="4560" spans="1:1" x14ac:dyDescent="0.2">
      <c r="A4560" s="12" t="str">
        <f t="shared" si="71"/>
        <v/>
      </c>
    </row>
    <row r="4561" spans="1:1" x14ac:dyDescent="0.2">
      <c r="A4561" s="12" t="str">
        <f t="shared" si="71"/>
        <v/>
      </c>
    </row>
    <row r="4562" spans="1:1" x14ac:dyDescent="0.2">
      <c r="A4562" s="12" t="str">
        <f t="shared" si="71"/>
        <v/>
      </c>
    </row>
    <row r="4563" spans="1:1" x14ac:dyDescent="0.2">
      <c r="A4563" s="12" t="str">
        <f t="shared" si="71"/>
        <v/>
      </c>
    </row>
    <row r="4564" spans="1:1" x14ac:dyDescent="0.2">
      <c r="A4564" s="12" t="str">
        <f t="shared" si="71"/>
        <v/>
      </c>
    </row>
    <row r="4565" spans="1:1" x14ac:dyDescent="0.2">
      <c r="A4565" s="12" t="str">
        <f t="shared" si="71"/>
        <v/>
      </c>
    </row>
    <row r="4566" spans="1:1" x14ac:dyDescent="0.2">
      <c r="A4566" s="12" t="str">
        <f t="shared" si="71"/>
        <v/>
      </c>
    </row>
    <row r="4567" spans="1:1" x14ac:dyDescent="0.2">
      <c r="A4567" s="12" t="str">
        <f t="shared" si="71"/>
        <v/>
      </c>
    </row>
    <row r="4568" spans="1:1" x14ac:dyDescent="0.2">
      <c r="A4568" s="12" t="str">
        <f t="shared" si="71"/>
        <v/>
      </c>
    </row>
    <row r="4569" spans="1:1" x14ac:dyDescent="0.2">
      <c r="A4569" s="12" t="str">
        <f t="shared" si="71"/>
        <v/>
      </c>
    </row>
    <row r="4570" spans="1:1" x14ac:dyDescent="0.2">
      <c r="A4570" s="12" t="str">
        <f t="shared" si="71"/>
        <v/>
      </c>
    </row>
    <row r="4571" spans="1:1" x14ac:dyDescent="0.2">
      <c r="A4571" s="12" t="str">
        <f t="shared" si="71"/>
        <v/>
      </c>
    </row>
    <row r="4572" spans="1:1" x14ac:dyDescent="0.2">
      <c r="A4572" s="12" t="str">
        <f t="shared" si="71"/>
        <v/>
      </c>
    </row>
    <row r="4573" spans="1:1" x14ac:dyDescent="0.2">
      <c r="A4573" s="12" t="str">
        <f t="shared" si="71"/>
        <v/>
      </c>
    </row>
    <row r="4574" spans="1:1" x14ac:dyDescent="0.2">
      <c r="A4574" s="12" t="str">
        <f t="shared" si="71"/>
        <v/>
      </c>
    </row>
    <row r="4575" spans="1:1" x14ac:dyDescent="0.2">
      <c r="A4575" s="12" t="str">
        <f t="shared" si="71"/>
        <v/>
      </c>
    </row>
    <row r="4576" spans="1:1" x14ac:dyDescent="0.2">
      <c r="A4576" s="12" t="str">
        <f t="shared" si="71"/>
        <v/>
      </c>
    </row>
    <row r="4577" spans="1:1" x14ac:dyDescent="0.2">
      <c r="A4577" s="12" t="str">
        <f t="shared" si="71"/>
        <v/>
      </c>
    </row>
    <row r="4578" spans="1:1" x14ac:dyDescent="0.2">
      <c r="A4578" s="12" t="str">
        <f t="shared" si="71"/>
        <v/>
      </c>
    </row>
    <row r="4579" spans="1:1" x14ac:dyDescent="0.2">
      <c r="A4579" s="12" t="str">
        <f t="shared" si="71"/>
        <v/>
      </c>
    </row>
    <row r="4580" spans="1:1" x14ac:dyDescent="0.2">
      <c r="A4580" s="12" t="str">
        <f t="shared" si="71"/>
        <v/>
      </c>
    </row>
    <row r="4581" spans="1:1" x14ac:dyDescent="0.2">
      <c r="A4581" s="12" t="str">
        <f t="shared" si="71"/>
        <v/>
      </c>
    </row>
    <row r="4582" spans="1:1" x14ac:dyDescent="0.2">
      <c r="A4582" s="12" t="str">
        <f t="shared" si="71"/>
        <v/>
      </c>
    </row>
    <row r="4583" spans="1:1" x14ac:dyDescent="0.2">
      <c r="A4583" s="12" t="str">
        <f t="shared" si="71"/>
        <v/>
      </c>
    </row>
    <row r="4584" spans="1:1" x14ac:dyDescent="0.2">
      <c r="A4584" s="12" t="str">
        <f t="shared" si="71"/>
        <v/>
      </c>
    </row>
    <row r="4585" spans="1:1" x14ac:dyDescent="0.2">
      <c r="A4585" s="12" t="str">
        <f t="shared" si="71"/>
        <v/>
      </c>
    </row>
    <row r="4586" spans="1:1" x14ac:dyDescent="0.2">
      <c r="A4586" s="12" t="str">
        <f t="shared" si="71"/>
        <v/>
      </c>
    </row>
    <row r="4587" spans="1:1" x14ac:dyDescent="0.2">
      <c r="A4587" s="12" t="str">
        <f t="shared" si="71"/>
        <v/>
      </c>
    </row>
    <row r="4588" spans="1:1" x14ac:dyDescent="0.2">
      <c r="A4588" s="12" t="str">
        <f t="shared" si="71"/>
        <v/>
      </c>
    </row>
    <row r="4589" spans="1:1" x14ac:dyDescent="0.2">
      <c r="A4589" s="12" t="str">
        <f t="shared" si="71"/>
        <v/>
      </c>
    </row>
    <row r="4590" spans="1:1" x14ac:dyDescent="0.2">
      <c r="A4590" s="12" t="str">
        <f t="shared" si="71"/>
        <v/>
      </c>
    </row>
    <row r="4591" spans="1:1" x14ac:dyDescent="0.2">
      <c r="A4591" s="12" t="str">
        <f t="shared" si="71"/>
        <v/>
      </c>
    </row>
    <row r="4592" spans="1:1" x14ac:dyDescent="0.2">
      <c r="A4592" s="12" t="str">
        <f t="shared" si="71"/>
        <v/>
      </c>
    </row>
    <row r="4593" spans="1:1" x14ac:dyDescent="0.2">
      <c r="A4593" s="12" t="str">
        <f t="shared" si="71"/>
        <v/>
      </c>
    </row>
    <row r="4594" spans="1:1" x14ac:dyDescent="0.2">
      <c r="A4594" s="12" t="str">
        <f t="shared" si="71"/>
        <v/>
      </c>
    </row>
    <row r="4595" spans="1:1" x14ac:dyDescent="0.2">
      <c r="A4595" s="12" t="str">
        <f t="shared" si="71"/>
        <v/>
      </c>
    </row>
    <row r="4596" spans="1:1" x14ac:dyDescent="0.2">
      <c r="A4596" s="12" t="str">
        <f t="shared" si="71"/>
        <v/>
      </c>
    </row>
    <row r="4597" spans="1:1" x14ac:dyDescent="0.2">
      <c r="A4597" s="12" t="str">
        <f t="shared" si="71"/>
        <v/>
      </c>
    </row>
    <row r="4598" spans="1:1" x14ac:dyDescent="0.2">
      <c r="A4598" s="12" t="str">
        <f t="shared" si="71"/>
        <v/>
      </c>
    </row>
    <row r="4599" spans="1:1" x14ac:dyDescent="0.2">
      <c r="A4599" s="12" t="str">
        <f t="shared" si="71"/>
        <v/>
      </c>
    </row>
    <row r="4600" spans="1:1" x14ac:dyDescent="0.2">
      <c r="A4600" s="12" t="str">
        <f t="shared" si="71"/>
        <v/>
      </c>
    </row>
    <row r="4601" spans="1:1" x14ac:dyDescent="0.2">
      <c r="A4601" s="12" t="str">
        <f t="shared" si="71"/>
        <v/>
      </c>
    </row>
    <row r="4602" spans="1:1" x14ac:dyDescent="0.2">
      <c r="A4602" s="12" t="str">
        <f t="shared" si="71"/>
        <v/>
      </c>
    </row>
    <row r="4603" spans="1:1" x14ac:dyDescent="0.2">
      <c r="A4603" s="12" t="str">
        <f t="shared" si="71"/>
        <v/>
      </c>
    </row>
    <row r="4604" spans="1:1" x14ac:dyDescent="0.2">
      <c r="A4604" s="12" t="str">
        <f t="shared" si="71"/>
        <v/>
      </c>
    </row>
    <row r="4605" spans="1:1" x14ac:dyDescent="0.2">
      <c r="A4605" s="12" t="str">
        <f t="shared" si="71"/>
        <v/>
      </c>
    </row>
    <row r="4606" spans="1:1" x14ac:dyDescent="0.2">
      <c r="A4606" s="12" t="str">
        <f t="shared" si="71"/>
        <v/>
      </c>
    </row>
    <row r="4607" spans="1:1" x14ac:dyDescent="0.2">
      <c r="A4607" s="12" t="str">
        <f t="shared" si="71"/>
        <v/>
      </c>
    </row>
    <row r="4608" spans="1:1" x14ac:dyDescent="0.2">
      <c r="A4608" s="12" t="str">
        <f t="shared" si="71"/>
        <v/>
      </c>
    </row>
    <row r="4609" spans="1:1" x14ac:dyDescent="0.2">
      <c r="A4609" s="12" t="str">
        <f t="shared" si="71"/>
        <v/>
      </c>
    </row>
    <row r="4610" spans="1:1" x14ac:dyDescent="0.2">
      <c r="A4610" s="12" t="str">
        <f t="shared" ref="A4610:A4673" si="72">IF(INDEX($AJ:$AJ,ROW())="","",HYPERLINK(INDEX($AJ:$AJ,ROW()),"Open"))</f>
        <v/>
      </c>
    </row>
    <row r="4611" spans="1:1" x14ac:dyDescent="0.2">
      <c r="A4611" s="12" t="str">
        <f t="shared" si="72"/>
        <v/>
      </c>
    </row>
    <row r="4612" spans="1:1" x14ac:dyDescent="0.2">
      <c r="A4612" s="12" t="str">
        <f t="shared" si="72"/>
        <v/>
      </c>
    </row>
    <row r="4613" spans="1:1" x14ac:dyDescent="0.2">
      <c r="A4613" s="12" t="str">
        <f t="shared" si="72"/>
        <v/>
      </c>
    </row>
    <row r="4614" spans="1:1" x14ac:dyDescent="0.2">
      <c r="A4614" s="12" t="str">
        <f t="shared" si="72"/>
        <v/>
      </c>
    </row>
    <row r="4615" spans="1:1" x14ac:dyDescent="0.2">
      <c r="A4615" s="12" t="str">
        <f t="shared" si="72"/>
        <v/>
      </c>
    </row>
    <row r="4616" spans="1:1" x14ac:dyDescent="0.2">
      <c r="A4616" s="12" t="str">
        <f t="shared" si="72"/>
        <v/>
      </c>
    </row>
    <row r="4617" spans="1:1" x14ac:dyDescent="0.2">
      <c r="A4617" s="12" t="str">
        <f t="shared" si="72"/>
        <v/>
      </c>
    </row>
    <row r="4618" spans="1:1" x14ac:dyDescent="0.2">
      <c r="A4618" s="12" t="str">
        <f t="shared" si="72"/>
        <v/>
      </c>
    </row>
    <row r="4619" spans="1:1" x14ac:dyDescent="0.2">
      <c r="A4619" s="12" t="str">
        <f t="shared" si="72"/>
        <v/>
      </c>
    </row>
    <row r="4620" spans="1:1" x14ac:dyDescent="0.2">
      <c r="A4620" s="12" t="str">
        <f t="shared" si="72"/>
        <v/>
      </c>
    </row>
    <row r="4621" spans="1:1" x14ac:dyDescent="0.2">
      <c r="A4621" s="12" t="str">
        <f t="shared" si="72"/>
        <v/>
      </c>
    </row>
    <row r="4622" spans="1:1" x14ac:dyDescent="0.2">
      <c r="A4622" s="12" t="str">
        <f t="shared" si="72"/>
        <v/>
      </c>
    </row>
    <row r="4623" spans="1:1" x14ac:dyDescent="0.2">
      <c r="A4623" s="12" t="str">
        <f t="shared" si="72"/>
        <v/>
      </c>
    </row>
    <row r="4624" spans="1:1" x14ac:dyDescent="0.2">
      <c r="A4624" s="12" t="str">
        <f t="shared" si="72"/>
        <v/>
      </c>
    </row>
    <row r="4625" spans="1:1" x14ac:dyDescent="0.2">
      <c r="A4625" s="12" t="str">
        <f t="shared" si="72"/>
        <v/>
      </c>
    </row>
    <row r="4626" spans="1:1" x14ac:dyDescent="0.2">
      <c r="A4626" s="12" t="str">
        <f t="shared" si="72"/>
        <v/>
      </c>
    </row>
    <row r="4627" spans="1:1" x14ac:dyDescent="0.2">
      <c r="A4627" s="12" t="str">
        <f t="shared" si="72"/>
        <v/>
      </c>
    </row>
    <row r="4628" spans="1:1" x14ac:dyDescent="0.2">
      <c r="A4628" s="12" t="str">
        <f t="shared" si="72"/>
        <v/>
      </c>
    </row>
    <row r="4629" spans="1:1" x14ac:dyDescent="0.2">
      <c r="A4629" s="12" t="str">
        <f t="shared" si="72"/>
        <v/>
      </c>
    </row>
    <row r="4630" spans="1:1" x14ac:dyDescent="0.2">
      <c r="A4630" s="12" t="str">
        <f t="shared" si="72"/>
        <v/>
      </c>
    </row>
    <row r="4631" spans="1:1" x14ac:dyDescent="0.2">
      <c r="A4631" s="12" t="str">
        <f t="shared" si="72"/>
        <v/>
      </c>
    </row>
    <row r="4632" spans="1:1" x14ac:dyDescent="0.2">
      <c r="A4632" s="12" t="str">
        <f t="shared" si="72"/>
        <v/>
      </c>
    </row>
    <row r="4633" spans="1:1" x14ac:dyDescent="0.2">
      <c r="A4633" s="12" t="str">
        <f t="shared" si="72"/>
        <v/>
      </c>
    </row>
    <row r="4634" spans="1:1" x14ac:dyDescent="0.2">
      <c r="A4634" s="12" t="str">
        <f t="shared" si="72"/>
        <v/>
      </c>
    </row>
    <row r="4635" spans="1:1" x14ac:dyDescent="0.2">
      <c r="A4635" s="12" t="str">
        <f t="shared" si="72"/>
        <v/>
      </c>
    </row>
    <row r="4636" spans="1:1" x14ac:dyDescent="0.2">
      <c r="A4636" s="12" t="str">
        <f t="shared" si="72"/>
        <v/>
      </c>
    </row>
    <row r="4637" spans="1:1" x14ac:dyDescent="0.2">
      <c r="A4637" s="12" t="str">
        <f t="shared" si="72"/>
        <v/>
      </c>
    </row>
    <row r="4638" spans="1:1" x14ac:dyDescent="0.2">
      <c r="A4638" s="12" t="str">
        <f t="shared" si="72"/>
        <v/>
      </c>
    </row>
    <row r="4639" spans="1:1" x14ac:dyDescent="0.2">
      <c r="A4639" s="12" t="str">
        <f t="shared" si="72"/>
        <v/>
      </c>
    </row>
    <row r="4640" spans="1:1" x14ac:dyDescent="0.2">
      <c r="A4640" s="12" t="str">
        <f t="shared" si="72"/>
        <v/>
      </c>
    </row>
    <row r="4641" spans="1:1" x14ac:dyDescent="0.2">
      <c r="A4641" s="12" t="str">
        <f t="shared" si="72"/>
        <v/>
      </c>
    </row>
    <row r="4642" spans="1:1" x14ac:dyDescent="0.2">
      <c r="A4642" s="12" t="str">
        <f t="shared" si="72"/>
        <v/>
      </c>
    </row>
    <row r="4643" spans="1:1" x14ac:dyDescent="0.2">
      <c r="A4643" s="12" t="str">
        <f t="shared" si="72"/>
        <v/>
      </c>
    </row>
    <row r="4644" spans="1:1" x14ac:dyDescent="0.2">
      <c r="A4644" s="12" t="str">
        <f t="shared" si="72"/>
        <v/>
      </c>
    </row>
    <row r="4645" spans="1:1" x14ac:dyDescent="0.2">
      <c r="A4645" s="12" t="str">
        <f t="shared" si="72"/>
        <v/>
      </c>
    </row>
    <row r="4646" spans="1:1" x14ac:dyDescent="0.2">
      <c r="A4646" s="12" t="str">
        <f t="shared" si="72"/>
        <v/>
      </c>
    </row>
    <row r="4647" spans="1:1" x14ac:dyDescent="0.2">
      <c r="A4647" s="12" t="str">
        <f t="shared" si="72"/>
        <v/>
      </c>
    </row>
    <row r="4648" spans="1:1" x14ac:dyDescent="0.2">
      <c r="A4648" s="12" t="str">
        <f t="shared" si="72"/>
        <v/>
      </c>
    </row>
    <row r="4649" spans="1:1" x14ac:dyDescent="0.2">
      <c r="A4649" s="12" t="str">
        <f t="shared" si="72"/>
        <v/>
      </c>
    </row>
    <row r="4650" spans="1:1" x14ac:dyDescent="0.2">
      <c r="A4650" s="12" t="str">
        <f t="shared" si="72"/>
        <v/>
      </c>
    </row>
    <row r="4651" spans="1:1" x14ac:dyDescent="0.2">
      <c r="A4651" s="12" t="str">
        <f t="shared" si="72"/>
        <v/>
      </c>
    </row>
    <row r="4652" spans="1:1" x14ac:dyDescent="0.2">
      <c r="A4652" s="12" t="str">
        <f t="shared" si="72"/>
        <v/>
      </c>
    </row>
    <row r="4653" spans="1:1" x14ac:dyDescent="0.2">
      <c r="A4653" s="12" t="str">
        <f t="shared" si="72"/>
        <v/>
      </c>
    </row>
    <row r="4654" spans="1:1" x14ac:dyDescent="0.2">
      <c r="A4654" s="12" t="str">
        <f t="shared" si="72"/>
        <v/>
      </c>
    </row>
    <row r="4655" spans="1:1" x14ac:dyDescent="0.2">
      <c r="A4655" s="12" t="str">
        <f t="shared" si="72"/>
        <v/>
      </c>
    </row>
    <row r="4656" spans="1:1" x14ac:dyDescent="0.2">
      <c r="A4656" s="12" t="str">
        <f t="shared" si="72"/>
        <v/>
      </c>
    </row>
    <row r="4657" spans="1:1" x14ac:dyDescent="0.2">
      <c r="A4657" s="12" t="str">
        <f t="shared" si="72"/>
        <v/>
      </c>
    </row>
    <row r="4658" spans="1:1" x14ac:dyDescent="0.2">
      <c r="A4658" s="12" t="str">
        <f t="shared" si="72"/>
        <v/>
      </c>
    </row>
    <row r="4659" spans="1:1" x14ac:dyDescent="0.2">
      <c r="A4659" s="12" t="str">
        <f t="shared" si="72"/>
        <v/>
      </c>
    </row>
    <row r="4660" spans="1:1" x14ac:dyDescent="0.2">
      <c r="A4660" s="12" t="str">
        <f t="shared" si="72"/>
        <v/>
      </c>
    </row>
    <row r="4661" spans="1:1" x14ac:dyDescent="0.2">
      <c r="A4661" s="12" t="str">
        <f t="shared" si="72"/>
        <v/>
      </c>
    </row>
    <row r="4662" spans="1:1" x14ac:dyDescent="0.2">
      <c r="A4662" s="12" t="str">
        <f t="shared" si="72"/>
        <v/>
      </c>
    </row>
    <row r="4663" spans="1:1" x14ac:dyDescent="0.2">
      <c r="A4663" s="12" t="str">
        <f t="shared" si="72"/>
        <v/>
      </c>
    </row>
    <row r="4664" spans="1:1" x14ac:dyDescent="0.2">
      <c r="A4664" s="12" t="str">
        <f t="shared" si="72"/>
        <v/>
      </c>
    </row>
    <row r="4665" spans="1:1" x14ac:dyDescent="0.2">
      <c r="A4665" s="12" t="str">
        <f t="shared" si="72"/>
        <v/>
      </c>
    </row>
    <row r="4666" spans="1:1" x14ac:dyDescent="0.2">
      <c r="A4666" s="12" t="str">
        <f t="shared" si="72"/>
        <v/>
      </c>
    </row>
    <row r="4667" spans="1:1" x14ac:dyDescent="0.2">
      <c r="A4667" s="12" t="str">
        <f t="shared" si="72"/>
        <v/>
      </c>
    </row>
    <row r="4668" spans="1:1" x14ac:dyDescent="0.2">
      <c r="A4668" s="12" t="str">
        <f t="shared" si="72"/>
        <v/>
      </c>
    </row>
    <row r="4669" spans="1:1" x14ac:dyDescent="0.2">
      <c r="A4669" s="12" t="str">
        <f t="shared" si="72"/>
        <v/>
      </c>
    </row>
    <row r="4670" spans="1:1" x14ac:dyDescent="0.2">
      <c r="A4670" s="12" t="str">
        <f t="shared" si="72"/>
        <v/>
      </c>
    </row>
    <row r="4671" spans="1:1" x14ac:dyDescent="0.2">
      <c r="A4671" s="12" t="str">
        <f t="shared" si="72"/>
        <v/>
      </c>
    </row>
    <row r="4672" spans="1:1" x14ac:dyDescent="0.2">
      <c r="A4672" s="12" t="str">
        <f t="shared" si="72"/>
        <v/>
      </c>
    </row>
    <row r="4673" spans="1:1" x14ac:dyDescent="0.2">
      <c r="A4673" s="12" t="str">
        <f t="shared" si="72"/>
        <v/>
      </c>
    </row>
    <row r="4674" spans="1:1" x14ac:dyDescent="0.2">
      <c r="A4674" s="12" t="str">
        <f t="shared" ref="A4674:A4737" si="73">IF(INDEX($AJ:$AJ,ROW())="","",HYPERLINK(INDEX($AJ:$AJ,ROW()),"Open"))</f>
        <v/>
      </c>
    </row>
    <row r="4675" spans="1:1" x14ac:dyDescent="0.2">
      <c r="A4675" s="12" t="str">
        <f t="shared" si="73"/>
        <v/>
      </c>
    </row>
    <row r="4676" spans="1:1" x14ac:dyDescent="0.2">
      <c r="A4676" s="12" t="str">
        <f t="shared" si="73"/>
        <v/>
      </c>
    </row>
    <row r="4677" spans="1:1" x14ac:dyDescent="0.2">
      <c r="A4677" s="12" t="str">
        <f t="shared" si="73"/>
        <v/>
      </c>
    </row>
    <row r="4678" spans="1:1" x14ac:dyDescent="0.2">
      <c r="A4678" s="12" t="str">
        <f t="shared" si="73"/>
        <v/>
      </c>
    </row>
    <row r="4679" spans="1:1" x14ac:dyDescent="0.2">
      <c r="A4679" s="12" t="str">
        <f t="shared" si="73"/>
        <v/>
      </c>
    </row>
    <row r="4680" spans="1:1" x14ac:dyDescent="0.2">
      <c r="A4680" s="12" t="str">
        <f t="shared" si="73"/>
        <v/>
      </c>
    </row>
    <row r="4681" spans="1:1" x14ac:dyDescent="0.2">
      <c r="A4681" s="12" t="str">
        <f t="shared" si="73"/>
        <v/>
      </c>
    </row>
    <row r="4682" spans="1:1" x14ac:dyDescent="0.2">
      <c r="A4682" s="12" t="str">
        <f t="shared" si="73"/>
        <v/>
      </c>
    </row>
    <row r="4683" spans="1:1" x14ac:dyDescent="0.2">
      <c r="A4683" s="12" t="str">
        <f t="shared" si="73"/>
        <v/>
      </c>
    </row>
    <row r="4684" spans="1:1" x14ac:dyDescent="0.2">
      <c r="A4684" s="12" t="str">
        <f t="shared" si="73"/>
        <v/>
      </c>
    </row>
    <row r="4685" spans="1:1" x14ac:dyDescent="0.2">
      <c r="A4685" s="12" t="str">
        <f t="shared" si="73"/>
        <v/>
      </c>
    </row>
    <row r="4686" spans="1:1" x14ac:dyDescent="0.2">
      <c r="A4686" s="12" t="str">
        <f t="shared" si="73"/>
        <v/>
      </c>
    </row>
    <row r="4687" spans="1:1" x14ac:dyDescent="0.2">
      <c r="A4687" s="12" t="str">
        <f t="shared" si="73"/>
        <v/>
      </c>
    </row>
    <row r="4688" spans="1:1" x14ac:dyDescent="0.2">
      <c r="A4688" s="12" t="str">
        <f t="shared" si="73"/>
        <v/>
      </c>
    </row>
    <row r="4689" spans="1:1" x14ac:dyDescent="0.2">
      <c r="A4689" s="12" t="str">
        <f t="shared" si="73"/>
        <v/>
      </c>
    </row>
    <row r="4690" spans="1:1" x14ac:dyDescent="0.2">
      <c r="A4690" s="12" t="str">
        <f t="shared" si="73"/>
        <v/>
      </c>
    </row>
    <row r="4691" spans="1:1" x14ac:dyDescent="0.2">
      <c r="A4691" s="12" t="str">
        <f t="shared" si="73"/>
        <v/>
      </c>
    </row>
    <row r="4692" spans="1:1" x14ac:dyDescent="0.2">
      <c r="A4692" s="12" t="str">
        <f t="shared" si="73"/>
        <v/>
      </c>
    </row>
    <row r="4693" spans="1:1" x14ac:dyDescent="0.2">
      <c r="A4693" s="12" t="str">
        <f t="shared" si="73"/>
        <v/>
      </c>
    </row>
    <row r="4694" spans="1:1" x14ac:dyDescent="0.2">
      <c r="A4694" s="12" t="str">
        <f t="shared" si="73"/>
        <v/>
      </c>
    </row>
    <row r="4695" spans="1:1" x14ac:dyDescent="0.2">
      <c r="A4695" s="12" t="str">
        <f t="shared" si="73"/>
        <v/>
      </c>
    </row>
    <row r="4696" spans="1:1" x14ac:dyDescent="0.2">
      <c r="A4696" s="12" t="str">
        <f t="shared" si="73"/>
        <v/>
      </c>
    </row>
    <row r="4697" spans="1:1" x14ac:dyDescent="0.2">
      <c r="A4697" s="12" t="str">
        <f t="shared" si="73"/>
        <v/>
      </c>
    </row>
    <row r="4698" spans="1:1" x14ac:dyDescent="0.2">
      <c r="A4698" s="12" t="str">
        <f t="shared" si="73"/>
        <v/>
      </c>
    </row>
    <row r="4699" spans="1:1" x14ac:dyDescent="0.2">
      <c r="A4699" s="12" t="str">
        <f t="shared" si="73"/>
        <v/>
      </c>
    </row>
    <row r="4700" spans="1:1" x14ac:dyDescent="0.2">
      <c r="A4700" s="12" t="str">
        <f t="shared" si="73"/>
        <v/>
      </c>
    </row>
    <row r="4701" spans="1:1" x14ac:dyDescent="0.2">
      <c r="A4701" s="12" t="str">
        <f t="shared" si="73"/>
        <v/>
      </c>
    </row>
    <row r="4702" spans="1:1" x14ac:dyDescent="0.2">
      <c r="A4702" s="12" t="str">
        <f t="shared" si="73"/>
        <v/>
      </c>
    </row>
    <row r="4703" spans="1:1" x14ac:dyDescent="0.2">
      <c r="A4703" s="12" t="str">
        <f t="shared" si="73"/>
        <v/>
      </c>
    </row>
    <row r="4704" spans="1:1" x14ac:dyDescent="0.2">
      <c r="A4704" s="12" t="str">
        <f t="shared" si="73"/>
        <v/>
      </c>
    </row>
    <row r="4705" spans="1:1" x14ac:dyDescent="0.2">
      <c r="A4705" s="12" t="str">
        <f t="shared" si="73"/>
        <v/>
      </c>
    </row>
    <row r="4706" spans="1:1" x14ac:dyDescent="0.2">
      <c r="A4706" s="12" t="str">
        <f t="shared" si="73"/>
        <v/>
      </c>
    </row>
    <row r="4707" spans="1:1" x14ac:dyDescent="0.2">
      <c r="A4707" s="12" t="str">
        <f t="shared" si="73"/>
        <v/>
      </c>
    </row>
    <row r="4708" spans="1:1" x14ac:dyDescent="0.2">
      <c r="A4708" s="12" t="str">
        <f t="shared" si="73"/>
        <v/>
      </c>
    </row>
    <row r="4709" spans="1:1" x14ac:dyDescent="0.2">
      <c r="A4709" s="12" t="str">
        <f t="shared" si="73"/>
        <v/>
      </c>
    </row>
    <row r="4710" spans="1:1" x14ac:dyDescent="0.2">
      <c r="A4710" s="12" t="str">
        <f t="shared" si="73"/>
        <v/>
      </c>
    </row>
    <row r="4711" spans="1:1" x14ac:dyDescent="0.2">
      <c r="A4711" s="12" t="str">
        <f t="shared" si="73"/>
        <v/>
      </c>
    </row>
    <row r="4712" spans="1:1" x14ac:dyDescent="0.2">
      <c r="A4712" s="12" t="str">
        <f t="shared" si="73"/>
        <v/>
      </c>
    </row>
    <row r="4713" spans="1:1" x14ac:dyDescent="0.2">
      <c r="A4713" s="12" t="str">
        <f t="shared" si="73"/>
        <v/>
      </c>
    </row>
    <row r="4714" spans="1:1" x14ac:dyDescent="0.2">
      <c r="A4714" s="12" t="str">
        <f t="shared" si="73"/>
        <v/>
      </c>
    </row>
    <row r="4715" spans="1:1" x14ac:dyDescent="0.2">
      <c r="A4715" s="12" t="str">
        <f t="shared" si="73"/>
        <v/>
      </c>
    </row>
    <row r="4716" spans="1:1" x14ac:dyDescent="0.2">
      <c r="A4716" s="12" t="str">
        <f t="shared" si="73"/>
        <v/>
      </c>
    </row>
    <row r="4717" spans="1:1" x14ac:dyDescent="0.2">
      <c r="A4717" s="12" t="str">
        <f t="shared" si="73"/>
        <v/>
      </c>
    </row>
    <row r="4718" spans="1:1" x14ac:dyDescent="0.2">
      <c r="A4718" s="12" t="str">
        <f t="shared" si="73"/>
        <v/>
      </c>
    </row>
    <row r="4719" spans="1:1" x14ac:dyDescent="0.2">
      <c r="A4719" s="12" t="str">
        <f t="shared" si="73"/>
        <v/>
      </c>
    </row>
    <row r="4720" spans="1:1" x14ac:dyDescent="0.2">
      <c r="A4720" s="12" t="str">
        <f t="shared" si="73"/>
        <v/>
      </c>
    </row>
    <row r="4721" spans="1:1" x14ac:dyDescent="0.2">
      <c r="A4721" s="12" t="str">
        <f t="shared" si="73"/>
        <v/>
      </c>
    </row>
    <row r="4722" spans="1:1" x14ac:dyDescent="0.2">
      <c r="A4722" s="12" t="str">
        <f t="shared" si="73"/>
        <v/>
      </c>
    </row>
    <row r="4723" spans="1:1" x14ac:dyDescent="0.2">
      <c r="A4723" s="12" t="str">
        <f t="shared" si="73"/>
        <v/>
      </c>
    </row>
    <row r="4724" spans="1:1" x14ac:dyDescent="0.2">
      <c r="A4724" s="12" t="str">
        <f t="shared" si="73"/>
        <v/>
      </c>
    </row>
    <row r="4725" spans="1:1" x14ac:dyDescent="0.2">
      <c r="A4725" s="12" t="str">
        <f t="shared" si="73"/>
        <v/>
      </c>
    </row>
    <row r="4726" spans="1:1" x14ac:dyDescent="0.2">
      <c r="A4726" s="12" t="str">
        <f t="shared" si="73"/>
        <v/>
      </c>
    </row>
    <row r="4727" spans="1:1" x14ac:dyDescent="0.2">
      <c r="A4727" s="12" t="str">
        <f t="shared" si="73"/>
        <v/>
      </c>
    </row>
    <row r="4728" spans="1:1" x14ac:dyDescent="0.2">
      <c r="A4728" s="12" t="str">
        <f t="shared" si="73"/>
        <v/>
      </c>
    </row>
    <row r="4729" spans="1:1" x14ac:dyDescent="0.2">
      <c r="A4729" s="12" t="str">
        <f t="shared" si="73"/>
        <v/>
      </c>
    </row>
    <row r="4730" spans="1:1" x14ac:dyDescent="0.2">
      <c r="A4730" s="12" t="str">
        <f t="shared" si="73"/>
        <v/>
      </c>
    </row>
    <row r="4731" spans="1:1" x14ac:dyDescent="0.2">
      <c r="A4731" s="12" t="str">
        <f t="shared" si="73"/>
        <v/>
      </c>
    </row>
    <row r="4732" spans="1:1" x14ac:dyDescent="0.2">
      <c r="A4732" s="12" t="str">
        <f t="shared" si="73"/>
        <v/>
      </c>
    </row>
    <row r="4733" spans="1:1" x14ac:dyDescent="0.2">
      <c r="A4733" s="12" t="str">
        <f t="shared" si="73"/>
        <v/>
      </c>
    </row>
    <row r="4734" spans="1:1" x14ac:dyDescent="0.2">
      <c r="A4734" s="12" t="str">
        <f t="shared" si="73"/>
        <v/>
      </c>
    </row>
    <row r="4735" spans="1:1" x14ac:dyDescent="0.2">
      <c r="A4735" s="12" t="str">
        <f t="shared" si="73"/>
        <v/>
      </c>
    </row>
    <row r="4736" spans="1:1" x14ac:dyDescent="0.2">
      <c r="A4736" s="12" t="str">
        <f t="shared" si="73"/>
        <v/>
      </c>
    </row>
    <row r="4737" spans="1:1" x14ac:dyDescent="0.2">
      <c r="A4737" s="12" t="str">
        <f t="shared" si="73"/>
        <v/>
      </c>
    </row>
    <row r="4738" spans="1:1" x14ac:dyDescent="0.2">
      <c r="A4738" s="12" t="str">
        <f t="shared" ref="A4738:A4801" si="74">IF(INDEX($AJ:$AJ,ROW())="","",HYPERLINK(INDEX($AJ:$AJ,ROW()),"Open"))</f>
        <v/>
      </c>
    </row>
    <row r="4739" spans="1:1" x14ac:dyDescent="0.2">
      <c r="A4739" s="12" t="str">
        <f t="shared" si="74"/>
        <v/>
      </c>
    </row>
    <row r="4740" spans="1:1" x14ac:dyDescent="0.2">
      <c r="A4740" s="12" t="str">
        <f t="shared" si="74"/>
        <v/>
      </c>
    </row>
    <row r="4741" spans="1:1" x14ac:dyDescent="0.2">
      <c r="A4741" s="12" t="str">
        <f t="shared" si="74"/>
        <v/>
      </c>
    </row>
    <row r="4742" spans="1:1" x14ac:dyDescent="0.2">
      <c r="A4742" s="12" t="str">
        <f t="shared" si="74"/>
        <v/>
      </c>
    </row>
    <row r="4743" spans="1:1" x14ac:dyDescent="0.2">
      <c r="A4743" s="12" t="str">
        <f t="shared" si="74"/>
        <v/>
      </c>
    </row>
    <row r="4744" spans="1:1" x14ac:dyDescent="0.2">
      <c r="A4744" s="12" t="str">
        <f t="shared" si="74"/>
        <v/>
      </c>
    </row>
    <row r="4745" spans="1:1" x14ac:dyDescent="0.2">
      <c r="A4745" s="12" t="str">
        <f t="shared" si="74"/>
        <v/>
      </c>
    </row>
    <row r="4746" spans="1:1" x14ac:dyDescent="0.2">
      <c r="A4746" s="12" t="str">
        <f t="shared" si="74"/>
        <v/>
      </c>
    </row>
    <row r="4747" spans="1:1" x14ac:dyDescent="0.2">
      <c r="A4747" s="12" t="str">
        <f t="shared" si="74"/>
        <v/>
      </c>
    </row>
    <row r="4748" spans="1:1" x14ac:dyDescent="0.2">
      <c r="A4748" s="12" t="str">
        <f t="shared" si="74"/>
        <v/>
      </c>
    </row>
    <row r="4749" spans="1:1" x14ac:dyDescent="0.2">
      <c r="A4749" s="12" t="str">
        <f t="shared" si="74"/>
        <v/>
      </c>
    </row>
    <row r="4750" spans="1:1" x14ac:dyDescent="0.2">
      <c r="A4750" s="12" t="str">
        <f t="shared" si="74"/>
        <v/>
      </c>
    </row>
    <row r="4751" spans="1:1" x14ac:dyDescent="0.2">
      <c r="A4751" s="12" t="str">
        <f t="shared" si="74"/>
        <v/>
      </c>
    </row>
    <row r="4752" spans="1:1" x14ac:dyDescent="0.2">
      <c r="A4752" s="12" t="str">
        <f t="shared" si="74"/>
        <v/>
      </c>
    </row>
    <row r="4753" spans="1:1" x14ac:dyDescent="0.2">
      <c r="A4753" s="12" t="str">
        <f t="shared" si="74"/>
        <v/>
      </c>
    </row>
    <row r="4754" spans="1:1" x14ac:dyDescent="0.2">
      <c r="A4754" s="12" t="str">
        <f t="shared" si="74"/>
        <v/>
      </c>
    </row>
    <row r="4755" spans="1:1" x14ac:dyDescent="0.2">
      <c r="A4755" s="12" t="str">
        <f t="shared" si="74"/>
        <v/>
      </c>
    </row>
    <row r="4756" spans="1:1" x14ac:dyDescent="0.2">
      <c r="A4756" s="12" t="str">
        <f t="shared" si="74"/>
        <v/>
      </c>
    </row>
    <row r="4757" spans="1:1" x14ac:dyDescent="0.2">
      <c r="A4757" s="12" t="str">
        <f t="shared" si="74"/>
        <v/>
      </c>
    </row>
    <row r="4758" spans="1:1" x14ac:dyDescent="0.2">
      <c r="A4758" s="12" t="str">
        <f t="shared" si="74"/>
        <v/>
      </c>
    </row>
    <row r="4759" spans="1:1" x14ac:dyDescent="0.2">
      <c r="A4759" s="12" t="str">
        <f t="shared" si="74"/>
        <v/>
      </c>
    </row>
    <row r="4760" spans="1:1" x14ac:dyDescent="0.2">
      <c r="A4760" s="12" t="str">
        <f t="shared" si="74"/>
        <v/>
      </c>
    </row>
    <row r="4761" spans="1:1" x14ac:dyDescent="0.2">
      <c r="A4761" s="12" t="str">
        <f t="shared" si="74"/>
        <v/>
      </c>
    </row>
    <row r="4762" spans="1:1" x14ac:dyDescent="0.2">
      <c r="A4762" s="12" t="str">
        <f t="shared" si="74"/>
        <v/>
      </c>
    </row>
    <row r="4763" spans="1:1" x14ac:dyDescent="0.2">
      <c r="A4763" s="12" t="str">
        <f t="shared" si="74"/>
        <v/>
      </c>
    </row>
    <row r="4764" spans="1:1" x14ac:dyDescent="0.2">
      <c r="A4764" s="12" t="str">
        <f t="shared" si="74"/>
        <v/>
      </c>
    </row>
    <row r="4765" spans="1:1" x14ac:dyDescent="0.2">
      <c r="A4765" s="12" t="str">
        <f t="shared" si="74"/>
        <v/>
      </c>
    </row>
    <row r="4766" spans="1:1" x14ac:dyDescent="0.2">
      <c r="A4766" s="12" t="str">
        <f t="shared" si="74"/>
        <v/>
      </c>
    </row>
    <row r="4767" spans="1:1" x14ac:dyDescent="0.2">
      <c r="A4767" s="12" t="str">
        <f t="shared" si="74"/>
        <v/>
      </c>
    </row>
    <row r="4768" spans="1:1" x14ac:dyDescent="0.2">
      <c r="A4768" s="12" t="str">
        <f t="shared" si="74"/>
        <v/>
      </c>
    </row>
    <row r="4769" spans="1:1" x14ac:dyDescent="0.2">
      <c r="A4769" s="12" t="str">
        <f t="shared" si="74"/>
        <v/>
      </c>
    </row>
    <row r="4770" spans="1:1" x14ac:dyDescent="0.2">
      <c r="A4770" s="12" t="str">
        <f t="shared" si="74"/>
        <v/>
      </c>
    </row>
    <row r="4771" spans="1:1" x14ac:dyDescent="0.2">
      <c r="A4771" s="12" t="str">
        <f t="shared" si="74"/>
        <v/>
      </c>
    </row>
    <row r="4772" spans="1:1" x14ac:dyDescent="0.2">
      <c r="A4772" s="12" t="str">
        <f t="shared" si="74"/>
        <v/>
      </c>
    </row>
    <row r="4773" spans="1:1" x14ac:dyDescent="0.2">
      <c r="A4773" s="12" t="str">
        <f t="shared" si="74"/>
        <v/>
      </c>
    </row>
    <row r="4774" spans="1:1" x14ac:dyDescent="0.2">
      <c r="A4774" s="12" t="str">
        <f t="shared" si="74"/>
        <v/>
      </c>
    </row>
    <row r="4775" spans="1:1" x14ac:dyDescent="0.2">
      <c r="A4775" s="12" t="str">
        <f t="shared" si="74"/>
        <v/>
      </c>
    </row>
    <row r="4776" spans="1:1" x14ac:dyDescent="0.2">
      <c r="A4776" s="12" t="str">
        <f t="shared" si="74"/>
        <v/>
      </c>
    </row>
    <row r="4777" spans="1:1" x14ac:dyDescent="0.2">
      <c r="A4777" s="12" t="str">
        <f t="shared" si="74"/>
        <v/>
      </c>
    </row>
    <row r="4778" spans="1:1" x14ac:dyDescent="0.2">
      <c r="A4778" s="12" t="str">
        <f t="shared" si="74"/>
        <v/>
      </c>
    </row>
    <row r="4779" spans="1:1" x14ac:dyDescent="0.2">
      <c r="A4779" s="12" t="str">
        <f t="shared" si="74"/>
        <v/>
      </c>
    </row>
    <row r="4780" spans="1:1" x14ac:dyDescent="0.2">
      <c r="A4780" s="12" t="str">
        <f t="shared" si="74"/>
        <v/>
      </c>
    </row>
    <row r="4781" spans="1:1" x14ac:dyDescent="0.2">
      <c r="A4781" s="12" t="str">
        <f t="shared" si="74"/>
        <v/>
      </c>
    </row>
    <row r="4782" spans="1:1" x14ac:dyDescent="0.2">
      <c r="A4782" s="12" t="str">
        <f t="shared" si="74"/>
        <v/>
      </c>
    </row>
    <row r="4783" spans="1:1" x14ac:dyDescent="0.2">
      <c r="A4783" s="12" t="str">
        <f t="shared" si="74"/>
        <v/>
      </c>
    </row>
    <row r="4784" spans="1:1" x14ac:dyDescent="0.2">
      <c r="A4784" s="12" t="str">
        <f t="shared" si="74"/>
        <v/>
      </c>
    </row>
    <row r="4785" spans="1:1" x14ac:dyDescent="0.2">
      <c r="A4785" s="12" t="str">
        <f t="shared" si="74"/>
        <v/>
      </c>
    </row>
    <row r="4786" spans="1:1" x14ac:dyDescent="0.2">
      <c r="A4786" s="12" t="str">
        <f t="shared" si="74"/>
        <v/>
      </c>
    </row>
    <row r="4787" spans="1:1" x14ac:dyDescent="0.2">
      <c r="A4787" s="12" t="str">
        <f t="shared" si="74"/>
        <v/>
      </c>
    </row>
    <row r="4788" spans="1:1" x14ac:dyDescent="0.2">
      <c r="A4788" s="12" t="str">
        <f t="shared" si="74"/>
        <v/>
      </c>
    </row>
    <row r="4789" spans="1:1" x14ac:dyDescent="0.2">
      <c r="A4789" s="12" t="str">
        <f t="shared" si="74"/>
        <v/>
      </c>
    </row>
    <row r="4790" spans="1:1" x14ac:dyDescent="0.2">
      <c r="A4790" s="12" t="str">
        <f t="shared" si="74"/>
        <v/>
      </c>
    </row>
    <row r="4791" spans="1:1" x14ac:dyDescent="0.2">
      <c r="A4791" s="12" t="str">
        <f t="shared" si="74"/>
        <v/>
      </c>
    </row>
    <row r="4792" spans="1:1" x14ac:dyDescent="0.2">
      <c r="A4792" s="12" t="str">
        <f t="shared" si="74"/>
        <v/>
      </c>
    </row>
    <row r="4793" spans="1:1" x14ac:dyDescent="0.2">
      <c r="A4793" s="12" t="str">
        <f t="shared" si="74"/>
        <v/>
      </c>
    </row>
    <row r="4794" spans="1:1" x14ac:dyDescent="0.2">
      <c r="A4794" s="12" t="str">
        <f t="shared" si="74"/>
        <v/>
      </c>
    </row>
    <row r="4795" spans="1:1" x14ac:dyDescent="0.2">
      <c r="A4795" s="12" t="str">
        <f t="shared" si="74"/>
        <v/>
      </c>
    </row>
    <row r="4796" spans="1:1" x14ac:dyDescent="0.2">
      <c r="A4796" s="12" t="str">
        <f t="shared" si="74"/>
        <v/>
      </c>
    </row>
    <row r="4797" spans="1:1" x14ac:dyDescent="0.2">
      <c r="A4797" s="12" t="str">
        <f t="shared" si="74"/>
        <v/>
      </c>
    </row>
    <row r="4798" spans="1:1" x14ac:dyDescent="0.2">
      <c r="A4798" s="12" t="str">
        <f t="shared" si="74"/>
        <v/>
      </c>
    </row>
    <row r="4799" spans="1:1" x14ac:dyDescent="0.2">
      <c r="A4799" s="12" t="str">
        <f t="shared" si="74"/>
        <v/>
      </c>
    </row>
    <row r="4800" spans="1:1" x14ac:dyDescent="0.2">
      <c r="A4800" s="12" t="str">
        <f t="shared" si="74"/>
        <v/>
      </c>
    </row>
    <row r="4801" spans="1:1" x14ac:dyDescent="0.2">
      <c r="A4801" s="12" t="str">
        <f t="shared" si="74"/>
        <v/>
      </c>
    </row>
    <row r="4802" spans="1:1" x14ac:dyDescent="0.2">
      <c r="A4802" s="12" t="str">
        <f t="shared" ref="A4802:A4865" si="75">IF(INDEX($AJ:$AJ,ROW())="","",HYPERLINK(INDEX($AJ:$AJ,ROW()),"Open"))</f>
        <v/>
      </c>
    </row>
    <row r="4803" spans="1:1" x14ac:dyDescent="0.2">
      <c r="A4803" s="12" t="str">
        <f t="shared" si="75"/>
        <v/>
      </c>
    </row>
    <row r="4804" spans="1:1" x14ac:dyDescent="0.2">
      <c r="A4804" s="12" t="str">
        <f t="shared" si="75"/>
        <v/>
      </c>
    </row>
    <row r="4805" spans="1:1" x14ac:dyDescent="0.2">
      <c r="A4805" s="12" t="str">
        <f t="shared" si="75"/>
        <v/>
      </c>
    </row>
    <row r="4806" spans="1:1" x14ac:dyDescent="0.2">
      <c r="A4806" s="12" t="str">
        <f t="shared" si="75"/>
        <v/>
      </c>
    </row>
    <row r="4807" spans="1:1" x14ac:dyDescent="0.2">
      <c r="A4807" s="12" t="str">
        <f t="shared" si="75"/>
        <v/>
      </c>
    </row>
    <row r="4808" spans="1:1" x14ac:dyDescent="0.2">
      <c r="A4808" s="12" t="str">
        <f t="shared" si="75"/>
        <v/>
      </c>
    </row>
    <row r="4809" spans="1:1" x14ac:dyDescent="0.2">
      <c r="A4809" s="12" t="str">
        <f t="shared" si="75"/>
        <v/>
      </c>
    </row>
    <row r="4810" spans="1:1" x14ac:dyDescent="0.2">
      <c r="A4810" s="12" t="str">
        <f t="shared" si="75"/>
        <v/>
      </c>
    </row>
    <row r="4811" spans="1:1" x14ac:dyDescent="0.2">
      <c r="A4811" s="12" t="str">
        <f t="shared" si="75"/>
        <v/>
      </c>
    </row>
    <row r="4812" spans="1:1" x14ac:dyDescent="0.2">
      <c r="A4812" s="12" t="str">
        <f t="shared" si="75"/>
        <v/>
      </c>
    </row>
    <row r="4813" spans="1:1" x14ac:dyDescent="0.2">
      <c r="A4813" s="12" t="str">
        <f t="shared" si="75"/>
        <v/>
      </c>
    </row>
    <row r="4814" spans="1:1" x14ac:dyDescent="0.2">
      <c r="A4814" s="12" t="str">
        <f t="shared" si="75"/>
        <v/>
      </c>
    </row>
    <row r="4815" spans="1:1" x14ac:dyDescent="0.2">
      <c r="A4815" s="12" t="str">
        <f t="shared" si="75"/>
        <v/>
      </c>
    </row>
    <row r="4816" spans="1:1" x14ac:dyDescent="0.2">
      <c r="A4816" s="12" t="str">
        <f t="shared" si="75"/>
        <v/>
      </c>
    </row>
    <row r="4817" spans="1:1" x14ac:dyDescent="0.2">
      <c r="A4817" s="12" t="str">
        <f t="shared" si="75"/>
        <v/>
      </c>
    </row>
    <row r="4818" spans="1:1" x14ac:dyDescent="0.2">
      <c r="A4818" s="12" t="str">
        <f t="shared" si="75"/>
        <v/>
      </c>
    </row>
    <row r="4819" spans="1:1" x14ac:dyDescent="0.2">
      <c r="A4819" s="12" t="str">
        <f t="shared" si="75"/>
        <v/>
      </c>
    </row>
    <row r="4820" spans="1:1" x14ac:dyDescent="0.2">
      <c r="A4820" s="12" t="str">
        <f t="shared" si="75"/>
        <v/>
      </c>
    </row>
    <row r="4821" spans="1:1" x14ac:dyDescent="0.2">
      <c r="A4821" s="12" t="str">
        <f t="shared" si="75"/>
        <v/>
      </c>
    </row>
    <row r="4822" spans="1:1" x14ac:dyDescent="0.2">
      <c r="A4822" s="12" t="str">
        <f t="shared" si="75"/>
        <v/>
      </c>
    </row>
    <row r="4823" spans="1:1" x14ac:dyDescent="0.2">
      <c r="A4823" s="12" t="str">
        <f t="shared" si="75"/>
        <v/>
      </c>
    </row>
    <row r="4824" spans="1:1" x14ac:dyDescent="0.2">
      <c r="A4824" s="12" t="str">
        <f t="shared" si="75"/>
        <v/>
      </c>
    </row>
    <row r="4825" spans="1:1" x14ac:dyDescent="0.2">
      <c r="A4825" s="12" t="str">
        <f t="shared" si="75"/>
        <v/>
      </c>
    </row>
    <row r="4826" spans="1:1" x14ac:dyDescent="0.2">
      <c r="A4826" s="12" t="str">
        <f t="shared" si="75"/>
        <v/>
      </c>
    </row>
    <row r="4827" spans="1:1" x14ac:dyDescent="0.2">
      <c r="A4827" s="12" t="str">
        <f t="shared" si="75"/>
        <v/>
      </c>
    </row>
    <row r="4828" spans="1:1" x14ac:dyDescent="0.2">
      <c r="A4828" s="12" t="str">
        <f t="shared" si="75"/>
        <v/>
      </c>
    </row>
    <row r="4829" spans="1:1" x14ac:dyDescent="0.2">
      <c r="A4829" s="12" t="str">
        <f t="shared" si="75"/>
        <v/>
      </c>
    </row>
    <row r="4830" spans="1:1" x14ac:dyDescent="0.2">
      <c r="A4830" s="12" t="str">
        <f t="shared" si="75"/>
        <v/>
      </c>
    </row>
    <row r="4831" spans="1:1" x14ac:dyDescent="0.2">
      <c r="A4831" s="12" t="str">
        <f t="shared" si="75"/>
        <v/>
      </c>
    </row>
    <row r="4832" spans="1:1" x14ac:dyDescent="0.2">
      <c r="A4832" s="12" t="str">
        <f t="shared" si="75"/>
        <v/>
      </c>
    </row>
    <row r="4833" spans="1:1" x14ac:dyDescent="0.2">
      <c r="A4833" s="12" t="str">
        <f t="shared" si="75"/>
        <v/>
      </c>
    </row>
    <row r="4834" spans="1:1" x14ac:dyDescent="0.2">
      <c r="A4834" s="12" t="str">
        <f t="shared" si="75"/>
        <v/>
      </c>
    </row>
    <row r="4835" spans="1:1" x14ac:dyDescent="0.2">
      <c r="A4835" s="12" t="str">
        <f t="shared" si="75"/>
        <v/>
      </c>
    </row>
    <row r="4836" spans="1:1" x14ac:dyDescent="0.2">
      <c r="A4836" s="12" t="str">
        <f t="shared" si="75"/>
        <v/>
      </c>
    </row>
    <row r="4837" spans="1:1" x14ac:dyDescent="0.2">
      <c r="A4837" s="12" t="str">
        <f t="shared" si="75"/>
        <v/>
      </c>
    </row>
    <row r="4838" spans="1:1" x14ac:dyDescent="0.2">
      <c r="A4838" s="12" t="str">
        <f t="shared" si="75"/>
        <v/>
      </c>
    </row>
    <row r="4839" spans="1:1" x14ac:dyDescent="0.2">
      <c r="A4839" s="12" t="str">
        <f t="shared" si="75"/>
        <v/>
      </c>
    </row>
    <row r="4840" spans="1:1" x14ac:dyDescent="0.2">
      <c r="A4840" s="12" t="str">
        <f t="shared" si="75"/>
        <v/>
      </c>
    </row>
    <row r="4841" spans="1:1" x14ac:dyDescent="0.2">
      <c r="A4841" s="12" t="str">
        <f t="shared" si="75"/>
        <v/>
      </c>
    </row>
    <row r="4842" spans="1:1" x14ac:dyDescent="0.2">
      <c r="A4842" s="12" t="str">
        <f t="shared" si="75"/>
        <v/>
      </c>
    </row>
    <row r="4843" spans="1:1" x14ac:dyDescent="0.2">
      <c r="A4843" s="12" t="str">
        <f t="shared" si="75"/>
        <v/>
      </c>
    </row>
    <row r="4844" spans="1:1" x14ac:dyDescent="0.2">
      <c r="A4844" s="12" t="str">
        <f t="shared" si="75"/>
        <v/>
      </c>
    </row>
    <row r="4845" spans="1:1" x14ac:dyDescent="0.2">
      <c r="A4845" s="12" t="str">
        <f t="shared" si="75"/>
        <v/>
      </c>
    </row>
    <row r="4846" spans="1:1" x14ac:dyDescent="0.2">
      <c r="A4846" s="12" t="str">
        <f t="shared" si="75"/>
        <v/>
      </c>
    </row>
    <row r="4847" spans="1:1" x14ac:dyDescent="0.2">
      <c r="A4847" s="12" t="str">
        <f t="shared" si="75"/>
        <v/>
      </c>
    </row>
    <row r="4848" spans="1:1" x14ac:dyDescent="0.2">
      <c r="A4848" s="12" t="str">
        <f t="shared" si="75"/>
        <v/>
      </c>
    </row>
    <row r="4849" spans="1:1" x14ac:dyDescent="0.2">
      <c r="A4849" s="12" t="str">
        <f t="shared" si="75"/>
        <v/>
      </c>
    </row>
    <row r="4850" spans="1:1" x14ac:dyDescent="0.2">
      <c r="A4850" s="12" t="str">
        <f t="shared" si="75"/>
        <v/>
      </c>
    </row>
    <row r="4851" spans="1:1" x14ac:dyDescent="0.2">
      <c r="A4851" s="12" t="str">
        <f t="shared" si="75"/>
        <v/>
      </c>
    </row>
    <row r="4852" spans="1:1" x14ac:dyDescent="0.2">
      <c r="A4852" s="12" t="str">
        <f t="shared" si="75"/>
        <v/>
      </c>
    </row>
    <row r="4853" spans="1:1" x14ac:dyDescent="0.2">
      <c r="A4853" s="12" t="str">
        <f t="shared" si="75"/>
        <v/>
      </c>
    </row>
    <row r="4854" spans="1:1" x14ac:dyDescent="0.2">
      <c r="A4854" s="12" t="str">
        <f t="shared" si="75"/>
        <v/>
      </c>
    </row>
    <row r="4855" spans="1:1" x14ac:dyDescent="0.2">
      <c r="A4855" s="12" t="str">
        <f t="shared" si="75"/>
        <v/>
      </c>
    </row>
    <row r="4856" spans="1:1" x14ac:dyDescent="0.2">
      <c r="A4856" s="12" t="str">
        <f t="shared" si="75"/>
        <v/>
      </c>
    </row>
    <row r="4857" spans="1:1" x14ac:dyDescent="0.2">
      <c r="A4857" s="12" t="str">
        <f t="shared" si="75"/>
        <v/>
      </c>
    </row>
    <row r="4858" spans="1:1" x14ac:dyDescent="0.2">
      <c r="A4858" s="12" t="str">
        <f t="shared" si="75"/>
        <v/>
      </c>
    </row>
    <row r="4859" spans="1:1" x14ac:dyDescent="0.2">
      <c r="A4859" s="12" t="str">
        <f t="shared" si="75"/>
        <v/>
      </c>
    </row>
    <row r="4860" spans="1:1" x14ac:dyDescent="0.2">
      <c r="A4860" s="12" t="str">
        <f t="shared" si="75"/>
        <v/>
      </c>
    </row>
    <row r="4861" spans="1:1" x14ac:dyDescent="0.2">
      <c r="A4861" s="12" t="str">
        <f t="shared" si="75"/>
        <v/>
      </c>
    </row>
    <row r="4862" spans="1:1" x14ac:dyDescent="0.2">
      <c r="A4862" s="12" t="str">
        <f t="shared" si="75"/>
        <v/>
      </c>
    </row>
    <row r="4863" spans="1:1" x14ac:dyDescent="0.2">
      <c r="A4863" s="12" t="str">
        <f t="shared" si="75"/>
        <v/>
      </c>
    </row>
    <row r="4864" spans="1:1" x14ac:dyDescent="0.2">
      <c r="A4864" s="12" t="str">
        <f t="shared" si="75"/>
        <v/>
      </c>
    </row>
    <row r="4865" spans="1:1" x14ac:dyDescent="0.2">
      <c r="A4865" s="12" t="str">
        <f t="shared" si="75"/>
        <v/>
      </c>
    </row>
    <row r="4866" spans="1:1" x14ac:dyDescent="0.2">
      <c r="A4866" s="12" t="str">
        <f t="shared" ref="A4866:A4929" si="76">IF(INDEX($AJ:$AJ,ROW())="","",HYPERLINK(INDEX($AJ:$AJ,ROW()),"Open"))</f>
        <v/>
      </c>
    </row>
    <row r="4867" spans="1:1" x14ac:dyDescent="0.2">
      <c r="A4867" s="12" t="str">
        <f t="shared" si="76"/>
        <v/>
      </c>
    </row>
    <row r="4868" spans="1:1" x14ac:dyDescent="0.2">
      <c r="A4868" s="12" t="str">
        <f t="shared" si="76"/>
        <v/>
      </c>
    </row>
    <row r="4869" spans="1:1" x14ac:dyDescent="0.2">
      <c r="A4869" s="12" t="str">
        <f t="shared" si="76"/>
        <v/>
      </c>
    </row>
    <row r="4870" spans="1:1" x14ac:dyDescent="0.2">
      <c r="A4870" s="12" t="str">
        <f t="shared" si="76"/>
        <v/>
      </c>
    </row>
    <row r="4871" spans="1:1" x14ac:dyDescent="0.2">
      <c r="A4871" s="12" t="str">
        <f t="shared" si="76"/>
        <v/>
      </c>
    </row>
    <row r="4872" spans="1:1" x14ac:dyDescent="0.2">
      <c r="A4872" s="12" t="str">
        <f t="shared" si="76"/>
        <v/>
      </c>
    </row>
    <row r="4873" spans="1:1" x14ac:dyDescent="0.2">
      <c r="A4873" s="12" t="str">
        <f t="shared" si="76"/>
        <v/>
      </c>
    </row>
    <row r="4874" spans="1:1" x14ac:dyDescent="0.2">
      <c r="A4874" s="12" t="str">
        <f t="shared" si="76"/>
        <v/>
      </c>
    </row>
    <row r="4875" spans="1:1" x14ac:dyDescent="0.2">
      <c r="A4875" s="12" t="str">
        <f t="shared" si="76"/>
        <v/>
      </c>
    </row>
    <row r="4876" spans="1:1" x14ac:dyDescent="0.2">
      <c r="A4876" s="12" t="str">
        <f t="shared" si="76"/>
        <v/>
      </c>
    </row>
    <row r="4877" spans="1:1" x14ac:dyDescent="0.2">
      <c r="A4877" s="12" t="str">
        <f t="shared" si="76"/>
        <v/>
      </c>
    </row>
    <row r="4878" spans="1:1" x14ac:dyDescent="0.2">
      <c r="A4878" s="12" t="str">
        <f t="shared" si="76"/>
        <v/>
      </c>
    </row>
    <row r="4879" spans="1:1" x14ac:dyDescent="0.2">
      <c r="A4879" s="12" t="str">
        <f t="shared" si="76"/>
        <v/>
      </c>
    </row>
    <row r="4880" spans="1:1" x14ac:dyDescent="0.2">
      <c r="A4880" s="12" t="str">
        <f t="shared" si="76"/>
        <v/>
      </c>
    </row>
    <row r="4881" spans="1:1" x14ac:dyDescent="0.2">
      <c r="A4881" s="12" t="str">
        <f t="shared" si="76"/>
        <v/>
      </c>
    </row>
    <row r="4882" spans="1:1" x14ac:dyDescent="0.2">
      <c r="A4882" s="12" t="str">
        <f t="shared" si="76"/>
        <v/>
      </c>
    </row>
    <row r="4883" spans="1:1" x14ac:dyDescent="0.2">
      <c r="A4883" s="12" t="str">
        <f t="shared" si="76"/>
        <v/>
      </c>
    </row>
    <row r="4884" spans="1:1" x14ac:dyDescent="0.2">
      <c r="A4884" s="12" t="str">
        <f t="shared" si="76"/>
        <v/>
      </c>
    </row>
    <row r="4885" spans="1:1" x14ac:dyDescent="0.2">
      <c r="A4885" s="12" t="str">
        <f t="shared" si="76"/>
        <v/>
      </c>
    </row>
    <row r="4886" spans="1:1" x14ac:dyDescent="0.2">
      <c r="A4886" s="12" t="str">
        <f t="shared" si="76"/>
        <v/>
      </c>
    </row>
    <row r="4887" spans="1:1" x14ac:dyDescent="0.2">
      <c r="A4887" s="12" t="str">
        <f t="shared" si="76"/>
        <v/>
      </c>
    </row>
    <row r="4888" spans="1:1" x14ac:dyDescent="0.2">
      <c r="A4888" s="12" t="str">
        <f t="shared" si="76"/>
        <v/>
      </c>
    </row>
    <row r="4889" spans="1:1" x14ac:dyDescent="0.2">
      <c r="A4889" s="12" t="str">
        <f t="shared" si="76"/>
        <v/>
      </c>
    </row>
    <row r="4890" spans="1:1" x14ac:dyDescent="0.2">
      <c r="A4890" s="12" t="str">
        <f t="shared" si="76"/>
        <v/>
      </c>
    </row>
    <row r="4891" spans="1:1" x14ac:dyDescent="0.2">
      <c r="A4891" s="12" t="str">
        <f t="shared" si="76"/>
        <v/>
      </c>
    </row>
    <row r="4892" spans="1:1" x14ac:dyDescent="0.2">
      <c r="A4892" s="12" t="str">
        <f t="shared" si="76"/>
        <v/>
      </c>
    </row>
    <row r="4893" spans="1:1" x14ac:dyDescent="0.2">
      <c r="A4893" s="12" t="str">
        <f t="shared" si="76"/>
        <v/>
      </c>
    </row>
    <row r="4894" spans="1:1" x14ac:dyDescent="0.2">
      <c r="A4894" s="12" t="str">
        <f t="shared" si="76"/>
        <v/>
      </c>
    </row>
    <row r="4895" spans="1:1" x14ac:dyDescent="0.2">
      <c r="A4895" s="12" t="str">
        <f t="shared" si="76"/>
        <v/>
      </c>
    </row>
    <row r="4896" spans="1:1" x14ac:dyDescent="0.2">
      <c r="A4896" s="12" t="str">
        <f t="shared" si="76"/>
        <v/>
      </c>
    </row>
    <row r="4897" spans="1:1" x14ac:dyDescent="0.2">
      <c r="A4897" s="12" t="str">
        <f t="shared" si="76"/>
        <v/>
      </c>
    </row>
    <row r="4898" spans="1:1" x14ac:dyDescent="0.2">
      <c r="A4898" s="12" t="str">
        <f t="shared" si="76"/>
        <v/>
      </c>
    </row>
    <row r="4899" spans="1:1" x14ac:dyDescent="0.2">
      <c r="A4899" s="12" t="str">
        <f t="shared" si="76"/>
        <v/>
      </c>
    </row>
    <row r="4900" spans="1:1" x14ac:dyDescent="0.2">
      <c r="A4900" s="12" t="str">
        <f t="shared" si="76"/>
        <v/>
      </c>
    </row>
    <row r="4901" spans="1:1" x14ac:dyDescent="0.2">
      <c r="A4901" s="12" t="str">
        <f t="shared" si="76"/>
        <v/>
      </c>
    </row>
    <row r="4902" spans="1:1" x14ac:dyDescent="0.2">
      <c r="A4902" s="12" t="str">
        <f t="shared" si="76"/>
        <v/>
      </c>
    </row>
    <row r="4903" spans="1:1" x14ac:dyDescent="0.2">
      <c r="A4903" s="12" t="str">
        <f t="shared" si="76"/>
        <v/>
      </c>
    </row>
    <row r="4904" spans="1:1" x14ac:dyDescent="0.2">
      <c r="A4904" s="12" t="str">
        <f t="shared" si="76"/>
        <v/>
      </c>
    </row>
    <row r="4905" spans="1:1" x14ac:dyDescent="0.2">
      <c r="A4905" s="12" t="str">
        <f t="shared" si="76"/>
        <v/>
      </c>
    </row>
    <row r="4906" spans="1:1" x14ac:dyDescent="0.2">
      <c r="A4906" s="12" t="str">
        <f t="shared" si="76"/>
        <v/>
      </c>
    </row>
    <row r="4907" spans="1:1" x14ac:dyDescent="0.2">
      <c r="A4907" s="12" t="str">
        <f t="shared" si="76"/>
        <v/>
      </c>
    </row>
    <row r="4908" spans="1:1" x14ac:dyDescent="0.2">
      <c r="A4908" s="12" t="str">
        <f t="shared" si="76"/>
        <v/>
      </c>
    </row>
    <row r="4909" spans="1:1" x14ac:dyDescent="0.2">
      <c r="A4909" s="12" t="str">
        <f t="shared" si="76"/>
        <v/>
      </c>
    </row>
    <row r="4910" spans="1:1" x14ac:dyDescent="0.2">
      <c r="A4910" s="12" t="str">
        <f t="shared" si="76"/>
        <v/>
      </c>
    </row>
    <row r="4911" spans="1:1" x14ac:dyDescent="0.2">
      <c r="A4911" s="12" t="str">
        <f t="shared" si="76"/>
        <v/>
      </c>
    </row>
    <row r="4912" spans="1:1" x14ac:dyDescent="0.2">
      <c r="A4912" s="12" t="str">
        <f t="shared" si="76"/>
        <v/>
      </c>
    </row>
    <row r="4913" spans="1:1" x14ac:dyDescent="0.2">
      <c r="A4913" s="12" t="str">
        <f t="shared" si="76"/>
        <v/>
      </c>
    </row>
    <row r="4914" spans="1:1" x14ac:dyDescent="0.2">
      <c r="A4914" s="12" t="str">
        <f t="shared" si="76"/>
        <v/>
      </c>
    </row>
    <row r="4915" spans="1:1" x14ac:dyDescent="0.2">
      <c r="A4915" s="12" t="str">
        <f t="shared" si="76"/>
        <v/>
      </c>
    </row>
    <row r="4916" spans="1:1" x14ac:dyDescent="0.2">
      <c r="A4916" s="12" t="str">
        <f t="shared" si="76"/>
        <v/>
      </c>
    </row>
    <row r="4917" spans="1:1" x14ac:dyDescent="0.2">
      <c r="A4917" s="12" t="str">
        <f t="shared" si="76"/>
        <v/>
      </c>
    </row>
    <row r="4918" spans="1:1" x14ac:dyDescent="0.2">
      <c r="A4918" s="12" t="str">
        <f t="shared" si="76"/>
        <v/>
      </c>
    </row>
    <row r="4919" spans="1:1" x14ac:dyDescent="0.2">
      <c r="A4919" s="12" t="str">
        <f t="shared" si="76"/>
        <v/>
      </c>
    </row>
    <row r="4920" spans="1:1" x14ac:dyDescent="0.2">
      <c r="A4920" s="12" t="str">
        <f t="shared" si="76"/>
        <v/>
      </c>
    </row>
    <row r="4921" spans="1:1" x14ac:dyDescent="0.2">
      <c r="A4921" s="12" t="str">
        <f t="shared" si="76"/>
        <v/>
      </c>
    </row>
    <row r="4922" spans="1:1" x14ac:dyDescent="0.2">
      <c r="A4922" s="12" t="str">
        <f t="shared" si="76"/>
        <v/>
      </c>
    </row>
    <row r="4923" spans="1:1" x14ac:dyDescent="0.2">
      <c r="A4923" s="12" t="str">
        <f t="shared" si="76"/>
        <v/>
      </c>
    </row>
    <row r="4924" spans="1:1" x14ac:dyDescent="0.2">
      <c r="A4924" s="12" t="str">
        <f t="shared" si="76"/>
        <v/>
      </c>
    </row>
    <row r="4925" spans="1:1" x14ac:dyDescent="0.2">
      <c r="A4925" s="12" t="str">
        <f t="shared" si="76"/>
        <v/>
      </c>
    </row>
    <row r="4926" spans="1:1" x14ac:dyDescent="0.2">
      <c r="A4926" s="12" t="str">
        <f t="shared" si="76"/>
        <v/>
      </c>
    </row>
    <row r="4927" spans="1:1" x14ac:dyDescent="0.2">
      <c r="A4927" s="12" t="str">
        <f t="shared" si="76"/>
        <v/>
      </c>
    </row>
    <row r="4928" spans="1:1" x14ac:dyDescent="0.2">
      <c r="A4928" s="12" t="str">
        <f t="shared" si="76"/>
        <v/>
      </c>
    </row>
    <row r="4929" spans="1:1" x14ac:dyDescent="0.2">
      <c r="A4929" s="12" t="str">
        <f t="shared" si="76"/>
        <v/>
      </c>
    </row>
    <row r="4930" spans="1:1" x14ac:dyDescent="0.2">
      <c r="A4930" s="12" t="str">
        <f t="shared" ref="A4930:A4993" si="77">IF(INDEX($AJ:$AJ,ROW())="","",HYPERLINK(INDEX($AJ:$AJ,ROW()),"Open"))</f>
        <v/>
      </c>
    </row>
    <row r="4931" spans="1:1" x14ac:dyDescent="0.2">
      <c r="A4931" s="12" t="str">
        <f t="shared" si="77"/>
        <v/>
      </c>
    </row>
    <row r="4932" spans="1:1" x14ac:dyDescent="0.2">
      <c r="A4932" s="12" t="str">
        <f t="shared" si="77"/>
        <v/>
      </c>
    </row>
    <row r="4933" spans="1:1" x14ac:dyDescent="0.2">
      <c r="A4933" s="12" t="str">
        <f t="shared" si="77"/>
        <v/>
      </c>
    </row>
    <row r="4934" spans="1:1" x14ac:dyDescent="0.2">
      <c r="A4934" s="12" t="str">
        <f t="shared" si="77"/>
        <v/>
      </c>
    </row>
    <row r="4935" spans="1:1" x14ac:dyDescent="0.2">
      <c r="A4935" s="12" t="str">
        <f t="shared" si="77"/>
        <v/>
      </c>
    </row>
    <row r="4936" spans="1:1" x14ac:dyDescent="0.2">
      <c r="A4936" s="12" t="str">
        <f t="shared" si="77"/>
        <v/>
      </c>
    </row>
    <row r="4937" spans="1:1" x14ac:dyDescent="0.2">
      <c r="A4937" s="12" t="str">
        <f t="shared" si="77"/>
        <v/>
      </c>
    </row>
    <row r="4938" spans="1:1" x14ac:dyDescent="0.2">
      <c r="A4938" s="12" t="str">
        <f t="shared" si="77"/>
        <v/>
      </c>
    </row>
    <row r="4939" spans="1:1" x14ac:dyDescent="0.2">
      <c r="A4939" s="12" t="str">
        <f t="shared" si="77"/>
        <v/>
      </c>
    </row>
    <row r="4940" spans="1:1" x14ac:dyDescent="0.2">
      <c r="A4940" s="12" t="str">
        <f t="shared" si="77"/>
        <v/>
      </c>
    </row>
    <row r="4941" spans="1:1" x14ac:dyDescent="0.2">
      <c r="A4941" s="12" t="str">
        <f t="shared" si="77"/>
        <v/>
      </c>
    </row>
    <row r="4942" spans="1:1" x14ac:dyDescent="0.2">
      <c r="A4942" s="12" t="str">
        <f t="shared" si="77"/>
        <v/>
      </c>
    </row>
    <row r="4943" spans="1:1" x14ac:dyDescent="0.2">
      <c r="A4943" s="12" t="str">
        <f t="shared" si="77"/>
        <v/>
      </c>
    </row>
    <row r="4944" spans="1:1" x14ac:dyDescent="0.2">
      <c r="A4944" s="12" t="str">
        <f t="shared" si="77"/>
        <v/>
      </c>
    </row>
    <row r="4945" spans="1:1" x14ac:dyDescent="0.2">
      <c r="A4945" s="12" t="str">
        <f t="shared" si="77"/>
        <v/>
      </c>
    </row>
    <row r="4946" spans="1:1" x14ac:dyDescent="0.2">
      <c r="A4946" s="12" t="str">
        <f t="shared" si="77"/>
        <v/>
      </c>
    </row>
    <row r="4947" spans="1:1" x14ac:dyDescent="0.2">
      <c r="A4947" s="12" t="str">
        <f t="shared" si="77"/>
        <v/>
      </c>
    </row>
    <row r="4948" spans="1:1" x14ac:dyDescent="0.2">
      <c r="A4948" s="12" t="str">
        <f t="shared" si="77"/>
        <v/>
      </c>
    </row>
    <row r="4949" spans="1:1" x14ac:dyDescent="0.2">
      <c r="A4949" s="12" t="str">
        <f t="shared" si="77"/>
        <v/>
      </c>
    </row>
    <row r="4950" spans="1:1" x14ac:dyDescent="0.2">
      <c r="A4950" s="12" t="str">
        <f t="shared" si="77"/>
        <v/>
      </c>
    </row>
    <row r="4951" spans="1:1" x14ac:dyDescent="0.2">
      <c r="A4951" s="12" t="str">
        <f t="shared" si="77"/>
        <v/>
      </c>
    </row>
    <row r="4952" spans="1:1" x14ac:dyDescent="0.2">
      <c r="A4952" s="12" t="str">
        <f t="shared" si="77"/>
        <v/>
      </c>
    </row>
    <row r="4953" spans="1:1" x14ac:dyDescent="0.2">
      <c r="A4953" s="12" t="str">
        <f t="shared" si="77"/>
        <v/>
      </c>
    </row>
    <row r="4954" spans="1:1" x14ac:dyDescent="0.2">
      <c r="A4954" s="12" t="str">
        <f t="shared" si="77"/>
        <v/>
      </c>
    </row>
    <row r="4955" spans="1:1" x14ac:dyDescent="0.2">
      <c r="A4955" s="12" t="str">
        <f t="shared" si="77"/>
        <v/>
      </c>
    </row>
    <row r="4956" spans="1:1" x14ac:dyDescent="0.2">
      <c r="A4956" s="12" t="str">
        <f t="shared" si="77"/>
        <v/>
      </c>
    </row>
    <row r="4957" spans="1:1" x14ac:dyDescent="0.2">
      <c r="A4957" s="12" t="str">
        <f t="shared" si="77"/>
        <v/>
      </c>
    </row>
    <row r="4958" spans="1:1" x14ac:dyDescent="0.2">
      <c r="A4958" s="12" t="str">
        <f t="shared" si="77"/>
        <v/>
      </c>
    </row>
    <row r="4959" spans="1:1" x14ac:dyDescent="0.2">
      <c r="A4959" s="12" t="str">
        <f t="shared" si="77"/>
        <v/>
      </c>
    </row>
    <row r="4960" spans="1:1" x14ac:dyDescent="0.2">
      <c r="A4960" s="12" t="str">
        <f t="shared" si="77"/>
        <v/>
      </c>
    </row>
    <row r="4961" spans="1:1" x14ac:dyDescent="0.2">
      <c r="A4961" s="12" t="str">
        <f t="shared" si="77"/>
        <v/>
      </c>
    </row>
    <row r="4962" spans="1:1" x14ac:dyDescent="0.2">
      <c r="A4962" s="12" t="str">
        <f t="shared" si="77"/>
        <v/>
      </c>
    </row>
    <row r="4963" spans="1:1" x14ac:dyDescent="0.2">
      <c r="A4963" s="12" t="str">
        <f t="shared" si="77"/>
        <v/>
      </c>
    </row>
    <row r="4964" spans="1:1" x14ac:dyDescent="0.2">
      <c r="A4964" s="12" t="str">
        <f t="shared" si="77"/>
        <v/>
      </c>
    </row>
    <row r="4965" spans="1:1" x14ac:dyDescent="0.2">
      <c r="A4965" s="12" t="str">
        <f t="shared" si="77"/>
        <v/>
      </c>
    </row>
    <row r="4966" spans="1:1" x14ac:dyDescent="0.2">
      <c r="A4966" s="12" t="str">
        <f t="shared" si="77"/>
        <v/>
      </c>
    </row>
    <row r="4967" spans="1:1" x14ac:dyDescent="0.2">
      <c r="A4967" s="12" t="str">
        <f t="shared" si="77"/>
        <v/>
      </c>
    </row>
    <row r="4968" spans="1:1" x14ac:dyDescent="0.2">
      <c r="A4968" s="12" t="str">
        <f t="shared" si="77"/>
        <v/>
      </c>
    </row>
    <row r="4969" spans="1:1" x14ac:dyDescent="0.2">
      <c r="A4969" s="12" t="str">
        <f t="shared" si="77"/>
        <v/>
      </c>
    </row>
    <row r="4970" spans="1:1" x14ac:dyDescent="0.2">
      <c r="A4970" s="12" t="str">
        <f t="shared" si="77"/>
        <v/>
      </c>
    </row>
    <row r="4971" spans="1:1" x14ac:dyDescent="0.2">
      <c r="A4971" s="12" t="str">
        <f t="shared" si="77"/>
        <v/>
      </c>
    </row>
    <row r="4972" spans="1:1" x14ac:dyDescent="0.2">
      <c r="A4972" s="12" t="str">
        <f t="shared" si="77"/>
        <v/>
      </c>
    </row>
    <row r="4973" spans="1:1" x14ac:dyDescent="0.2">
      <c r="A4973" s="12" t="str">
        <f t="shared" si="77"/>
        <v/>
      </c>
    </row>
    <row r="4974" spans="1:1" x14ac:dyDescent="0.2">
      <c r="A4974" s="12" t="str">
        <f t="shared" si="77"/>
        <v/>
      </c>
    </row>
    <row r="4975" spans="1:1" x14ac:dyDescent="0.2">
      <c r="A4975" s="12" t="str">
        <f t="shared" si="77"/>
        <v/>
      </c>
    </row>
    <row r="4976" spans="1:1" x14ac:dyDescent="0.2">
      <c r="A4976" s="12" t="str">
        <f t="shared" si="77"/>
        <v/>
      </c>
    </row>
    <row r="4977" spans="1:1" x14ac:dyDescent="0.2">
      <c r="A4977" s="12" t="str">
        <f t="shared" si="77"/>
        <v/>
      </c>
    </row>
    <row r="4978" spans="1:1" x14ac:dyDescent="0.2">
      <c r="A4978" s="12" t="str">
        <f t="shared" si="77"/>
        <v/>
      </c>
    </row>
    <row r="4979" spans="1:1" x14ac:dyDescent="0.2">
      <c r="A4979" s="12" t="str">
        <f t="shared" si="77"/>
        <v/>
      </c>
    </row>
    <row r="4980" spans="1:1" x14ac:dyDescent="0.2">
      <c r="A4980" s="12" t="str">
        <f t="shared" si="77"/>
        <v/>
      </c>
    </row>
    <row r="4981" spans="1:1" x14ac:dyDescent="0.2">
      <c r="A4981" s="12" t="str">
        <f t="shared" si="77"/>
        <v/>
      </c>
    </row>
    <row r="4982" spans="1:1" x14ac:dyDescent="0.2">
      <c r="A4982" s="12" t="str">
        <f t="shared" si="77"/>
        <v/>
      </c>
    </row>
    <row r="4983" spans="1:1" x14ac:dyDescent="0.2">
      <c r="A4983" s="12" t="str">
        <f t="shared" si="77"/>
        <v/>
      </c>
    </row>
    <row r="4984" spans="1:1" x14ac:dyDescent="0.2">
      <c r="A4984" s="12" t="str">
        <f t="shared" si="77"/>
        <v/>
      </c>
    </row>
    <row r="4985" spans="1:1" x14ac:dyDescent="0.2">
      <c r="A4985" s="12" t="str">
        <f t="shared" si="77"/>
        <v/>
      </c>
    </row>
    <row r="4986" spans="1:1" x14ac:dyDescent="0.2">
      <c r="A4986" s="12" t="str">
        <f t="shared" si="77"/>
        <v/>
      </c>
    </row>
    <row r="4987" spans="1:1" x14ac:dyDescent="0.2">
      <c r="A4987" s="12" t="str">
        <f t="shared" si="77"/>
        <v/>
      </c>
    </row>
    <row r="4988" spans="1:1" x14ac:dyDescent="0.2">
      <c r="A4988" s="12" t="str">
        <f t="shared" si="77"/>
        <v/>
      </c>
    </row>
    <row r="4989" spans="1:1" x14ac:dyDescent="0.2">
      <c r="A4989" s="12" t="str">
        <f t="shared" si="77"/>
        <v/>
      </c>
    </row>
    <row r="4990" spans="1:1" x14ac:dyDescent="0.2">
      <c r="A4990" s="12" t="str">
        <f t="shared" si="77"/>
        <v/>
      </c>
    </row>
    <row r="4991" spans="1:1" x14ac:dyDescent="0.2">
      <c r="A4991" s="12" t="str">
        <f t="shared" si="77"/>
        <v/>
      </c>
    </row>
    <row r="4992" spans="1:1" x14ac:dyDescent="0.2">
      <c r="A4992" s="12" t="str">
        <f t="shared" si="77"/>
        <v/>
      </c>
    </row>
    <row r="4993" spans="1:1" x14ac:dyDescent="0.2">
      <c r="A4993" s="12" t="str">
        <f t="shared" si="77"/>
        <v/>
      </c>
    </row>
    <row r="4994" spans="1:1" x14ac:dyDescent="0.2">
      <c r="A4994" s="12" t="str">
        <f t="shared" ref="A4994:A5001" si="78">IF(INDEX($AJ:$AJ,ROW())="","",HYPERLINK(INDEX($AJ:$AJ,ROW()),"Open"))</f>
        <v/>
      </c>
    </row>
    <row r="4995" spans="1:1" x14ac:dyDescent="0.2">
      <c r="A4995" s="12" t="str">
        <f t="shared" si="78"/>
        <v/>
      </c>
    </row>
    <row r="4996" spans="1:1" x14ac:dyDescent="0.2">
      <c r="A4996" s="12" t="str">
        <f t="shared" si="78"/>
        <v/>
      </c>
    </row>
    <row r="4997" spans="1:1" x14ac:dyDescent="0.2">
      <c r="A4997" s="12" t="str">
        <f t="shared" si="78"/>
        <v/>
      </c>
    </row>
    <row r="4998" spans="1:1" x14ac:dyDescent="0.2">
      <c r="A4998" s="12" t="str">
        <f t="shared" si="78"/>
        <v/>
      </c>
    </row>
    <row r="4999" spans="1:1" x14ac:dyDescent="0.2">
      <c r="A4999" s="12" t="str">
        <f t="shared" si="78"/>
        <v/>
      </c>
    </row>
    <row r="5000" spans="1:1" x14ac:dyDescent="0.2">
      <c r="A5000" s="12" t="str">
        <f t="shared" si="78"/>
        <v/>
      </c>
    </row>
    <row r="5001" spans="1:1" x14ac:dyDescent="0.2">
      <c r="A5001" s="12" t="str">
        <f t="shared" si="78"/>
        <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
  <sheetViews>
    <sheetView workbookViewId="0"/>
  </sheetViews>
  <sheetFormatPr baseColWidth="10" defaultColWidth="8.83203125" defaultRowHeight="15" x14ac:dyDescent="0.2"/>
  <cols>
    <col min="1" max="1" width="9.33203125" bestFit="1" customWidth="1"/>
    <col min="2" max="2" width="10.83203125" bestFit="1" customWidth="1"/>
    <col min="3" max="3" width="11.83203125" bestFit="1" customWidth="1"/>
    <col min="4" max="4" width="6.5" bestFit="1" customWidth="1"/>
    <col min="5" max="5" width="11.5" bestFit="1" customWidth="1"/>
    <col min="6" max="6" width="11.6640625" bestFit="1" customWidth="1"/>
  </cols>
  <sheetData>
    <row r="1" spans="1:6" s="18" customFormat="1" x14ac:dyDescent="0.2">
      <c r="A1" s="18" t="s">
        <v>54</v>
      </c>
      <c r="B1" s="18" t="s">
        <v>21</v>
      </c>
      <c r="C1" s="18" t="s">
        <v>25</v>
      </c>
      <c r="D1" s="18" t="s">
        <v>56</v>
      </c>
      <c r="E1" s="18" t="s">
        <v>57</v>
      </c>
      <c r="F1" s="18" t="s">
        <v>13</v>
      </c>
    </row>
    <row r="2" spans="1:6" x14ac:dyDescent="0.2">
      <c r="B2" s="16"/>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
  <sheetViews>
    <sheetView workbookViewId="0"/>
  </sheetViews>
  <sheetFormatPr baseColWidth="10" defaultColWidth="8.83203125" defaultRowHeight="15" x14ac:dyDescent="0.2"/>
  <cols>
    <col min="1" max="1" width="9.33203125" bestFit="1" customWidth="1"/>
    <col min="2" max="2" width="6" bestFit="1" customWidth="1"/>
    <col min="3" max="3" width="5.83203125" bestFit="1" customWidth="1"/>
    <col min="4" max="4" width="5.6640625" bestFit="1" customWidth="1"/>
    <col min="5" max="5" width="10" bestFit="1" customWidth="1"/>
    <col min="6" max="6" width="11.33203125" bestFit="1" customWidth="1"/>
    <col min="7" max="7" width="4.83203125" bestFit="1" customWidth="1"/>
    <col min="8" max="8" width="11.1640625" bestFit="1" customWidth="1"/>
  </cols>
  <sheetData>
    <row r="1" spans="1:8" s="18" customFormat="1" x14ac:dyDescent="0.2">
      <c r="A1" s="18" t="s">
        <v>54</v>
      </c>
      <c r="B1" s="18" t="s">
        <v>58</v>
      </c>
      <c r="C1" s="18" t="s">
        <v>59</v>
      </c>
      <c r="D1" s="18" t="s">
        <v>3</v>
      </c>
      <c r="E1" s="18" t="s">
        <v>60</v>
      </c>
      <c r="F1" s="18" t="s">
        <v>61</v>
      </c>
      <c r="G1" s="18" t="s">
        <v>62</v>
      </c>
      <c r="H1" s="18" t="s">
        <v>63</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C2"/>
  <sheetViews>
    <sheetView workbookViewId="0"/>
  </sheetViews>
  <sheetFormatPr baseColWidth="10" defaultColWidth="8.83203125" defaultRowHeight="15" x14ac:dyDescent="0.2"/>
  <cols>
    <col min="1" max="1" width="9.33203125" bestFit="1" customWidth="1"/>
    <col min="2" max="2" width="10.83203125" bestFit="1" customWidth="1"/>
    <col min="3" max="3" width="11.6640625" bestFit="1" customWidth="1"/>
    <col min="4" max="4" width="13.1640625" bestFit="1" customWidth="1"/>
    <col min="5" max="5" width="11" bestFit="1" customWidth="1"/>
    <col min="6" max="6" width="10.1640625" bestFit="1" customWidth="1"/>
    <col min="7" max="7" width="11.1640625" bestFit="1" customWidth="1"/>
    <col min="8" max="8" width="12.33203125" bestFit="1" customWidth="1"/>
    <col min="9" max="9" width="11.6640625" bestFit="1" customWidth="1"/>
    <col min="10" max="10" width="9.6640625" bestFit="1" customWidth="1"/>
    <col min="11" max="11" width="13.33203125" bestFit="1" customWidth="1"/>
    <col min="12" max="12" width="14.83203125" bestFit="1" customWidth="1"/>
    <col min="13" max="13" width="12.6640625" bestFit="1" customWidth="1"/>
    <col min="14" max="14" width="11.83203125" bestFit="1" customWidth="1"/>
    <col min="15" max="15" width="12.83203125" bestFit="1" customWidth="1"/>
    <col min="16" max="16" width="10.6640625" bestFit="1" customWidth="1"/>
    <col min="17" max="17" width="8.1640625" bestFit="1" customWidth="1"/>
    <col min="18" max="18" width="12.83203125" bestFit="1" customWidth="1"/>
    <col min="19" max="19" width="12.5" bestFit="1" customWidth="1"/>
    <col min="20" max="20" width="9.6640625" bestFit="1" customWidth="1"/>
    <col min="21" max="21" width="10.33203125" bestFit="1" customWidth="1"/>
    <col min="22" max="22" width="23.33203125" bestFit="1" customWidth="1"/>
    <col min="23" max="23" width="17.33203125" bestFit="1" customWidth="1"/>
    <col min="24" max="24" width="14.5" bestFit="1" customWidth="1"/>
    <col min="25" max="25" width="8.1640625" bestFit="1" customWidth="1"/>
    <col min="26" max="26" width="7.1640625" bestFit="1" customWidth="1"/>
    <col min="27" max="27" width="9.1640625" bestFit="1" customWidth="1"/>
    <col min="28" max="28" width="8.33203125" bestFit="1" customWidth="1"/>
    <col min="29" max="29" width="12.33203125" bestFit="1" customWidth="1"/>
    <col min="30" max="30" width="14" bestFit="1" customWidth="1"/>
    <col min="31" max="31" width="13.83203125" bestFit="1" customWidth="1"/>
    <col min="32" max="32" width="11.83203125" bestFit="1" customWidth="1"/>
    <col min="33" max="33" width="3.6640625" bestFit="1" customWidth="1"/>
    <col min="34" max="34" width="3.5" bestFit="1" customWidth="1"/>
    <col min="35" max="35" width="15" bestFit="1" customWidth="1"/>
    <col min="36" max="36" width="8" bestFit="1" customWidth="1"/>
    <col min="37" max="37" width="9.6640625" bestFit="1" customWidth="1"/>
    <col min="38" max="38" width="15.5" bestFit="1" customWidth="1"/>
    <col min="39" max="39" width="7.33203125" bestFit="1" customWidth="1"/>
    <col min="40" max="40" width="12.6640625" bestFit="1" customWidth="1"/>
    <col min="41" max="41" width="15.1640625" bestFit="1" customWidth="1"/>
    <col min="42" max="42" width="7.1640625" bestFit="1" customWidth="1"/>
    <col min="43" max="43" width="11" bestFit="1" customWidth="1"/>
    <col min="44" max="44" width="8.33203125" bestFit="1" customWidth="1"/>
    <col min="45" max="45" width="8.1640625" bestFit="1" customWidth="1"/>
    <col min="46" max="46" width="7.83203125" bestFit="1" customWidth="1"/>
    <col min="47" max="47" width="10.83203125" bestFit="1" customWidth="1"/>
    <col min="48" max="48" width="14.33203125" bestFit="1" customWidth="1"/>
    <col min="49" max="49" width="9.5" bestFit="1" customWidth="1"/>
    <col min="50" max="50" width="18" bestFit="1" customWidth="1"/>
    <col min="51" max="51" width="7.6640625" bestFit="1" customWidth="1"/>
    <col min="53" max="53" width="3.33203125" bestFit="1" customWidth="1"/>
    <col min="54" max="54" width="10.5" bestFit="1" customWidth="1"/>
    <col min="55" max="55" width="7.83203125" bestFit="1" customWidth="1"/>
  </cols>
  <sheetData>
    <row r="1" spans="1:55" s="18" customFormat="1" x14ac:dyDescent="0.2">
      <c r="A1" s="18" t="s">
        <v>54</v>
      </c>
      <c r="B1" s="18" t="s">
        <v>21</v>
      </c>
      <c r="C1" s="18" t="s">
        <v>64</v>
      </c>
      <c r="D1" s="18" t="s">
        <v>65</v>
      </c>
      <c r="E1" s="18" t="s">
        <v>66</v>
      </c>
      <c r="F1" s="18" t="s">
        <v>67</v>
      </c>
      <c r="G1" s="18" t="s">
        <v>68</v>
      </c>
      <c r="H1" s="18" t="s">
        <v>69</v>
      </c>
      <c r="I1" s="18" t="s">
        <v>70</v>
      </c>
      <c r="J1" s="18" t="s">
        <v>71</v>
      </c>
      <c r="K1" s="18" t="s">
        <v>72</v>
      </c>
      <c r="L1" s="18" t="s">
        <v>73</v>
      </c>
      <c r="M1" s="18" t="s">
        <v>74</v>
      </c>
      <c r="N1" s="18" t="s">
        <v>75</v>
      </c>
      <c r="O1" s="18" t="s">
        <v>76</v>
      </c>
      <c r="P1" s="18" t="s">
        <v>77</v>
      </c>
      <c r="Q1" s="18" t="s">
        <v>78</v>
      </c>
      <c r="R1" s="18" t="s">
        <v>79</v>
      </c>
      <c r="S1" s="18" t="s">
        <v>80</v>
      </c>
      <c r="T1" s="18" t="s">
        <v>81</v>
      </c>
      <c r="U1" s="18" t="s">
        <v>82</v>
      </c>
      <c r="V1" s="18" t="s">
        <v>83</v>
      </c>
      <c r="W1" s="18" t="s">
        <v>84</v>
      </c>
      <c r="X1" s="18" t="s">
        <v>85</v>
      </c>
      <c r="Y1" s="18" t="s">
        <v>86</v>
      </c>
      <c r="Z1" s="18" t="s">
        <v>87</v>
      </c>
      <c r="AA1" s="18" t="s">
        <v>88</v>
      </c>
      <c r="AB1" s="18" t="s">
        <v>89</v>
      </c>
      <c r="AC1" s="18" t="s">
        <v>90</v>
      </c>
      <c r="AD1" s="18" t="s">
        <v>91</v>
      </c>
      <c r="AE1" s="18" t="s">
        <v>92</v>
      </c>
      <c r="AF1" s="18" t="s">
        <v>93</v>
      </c>
      <c r="AG1" s="18" t="s">
        <v>94</v>
      </c>
      <c r="AH1" s="18" t="s">
        <v>95</v>
      </c>
      <c r="AI1" s="18" t="s">
        <v>96</v>
      </c>
      <c r="AJ1" s="18" t="s">
        <v>97</v>
      </c>
      <c r="AK1" s="18" t="s">
        <v>98</v>
      </c>
      <c r="AL1" s="18" t="s">
        <v>99</v>
      </c>
      <c r="AM1" s="18" t="s">
        <v>100</v>
      </c>
      <c r="AN1" s="18" t="s">
        <v>101</v>
      </c>
      <c r="AO1" s="18" t="s">
        <v>102</v>
      </c>
      <c r="AP1" s="18" t="s">
        <v>103</v>
      </c>
      <c r="AQ1" s="18" t="s">
        <v>104</v>
      </c>
      <c r="AR1" s="18" t="s">
        <v>105</v>
      </c>
      <c r="AS1" s="18" t="s">
        <v>106</v>
      </c>
      <c r="AT1" s="18" t="s">
        <v>107</v>
      </c>
      <c r="AU1" s="18" t="s">
        <v>108</v>
      </c>
      <c r="AV1" s="18" t="s">
        <v>109</v>
      </c>
      <c r="AW1" s="18" t="s">
        <v>110</v>
      </c>
      <c r="AX1" s="18" t="s">
        <v>111</v>
      </c>
      <c r="AY1" s="18" t="s">
        <v>112</v>
      </c>
      <c r="AZ1" s="18" t="s">
        <v>113</v>
      </c>
      <c r="BA1" s="18" t="s">
        <v>114</v>
      </c>
      <c r="BB1" s="18" t="s">
        <v>115</v>
      </c>
      <c r="BC1" s="18" t="s">
        <v>116</v>
      </c>
    </row>
    <row r="2" spans="1:55" x14ac:dyDescent="0.2">
      <c r="B2" s="16"/>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I2"/>
  <sheetViews>
    <sheetView workbookViewId="0"/>
  </sheetViews>
  <sheetFormatPr baseColWidth="10" defaultColWidth="8.83203125" defaultRowHeight="15" x14ac:dyDescent="0.2"/>
  <cols>
    <col min="1" max="1" width="9.33203125" bestFit="1" customWidth="1"/>
    <col min="2" max="2" width="10.83203125" bestFit="1" customWidth="1"/>
    <col min="3" max="3" width="15.5" bestFit="1" customWidth="1"/>
    <col min="4" max="4" width="9.1640625" bestFit="1" customWidth="1"/>
    <col min="5" max="5" width="8.6640625" bestFit="1" customWidth="1"/>
    <col min="6" max="6" width="11.83203125" bestFit="1" customWidth="1"/>
    <col min="7" max="7" width="15.33203125" bestFit="1" customWidth="1"/>
    <col min="8" max="8" width="7.33203125" bestFit="1" customWidth="1"/>
    <col min="9" max="9" width="9.6640625" bestFit="1" customWidth="1"/>
    <col min="10" max="10" width="9.33203125" bestFit="1" customWidth="1"/>
    <col min="11" max="11" width="21.83203125" bestFit="1" customWidth="1"/>
    <col min="12" max="12" width="19.1640625" bestFit="1" customWidth="1"/>
    <col min="13" max="13" width="9.33203125" bestFit="1" customWidth="1"/>
    <col min="14" max="14" width="10.33203125" bestFit="1" customWidth="1"/>
    <col min="15" max="15" width="10.6640625" bestFit="1" customWidth="1"/>
    <col min="16" max="16" width="5.1640625" bestFit="1" customWidth="1"/>
    <col min="17" max="17" width="7.5" bestFit="1" customWidth="1"/>
    <col min="18" max="18" width="10.83203125" bestFit="1" customWidth="1"/>
    <col min="19" max="19" width="12" bestFit="1" customWidth="1"/>
    <col min="20" max="20" width="12.33203125" bestFit="1" customWidth="1"/>
    <col min="21" max="21" width="14.33203125" bestFit="1" customWidth="1"/>
    <col min="22" max="22" width="17.1640625" bestFit="1" customWidth="1"/>
    <col min="23" max="23" width="6.6640625" bestFit="1" customWidth="1"/>
    <col min="24" max="24" width="4.83203125" bestFit="1" customWidth="1"/>
    <col min="25" max="25" width="12.5" bestFit="1" customWidth="1"/>
    <col min="26" max="26" width="20" bestFit="1" customWidth="1"/>
    <col min="27" max="27" width="17" bestFit="1" customWidth="1"/>
    <col min="28" max="28" width="10.83203125" bestFit="1" customWidth="1"/>
    <col min="29" max="29" width="13.5" bestFit="1" customWidth="1"/>
    <col min="30" max="30" width="13.1640625" bestFit="1" customWidth="1"/>
    <col min="31" max="31" width="17" bestFit="1" customWidth="1"/>
    <col min="32" max="32" width="11.6640625" bestFit="1" customWidth="1"/>
    <col min="33" max="33" width="13.83203125" bestFit="1" customWidth="1"/>
    <col min="34" max="34" width="11" bestFit="1" customWidth="1"/>
    <col min="35" max="35" width="11.33203125" bestFit="1" customWidth="1"/>
  </cols>
  <sheetData>
    <row r="1" spans="1:35" x14ac:dyDescent="0.2">
      <c r="A1" s="18" t="s">
        <v>54</v>
      </c>
      <c r="B1" s="18" t="s">
        <v>21</v>
      </c>
      <c r="C1" s="18" t="s">
        <v>22</v>
      </c>
      <c r="D1" s="18" t="s">
        <v>23</v>
      </c>
      <c r="E1" s="18" t="s">
        <v>24</v>
      </c>
      <c r="F1" s="18" t="s">
        <v>25</v>
      </c>
      <c r="G1" s="18" t="s">
        <v>26</v>
      </c>
      <c r="H1" s="18" t="s">
        <v>27</v>
      </c>
      <c r="I1" s="18" t="s">
        <v>28</v>
      </c>
      <c r="J1" s="18" t="s">
        <v>29</v>
      </c>
      <c r="K1" s="18" t="s">
        <v>30</v>
      </c>
      <c r="L1" s="18" t="s">
        <v>31</v>
      </c>
      <c r="M1" s="18" t="s">
        <v>32</v>
      </c>
      <c r="N1" s="18" t="s">
        <v>33</v>
      </c>
      <c r="O1" s="18" t="s">
        <v>34</v>
      </c>
      <c r="P1" s="18" t="s">
        <v>35</v>
      </c>
      <c r="Q1" s="18" t="s">
        <v>36</v>
      </c>
      <c r="R1" s="18" t="s">
        <v>37</v>
      </c>
      <c r="S1" s="18" t="s">
        <v>38</v>
      </c>
      <c r="T1" s="18" t="s">
        <v>39</v>
      </c>
      <c r="U1" s="18" t="s">
        <v>40</v>
      </c>
      <c r="V1" s="18" t="s">
        <v>41</v>
      </c>
      <c r="W1" s="18" t="s">
        <v>42</v>
      </c>
      <c r="X1" s="18" t="s">
        <v>43</v>
      </c>
      <c r="Y1" s="18" t="s">
        <v>44</v>
      </c>
      <c r="Z1" s="18" t="s">
        <v>45</v>
      </c>
      <c r="AA1" s="18" t="s">
        <v>46</v>
      </c>
      <c r="AB1" s="18" t="s">
        <v>47</v>
      </c>
      <c r="AC1" s="18" t="s">
        <v>48</v>
      </c>
      <c r="AD1" s="18" t="s">
        <v>49</v>
      </c>
      <c r="AE1" s="18" t="s">
        <v>50</v>
      </c>
      <c r="AF1" s="18" t="s">
        <v>13</v>
      </c>
      <c r="AG1" s="18" t="s">
        <v>51</v>
      </c>
      <c r="AH1" s="18" t="s">
        <v>52</v>
      </c>
      <c r="AI1" s="18" t="s">
        <v>55</v>
      </c>
    </row>
    <row r="2" spans="1:35" x14ac:dyDescent="0.2">
      <c r="B2" s="16"/>
      <c r="AH2" s="17"/>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7</vt:i4>
      </vt:variant>
      <vt:variant>
        <vt:lpstr>Named Ranges</vt:lpstr>
      </vt:variant>
      <vt:variant>
        <vt:i4>5</vt:i4>
      </vt:variant>
    </vt:vector>
  </HeadingPairs>
  <TitlesOfParts>
    <vt:vector size="12" baseType="lpstr">
      <vt:lpstr>Query</vt:lpstr>
      <vt:lpstr>Lookup</vt:lpstr>
      <vt:lpstr>Invoices</vt:lpstr>
      <vt:lpstr>Charges</vt:lpstr>
      <vt:lpstr>Details</vt:lpstr>
      <vt:lpstr>More fields</vt:lpstr>
      <vt:lpstr>LookupData</vt:lpstr>
      <vt:lpstr>Charges!ExternalData_1</vt:lpstr>
      <vt:lpstr>Details!ExternalData_1</vt:lpstr>
      <vt:lpstr>Invoices!ExternalData_1</vt:lpstr>
      <vt:lpstr>LookupData!ExternalData_1</vt:lpstr>
      <vt:lpstr>'More fields'!ExternalData_1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Biswajoy Bhattacharjee</cp:lastModifiedBy>
  <dcterms:created xsi:type="dcterms:W3CDTF">2026-10-03T23:17:08Z</dcterms:created>
  <dcterms:modified xsi:type="dcterms:W3CDTF">2026-10-03T23:17:21Z</dcterms:modified>
</cp:coreProperties>
</file>